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cuments\Downloads\"/>
    </mc:Choice>
  </mc:AlternateContent>
  <xr:revisionPtr revIDLastSave="0" documentId="13_ncr:1_{EA175E75-0A3E-4ED6-9B41-2A2741569E7C}" xr6:coauthVersionLast="47" xr6:coauthVersionMax="47" xr10:uidLastSave="{00000000-0000-0000-0000-000000000000}"/>
  <bookViews>
    <workbookView xWindow="-120" yWindow="-120" windowWidth="20730" windowHeight="11040" tabRatio="813" firstSheet="3" activeTab="3" xr2:uid="{00000000-000D-0000-FFFF-FFFF00000000}"/>
  </bookViews>
  <sheets>
    <sheet name="Sales_Profit_By_Region" sheetId="4" r:id="rId1"/>
    <sheet name="Sales_Profit_By_Category" sheetId="5" r:id="rId2"/>
    <sheet name="Order_Count_By_Ship_Mode" sheetId="6" r:id="rId3"/>
    <sheet name="Profit_Margin_By_Segment" sheetId="7" r:id="rId4"/>
    <sheet name="Refunded_Cancelled_Failed_By_Re" sheetId="8" r:id="rId5"/>
    <sheet name="Monthly_Sales_Trend" sheetId="9" r:id="rId6"/>
    <sheet name="raw_orders" sheetId="1" r:id="rId7"/>
    <sheet name="duplicate_summary" sheetId="3" r:id="rId8"/>
    <sheet name="business_rules" sheetId="2" r:id="rId9"/>
  </sheets>
  <definedNames>
    <definedName name="_xlnm._FilterDatabase" localSheetId="6" hidden="1">raw_orders!$A$1:$AA$915</definedName>
  </definedNames>
  <calcPr calcId="191029"/>
  <pivotCaches>
    <pivotCache cacheId="17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" i="1" l="1"/>
  <c r="AF3" i="1"/>
  <c r="AC2" i="1"/>
  <c r="AI2" i="1"/>
  <c r="AH2" i="1"/>
  <c r="AG2" i="1"/>
  <c r="AE2" i="1"/>
  <c r="AD2" i="1"/>
  <c r="AB2" i="1"/>
  <c r="E115" i="1"/>
  <c r="E116" i="1"/>
  <c r="E117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80" i="1"/>
  <c r="E181" i="1"/>
  <c r="E182" i="1"/>
  <c r="E183" i="1"/>
  <c r="E184" i="1"/>
  <c r="E185" i="1"/>
  <c r="E186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6" i="1"/>
  <c r="E807" i="1"/>
  <c r="E808" i="1"/>
  <c r="E809" i="1"/>
  <c r="E810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2" i="1"/>
  <c r="E873" i="1"/>
  <c r="E874" i="1"/>
  <c r="E875" i="1"/>
  <c r="E876" i="1"/>
  <c r="E877" i="1"/>
  <c r="E878" i="1"/>
  <c r="E879" i="1"/>
  <c r="E880" i="1"/>
  <c r="E881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2" i="1"/>
  <c r="E2" i="1" s="1"/>
  <c r="D902" i="1"/>
  <c r="E902" i="1" s="1"/>
  <c r="D882" i="1"/>
  <c r="E882" i="1" s="1"/>
  <c r="D871" i="1"/>
  <c r="E871" i="1" s="1"/>
  <c r="D833" i="1"/>
  <c r="E833" i="1" s="1"/>
  <c r="D832" i="1"/>
  <c r="E832" i="1" s="1"/>
  <c r="D811" i="1"/>
  <c r="E811" i="1" s="1"/>
  <c r="D805" i="1"/>
  <c r="E805" i="1" s="1"/>
  <c r="D791" i="1"/>
  <c r="E791" i="1" s="1"/>
  <c r="D753" i="1"/>
  <c r="E753" i="1" s="1"/>
  <c r="D660" i="1"/>
  <c r="E660" i="1" s="1"/>
  <c r="D614" i="1"/>
  <c r="E614" i="1" s="1"/>
  <c r="D578" i="1"/>
  <c r="E578" i="1" s="1"/>
  <c r="D556" i="1"/>
  <c r="E556" i="1" s="1"/>
  <c r="D480" i="1"/>
  <c r="E480" i="1" s="1"/>
  <c r="D462" i="1"/>
  <c r="E462" i="1" s="1"/>
  <c r="D429" i="1"/>
  <c r="E429" i="1" s="1"/>
  <c r="D335" i="1"/>
  <c r="E335" i="1" s="1"/>
  <c r="D278" i="1"/>
  <c r="E278" i="1" s="1"/>
  <c r="D245" i="1"/>
  <c r="E245" i="1" s="1"/>
  <c r="D228" i="1"/>
  <c r="E228" i="1" s="1"/>
  <c r="D187" i="1"/>
  <c r="E187" i="1" s="1"/>
  <c r="D179" i="1"/>
  <c r="E179" i="1" s="1"/>
  <c r="D153" i="1"/>
  <c r="E153" i="1" s="1"/>
  <c r="D152" i="1"/>
  <c r="E152" i="1" s="1"/>
  <c r="D118" i="1"/>
  <c r="E118" i="1" s="1"/>
  <c r="D114" i="1"/>
  <c r="E114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2" i="1"/>
</calcChain>
</file>

<file path=xl/sharedStrings.xml><?xml version="1.0" encoding="utf-8"?>
<sst xmlns="http://schemas.openxmlformats.org/spreadsheetml/2006/main" count="15552" uniqueCount="4158">
  <si>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</si>
  <si>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</si>
  <si>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</si>
  <si>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</si>
  <si>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</si>
  <si>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</si>
  <si>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</si>
  <si>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</si>
  <si>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</si>
  <si>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</si>
  <si>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</si>
  <si>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</si>
  <si>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</si>
  <si>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</si>
  <si>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</si>
  <si>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</si>
  <si>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</si>
  <si>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</si>
  <si>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</si>
  <si>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</si>
  <si>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</si>
  <si>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</si>
  <si>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</si>
  <si>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</si>
  <si>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</si>
  <si>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</si>
  <si>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</si>
  <si>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</si>
  <si>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</si>
  <si>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</si>
  <si>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</si>
  <si>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</si>
  <si>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</si>
  <si>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</si>
  <si>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</si>
  <si>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</si>
  <si>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</si>
  <si>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</si>
  <si>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</si>
  <si>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</si>
  <si>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</si>
  <si>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</si>
  <si>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</si>
  <si>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</si>
  <si>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</si>
  <si>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</si>
  <si>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</si>
  <si>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</si>
  <si>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</si>
  <si>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</si>
  <si>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</si>
  <si>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</si>
  <si>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</si>
  <si>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</si>
  <si>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</si>
  <si>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</si>
  <si>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</si>
  <si>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</si>
  <si>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</si>
  <si>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</si>
  <si>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</si>
  <si>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</si>
  <si>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</si>
  <si>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</si>
  <si>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</si>
  <si>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</si>
  <si>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</si>
  <si>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</si>
  <si>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</si>
  <si>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</si>
  <si>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</si>
  <si>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</si>
  <si>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</si>
  <si>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</si>
  <si>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</si>
  <si>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</si>
  <si>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</si>
  <si>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</si>
  <si>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</si>
  <si>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</si>
  <si>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</si>
  <si>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</si>
  <si>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</si>
  <si>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</si>
  <si>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</si>
  <si>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</si>
  <si>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</si>
  <si>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</si>
  <si>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</si>
  <si>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</si>
  <si>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</si>
  <si>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</si>
  <si>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</si>
  <si>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</si>
  <si>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</si>
  <si>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</si>
  <si>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</si>
  <si>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</si>
  <si>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</si>
  <si>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</si>
  <si>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</si>
  <si>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</si>
  <si>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</si>
  <si>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</si>
  <si>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</si>
  <si>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</si>
  <si>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</si>
  <si>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</si>
  <si>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</si>
  <si>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</si>
  <si>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</si>
  <si>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</si>
  <si>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</si>
  <si>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</si>
  <si>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</si>
  <si>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</si>
  <si>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</si>
  <si>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</si>
  <si>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</si>
  <si>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</si>
  <si>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</si>
  <si>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</si>
  <si>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</si>
  <si>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</si>
  <si>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</si>
  <si>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</si>
  <si>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</si>
  <si>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</si>
  <si>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</si>
  <si>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</si>
  <si>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</si>
  <si>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</si>
  <si>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</si>
  <si>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</si>
  <si>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</si>
  <si>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</si>
  <si>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</si>
  <si>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</si>
  <si>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</si>
  <si>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</si>
  <si>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</si>
  <si>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</si>
  <si>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</si>
  <si>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</si>
  <si>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</si>
  <si>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</si>
  <si>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</si>
  <si>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</si>
  <si>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</si>
  <si>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</si>
  <si>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</si>
  <si>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</si>
  <si>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</si>
  <si>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</si>
  <si>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</si>
  <si>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</si>
  <si>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</si>
  <si>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</si>
  <si>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</si>
  <si>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</si>
  <si>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</si>
  <si>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</si>
  <si>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</si>
  <si>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</si>
  <si>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</si>
  <si>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</si>
  <si>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</si>
  <si>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</si>
  <si>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</si>
  <si>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</si>
  <si>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</si>
  <si>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</si>
  <si>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</si>
  <si>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</si>
  <si>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</si>
  <si>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</si>
  <si>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</si>
  <si>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</si>
  <si>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</si>
  <si>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</si>
  <si>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</si>
  <si>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</si>
  <si>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</si>
  <si>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</si>
  <si>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</si>
  <si>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</si>
  <si>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</si>
  <si>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</si>
  <si>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</si>
  <si>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</si>
  <si>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</si>
  <si>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</si>
  <si>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</si>
  <si>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</si>
  <si>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</si>
  <si>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</si>
  <si>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</si>
  <si>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</si>
  <si>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</si>
  <si>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</si>
  <si>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</si>
  <si>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</si>
  <si>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</si>
  <si>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</si>
  <si>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</si>
  <si>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</si>
  <si>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</si>
  <si>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</si>
  <si>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</si>
  <si>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</si>
  <si>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</si>
  <si>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</si>
  <si>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</si>
  <si>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</si>
  <si>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</si>
  <si>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</si>
  <si>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</si>
  <si>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</si>
  <si>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</si>
  <si>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</si>
  <si>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</si>
  <si>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</si>
  <si>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</si>
  <si>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</si>
  <si>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</si>
  <si>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</si>
  <si>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</si>
  <si>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</si>
  <si>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</si>
  <si>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</si>
  <si>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</si>
  <si>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</si>
  <si>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</si>
  <si>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</si>
  <si>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</si>
  <si>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</si>
  <si>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</si>
  <si>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</si>
  <si>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</si>
  <si>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</si>
  <si>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</si>
  <si>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</si>
  <si>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</si>
  <si>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</si>
  <si>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</si>
  <si>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</si>
  <si>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</si>
  <si>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</si>
  <si>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</si>
  <si>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</si>
  <si>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</si>
  <si>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</si>
  <si>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</si>
  <si>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</si>
  <si>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</si>
  <si>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</si>
  <si>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</si>
  <si>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</si>
  <si>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</si>
  <si>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</si>
  <si>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</si>
  <si>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</si>
  <si>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</si>
  <si>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</si>
  <si>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</si>
  <si>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</si>
  <si>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</si>
  <si>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</si>
  <si>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</si>
  <si>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</si>
  <si>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</si>
  <si>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</si>
  <si>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</si>
  <si>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</si>
  <si>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</si>
  <si>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</si>
  <si>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</si>
  <si>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</si>
  <si>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</si>
  <si>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</si>
  <si>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</si>
  <si>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</si>
  <si>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</si>
  <si>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</si>
  <si>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</si>
  <si>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</si>
  <si>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</si>
  <si>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</si>
  <si>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</si>
  <si>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</si>
  <si>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</si>
  <si>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</si>
  <si>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</si>
  <si>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</si>
  <si>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</si>
  <si>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</si>
  <si>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</si>
  <si>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</si>
  <si>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</si>
  <si>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</si>
  <si>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</si>
  <si>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</si>
  <si>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</si>
  <si>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</si>
  <si>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</si>
  <si>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</si>
  <si>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</si>
  <si>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</si>
  <si>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</si>
  <si>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</si>
  <si>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</si>
  <si>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</si>
  <si>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</si>
  <si>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</si>
  <si>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</si>
  <si>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</si>
  <si>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</si>
  <si>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</si>
  <si>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</si>
  <si>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</si>
  <si>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</si>
  <si>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</si>
  <si>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</si>
  <si>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</si>
  <si>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</si>
  <si>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</si>
  <si>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</si>
  <si>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</si>
  <si>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</si>
  <si>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</si>
  <si>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</si>
  <si>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</si>
  <si>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</si>
  <si>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</si>
  <si>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</si>
  <si>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</si>
  <si>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</si>
  <si>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</si>
  <si>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</si>
  <si>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</si>
  <si>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</si>
  <si>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</si>
  <si>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</si>
  <si>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</si>
  <si>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</si>
  <si>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</si>
  <si>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</si>
  <si>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</si>
  <si>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</si>
  <si>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</si>
  <si>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</si>
  <si>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</si>
  <si>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</si>
  <si>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</si>
  <si>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</si>
  <si>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</si>
  <si>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</si>
  <si>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</si>
  <si>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</si>
  <si>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</si>
  <si>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</si>
  <si>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</si>
  <si>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</si>
  <si>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</si>
  <si>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</si>
  <si>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</si>
  <si>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</si>
  <si>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</si>
  <si>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</si>
  <si>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</si>
  <si>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</si>
  <si>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</si>
  <si>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</si>
  <si>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</si>
  <si>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</si>
  <si>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</si>
  <si>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</si>
  <si>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</si>
  <si>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</si>
  <si>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</si>
  <si>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</si>
  <si>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</si>
  <si>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</si>
  <si>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</si>
  <si>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</si>
  <si>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</si>
  <si>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</si>
  <si>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</si>
  <si>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</si>
  <si>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</si>
  <si>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</si>
  <si>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</si>
  <si>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</si>
  <si>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</si>
  <si>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</si>
  <si>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</si>
  <si>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</si>
  <si>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</si>
  <si>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</si>
  <si>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</si>
  <si>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</si>
  <si>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</si>
  <si>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</si>
  <si>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</si>
  <si>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</si>
  <si>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</si>
  <si>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</si>
  <si>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</si>
  <si>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</si>
  <si>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</si>
  <si>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</si>
  <si>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</si>
  <si>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</si>
  <si>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</si>
  <si>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</si>
  <si>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</si>
  <si>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</si>
  <si>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</si>
  <si>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</si>
  <si>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</si>
  <si>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</si>
  <si>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</si>
  <si>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</si>
  <si>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</si>
  <si>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</si>
  <si>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</si>
  <si>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</si>
  <si>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</si>
  <si>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</si>
  <si>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</si>
  <si>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</si>
  <si>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</si>
  <si>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</si>
  <si>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</si>
  <si>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</si>
  <si>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</si>
  <si>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</si>
  <si>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</si>
  <si>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</si>
  <si>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</si>
  <si>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</si>
  <si>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</si>
  <si>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</si>
  <si>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</si>
  <si>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</si>
  <si>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</si>
  <si>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</si>
  <si>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</si>
  <si>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</si>
  <si>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</si>
  <si>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</si>
  <si>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</si>
  <si>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</si>
  <si>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</si>
  <si>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</si>
  <si>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</si>
  <si>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</si>
  <si>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</si>
  <si>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</si>
  <si>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</si>
  <si>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</si>
  <si>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</si>
  <si>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</si>
  <si>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</si>
  <si>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</si>
  <si>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</si>
  <si>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</si>
  <si>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</si>
  <si>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</si>
  <si>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</si>
  <si>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</si>
  <si>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</si>
  <si>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</si>
  <si>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</si>
  <si>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</si>
  <si>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</si>
  <si>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</si>
  <si>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</si>
  <si>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</si>
  <si>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</si>
  <si>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</si>
  <si>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</si>
  <si>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</si>
  <si>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</si>
  <si>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</si>
  <si>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</si>
  <si>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</si>
  <si>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</si>
  <si>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</si>
  <si>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</si>
  <si>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</si>
  <si>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</si>
  <si>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</si>
  <si>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</si>
  <si>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</si>
  <si>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</si>
  <si>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</si>
  <si>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</si>
  <si>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</si>
  <si>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</si>
  <si>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</si>
  <si>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</si>
  <si>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</si>
  <si>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</si>
  <si>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</si>
  <si>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</si>
  <si>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</si>
  <si>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</si>
  <si>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</si>
  <si>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</si>
  <si>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</si>
  <si>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</si>
  <si>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</si>
  <si>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</si>
  <si>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</si>
  <si>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</si>
  <si>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</si>
  <si>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</si>
  <si>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</si>
  <si>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</si>
  <si>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</si>
  <si>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</si>
  <si>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</si>
  <si>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</si>
  <si>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</si>
  <si>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</si>
  <si>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</si>
  <si>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</si>
  <si>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</si>
  <si>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</si>
  <si>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</si>
  <si>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</si>
  <si>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</si>
  <si>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</si>
  <si>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</si>
  <si>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</si>
  <si>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</si>
  <si>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</si>
  <si>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</si>
  <si>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</si>
  <si>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</si>
  <si>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</si>
  <si>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</si>
  <si>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</si>
  <si>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</si>
  <si>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</si>
  <si>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</si>
  <si>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</si>
  <si>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</si>
  <si>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</si>
  <si>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</si>
  <si>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</si>
  <si>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</si>
  <si>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</si>
  <si>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</si>
  <si>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</si>
  <si>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</si>
  <si>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</si>
  <si>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</si>
  <si>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</si>
  <si>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</si>
  <si>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</si>
  <si>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</si>
  <si>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</si>
  <si>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</si>
  <si>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</si>
  <si>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</si>
  <si>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</si>
  <si>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</si>
  <si>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</si>
  <si>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</si>
  <si>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</si>
  <si>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</si>
  <si>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</si>
  <si>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</si>
  <si>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</si>
  <si>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</si>
  <si>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</si>
  <si>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</si>
  <si>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</si>
  <si>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</si>
  <si>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</si>
  <si>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</si>
  <si>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</si>
  <si>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</si>
  <si>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</si>
  <si>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</si>
  <si>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</si>
  <si>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</si>
  <si>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</si>
  <si>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</si>
  <si>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</si>
  <si>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</si>
  <si>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</si>
  <si>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</si>
  <si>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</si>
  <si>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</si>
  <si>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</si>
  <si>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</si>
  <si>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</si>
  <si>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</si>
  <si>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</si>
  <si>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</si>
  <si>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</si>
  <si>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</si>
  <si>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</si>
  <si>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</si>
  <si>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</si>
  <si>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</si>
  <si>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</si>
  <si>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</si>
  <si>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</si>
  <si>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</si>
  <si>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</si>
  <si>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</si>
  <si>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</si>
  <si>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</si>
  <si>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</si>
  <si>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</si>
  <si>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</si>
  <si>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</si>
  <si>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</si>
  <si>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</si>
  <si>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</si>
  <si>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</si>
  <si>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</si>
  <si>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</si>
  <si>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</si>
  <si>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</si>
  <si>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</si>
  <si>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</si>
  <si>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</si>
  <si>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</si>
  <si>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</si>
  <si>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</si>
  <si>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</si>
  <si>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</si>
  <si>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</si>
  <si>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</si>
  <si>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</si>
  <si>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</si>
  <si>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</si>
  <si>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</si>
  <si>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</si>
  <si>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</si>
  <si>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</si>
  <si>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</si>
  <si>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</si>
  <si>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</si>
  <si>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</si>
  <si>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</si>
  <si>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</si>
  <si>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</si>
  <si>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</si>
  <si>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</si>
  <si>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</si>
  <si>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</si>
  <si>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</si>
  <si>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</si>
  <si>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</si>
  <si>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</si>
  <si>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</si>
  <si>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</si>
  <si>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</si>
  <si>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</si>
  <si>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</si>
  <si>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</si>
  <si>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</si>
  <si>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</si>
  <si>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</si>
  <si>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</si>
  <si>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</si>
  <si>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</si>
  <si>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</si>
  <si>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</si>
  <si>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</si>
  <si>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</si>
  <si>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</si>
  <si>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</si>
  <si>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</si>
  <si>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</si>
  <si>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</si>
  <si>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</si>
  <si>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</si>
  <si>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</si>
  <si>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</si>
  <si>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</si>
  <si>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</si>
  <si>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</si>
  <si>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</si>
  <si>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</si>
  <si>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</si>
  <si>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</si>
  <si>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</si>
  <si>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</si>
  <si>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</si>
  <si>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</si>
  <si>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</si>
  <si>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</si>
  <si>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</si>
  <si>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</si>
  <si>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</si>
  <si>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</si>
  <si>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</si>
  <si>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</si>
  <si>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</si>
  <si>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</si>
  <si>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</si>
  <si>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</si>
  <si>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</si>
  <si>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</si>
  <si>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</si>
  <si>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</si>
  <si>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</si>
  <si>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</si>
  <si>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</si>
  <si>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</si>
  <si>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</si>
  <si>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</si>
  <si>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</si>
  <si>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</si>
  <si>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</si>
  <si>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</si>
  <si>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</si>
  <si>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</si>
  <si>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</si>
  <si>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</si>
  <si>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</si>
  <si>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</si>
  <si>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</si>
  <si>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</si>
  <si>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</si>
  <si>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</si>
  <si>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</si>
  <si>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</si>
  <si>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</si>
  <si>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</si>
  <si>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</si>
  <si>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</si>
  <si>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</si>
  <si>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</si>
  <si>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</si>
  <si>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</si>
  <si>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</si>
  <si>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</si>
  <si>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</si>
  <si>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</si>
  <si>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</si>
  <si>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</si>
  <si>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</si>
  <si>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</si>
  <si>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</si>
  <si>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</si>
  <si>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</si>
  <si>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</si>
  <si>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</si>
  <si>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</si>
  <si>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</si>
  <si>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</si>
  <si>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</si>
  <si>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</si>
  <si>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</si>
  <si>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</si>
  <si>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</si>
  <si>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</si>
  <si>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</si>
  <si>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</si>
  <si>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</si>
  <si>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</si>
  <si>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</si>
  <si>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</si>
  <si>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</si>
  <si>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</si>
  <si>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</si>
  <si>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</si>
  <si>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</si>
  <si>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</si>
  <si>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</si>
  <si>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</si>
  <si>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</si>
  <si>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</si>
  <si>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</si>
  <si>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</si>
  <si>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</si>
  <si>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</si>
  <si>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</si>
  <si>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</si>
  <si>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</si>
  <si>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</si>
  <si>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</si>
  <si>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</si>
  <si>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</si>
  <si>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</si>
  <si>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</si>
  <si>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</si>
  <si>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</si>
  <si>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</si>
  <si>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</si>
  <si>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</si>
  <si>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</si>
  <si>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</si>
  <si>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</si>
  <si>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</si>
  <si>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</si>
  <si>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</si>
  <si>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</si>
  <si>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</si>
  <si>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</si>
  <si>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</si>
  <si>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</si>
  <si>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</si>
  <si>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</si>
  <si>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</si>
  <si>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</si>
  <si>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</si>
  <si>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</si>
  <si>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</si>
  <si>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</si>
  <si>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</si>
  <si>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</si>
  <si>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</si>
  <si>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</si>
  <si>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</si>
  <si>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</si>
  <si>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</si>
  <si>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</si>
  <si>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</si>
  <si>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</si>
  <si>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</si>
  <si>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</si>
  <si>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</si>
  <si>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</si>
  <si>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</si>
  <si>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</si>
  <si>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</si>
  <si>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</si>
  <si>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</si>
  <si>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</si>
  <si>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</si>
  <si>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</si>
  <si>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</si>
  <si>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</si>
  <si>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</si>
  <si>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</si>
  <si>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</si>
  <si>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</si>
  <si>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</si>
  <si>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</si>
  <si>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</si>
  <si>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</si>
  <si>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</si>
  <si>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</si>
  <si>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</si>
  <si>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</si>
  <si>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</si>
  <si>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</si>
  <si>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</si>
  <si>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</si>
  <si>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</si>
  <si>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</si>
  <si>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</si>
  <si>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</si>
  <si>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</si>
  <si>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</si>
  <si>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</si>
  <si>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</si>
  <si>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</si>
  <si>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</si>
  <si>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</si>
  <si>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</si>
  <si>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</si>
  <si>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</si>
  <si>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</si>
  <si>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</si>
  <si>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</si>
  <si>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</si>
  <si>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</si>
  <si>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</si>
  <si>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</si>
  <si>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</si>
  <si>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</si>
  <si>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</si>
  <si>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</si>
  <si>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</si>
  <si>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</si>
  <si>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</si>
  <si>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</si>
  <si>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</si>
  <si>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</si>
  <si>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</si>
  <si>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</si>
  <si>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</si>
  <si>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</si>
  <si>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</si>
  <si>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</si>
  <si>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</si>
  <si>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</si>
  <si>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</si>
  <si>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</si>
  <si>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</si>
  <si>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</si>
  <si>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</si>
  <si>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</si>
  <si>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</si>
  <si>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</si>
  <si>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</si>
  <si>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</si>
  <si>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</si>
  <si>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</si>
  <si>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</si>
  <si>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</si>
  <si>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</si>
  <si>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</si>
  <si>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</si>
  <si>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</si>
  <si>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</si>
  <si>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</si>
  <si>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</si>
  <si>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</si>
  <si>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</si>
  <si>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</si>
  <si>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</si>
  <si>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</si>
  <si>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</si>
  <si>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</si>
  <si>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</si>
  <si>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</si>
  <si>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</si>
  <si>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</si>
  <si>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</si>
  <si>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</si>
  <si>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</si>
  <si>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</si>
  <si>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</si>
  <si>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</si>
  <si>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</si>
  <si>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</si>
  <si>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</si>
  <si>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</si>
  <si>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</si>
  <si>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</si>
  <si>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</si>
  <si>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</si>
  <si>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</si>
  <si>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</si>
  <si>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</si>
  <si>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</si>
  <si>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</si>
  <si>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</si>
  <si>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</si>
  <si>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</si>
  <si>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</si>
  <si>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</si>
  <si>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</si>
  <si>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</si>
  <si>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</si>
  <si>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</si>
  <si>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</si>
  <si>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</si>
  <si>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</si>
  <si>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</si>
  <si>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</si>
  <si>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</si>
  <si>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</si>
  <si>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</si>
  <si>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</si>
  <si>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</si>
  <si>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</si>
  <si>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</si>
  <si>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</si>
  <si>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</si>
  <si>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</si>
  <si>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</si>
  <si>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</si>
  <si>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</si>
  <si>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</si>
  <si>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</si>
  <si>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</si>
  <si>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</si>
  <si>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</si>
  <si>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</si>
  <si>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</si>
  <si>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</si>
  <si>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</si>
  <si>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</si>
  <si>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</si>
  <si>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</si>
  <si>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</si>
  <si>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</si>
  <si>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</si>
  <si>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</si>
  <si>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</si>
  <si>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</si>
  <si>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</si>
  <si>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</si>
  <si>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</si>
  <si>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</si>
  <si>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</si>
  <si>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</si>
  <si>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</si>
  <si>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</si>
  <si>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</si>
  <si>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</si>
  <si>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</si>
  <si>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</si>
  <si>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</si>
  <si>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</si>
  <si>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</si>
  <si>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</si>
  <si>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</si>
  <si>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</si>
  <si>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</si>
  <si>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</si>
  <si>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</si>
  <si>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</si>
  <si>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</si>
  <si>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</si>
  <si>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</si>
  <si>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</si>
  <si>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</si>
  <si>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</si>
  <si>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</si>
  <si>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</si>
  <si>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</si>
  <si>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</si>
  <si>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</si>
  <si>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</si>
  <si>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</si>
  <si>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</si>
  <si>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</si>
  <si>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</si>
  <si>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</si>
  <si>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</si>
  <si>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</si>
  <si>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</si>
  <si>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</si>
  <si>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</si>
  <si>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</si>
  <si>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</si>
  <si>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</si>
  <si>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</si>
  <si>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</si>
  <si>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</si>
  <si>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</si>
  <si>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</si>
  <si>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</si>
  <si>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</si>
  <si>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</si>
  <si>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</si>
  <si>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</si>
  <si>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</si>
  <si>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</si>
  <si>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</si>
  <si>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</si>
  <si>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</si>
  <si>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</si>
  <si>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</si>
  <si>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</si>
  <si>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</si>
  <si>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</si>
  <si>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</si>
  <si>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</si>
  <si>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</si>
  <si>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</si>
  <si>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</si>
  <si>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</si>
  <si>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</si>
  <si>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</si>
  <si>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</si>
  <si>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</si>
  <si>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</si>
  <si>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</si>
  <si>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</si>
  <si>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</si>
  <si>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</si>
  <si>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</si>
  <si>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</si>
  <si>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</si>
  <si>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</si>
  <si>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</si>
  <si>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</si>
  <si>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</si>
  <si>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</si>
  <si>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</si>
  <si>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</si>
  <si>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</si>
  <si>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</si>
  <si>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</si>
  <si>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</si>
  <si>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</si>
  <si>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</si>
  <si>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</si>
  <si>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</si>
  <si>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</si>
  <si>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</si>
  <si>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</si>
  <si>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</si>
  <si>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</si>
  <si>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</si>
  <si>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</si>
  <si>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</si>
  <si>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</si>
  <si>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</si>
  <si>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</si>
  <si>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</si>
  <si>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</si>
  <si>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</si>
  <si>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</si>
  <si>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</si>
  <si>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</si>
  <si>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</si>
  <si>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</si>
  <si>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</si>
  <si>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</si>
  <si>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</si>
  <si>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</si>
  <si>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</si>
  <si>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</si>
  <si>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</si>
  <si>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</si>
  <si>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</si>
  <si>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</si>
  <si>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</si>
  <si>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</si>
  <si>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</si>
  <si>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</si>
  <si>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</si>
  <si>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</si>
  <si>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</si>
  <si>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</si>
  <si>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</si>
  <si>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</si>
  <si>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</si>
  <si>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</si>
  <si>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</si>
  <si>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</si>
  <si>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</si>
  <si>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</si>
  <si>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</si>
  <si>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</si>
  <si>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</si>
  <si>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</si>
  <si>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</si>
  <si>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</si>
  <si>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</si>
  <si>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</si>
  <si>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</si>
  <si>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</si>
  <si>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</si>
  <si>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</si>
  <si>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</si>
  <si>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</si>
  <si>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</si>
  <si>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</si>
  <si>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</si>
  <si>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</si>
  <si>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</si>
  <si>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</si>
  <si>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</si>
  <si>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</si>
  <si>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</si>
  <si>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</si>
  <si>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</si>
  <si>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</si>
  <si>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</si>
  <si>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</si>
  <si>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</si>
  <si>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</si>
  <si>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</si>
  <si>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</si>
  <si>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</si>
  <si>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</si>
  <si>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</si>
  <si>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</si>
  <si>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</si>
  <si>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</si>
  <si>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</si>
  <si>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</si>
  <si>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</si>
  <si>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</si>
  <si>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</si>
  <si>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</si>
  <si>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</si>
  <si>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</si>
  <si>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</si>
  <si>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</si>
  <si>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</si>
  <si>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</si>
  <si>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</si>
  <si>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</si>
  <si>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</si>
  <si>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</si>
  <si>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</si>
  <si>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</si>
  <si>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</si>
  <si>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</si>
  <si>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</si>
  <si>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</si>
  <si>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</si>
  <si>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</si>
  <si>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</si>
  <si>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</si>
  <si>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</si>
  <si>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</si>
  <si>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</si>
  <si>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</si>
  <si>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</si>
  <si>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</si>
  <si>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</si>
  <si>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</si>
  <si>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</si>
  <si>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</si>
  <si>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</si>
  <si>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</si>
  <si>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</si>
  <si>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</si>
  <si>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</si>
  <si>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</si>
  <si>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</si>
  <si>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</si>
  <si>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</si>
  <si>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</si>
  <si>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</si>
  <si>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</si>
  <si>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</si>
  <si>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</si>
  <si>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</si>
  <si>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</si>
  <si>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</si>
  <si>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</si>
  <si>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</si>
  <si>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</si>
  <si>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</si>
  <si>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</si>
  <si>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</si>
  <si>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</si>
  <si>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</si>
  <si>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</si>
  <si>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</si>
  <si>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</si>
  <si>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</si>
  <si>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</si>
  <si>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</si>
  <si>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</si>
  <si>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</si>
  <si>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</si>
  <si>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</si>
  <si>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</si>
  <si>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</si>
  <si>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</si>
  <si>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</si>
  <si>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</si>
  <si>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</si>
  <si>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</si>
  <si>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</si>
  <si>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</si>
  <si>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</si>
  <si>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</si>
  <si>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</si>
  <si>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</si>
  <si>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</si>
  <si>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</si>
  <si>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</si>
  <si>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</si>
  <si>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</si>
  <si>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</si>
  <si>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</si>
  <si>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</si>
  <si>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</si>
  <si>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</si>
  <si>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</si>
  <si>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</si>
  <si>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</si>
  <si>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</si>
  <si>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</si>
  <si>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</si>
  <si>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</si>
  <si>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</si>
  <si>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</si>
  <si>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</si>
  <si>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</si>
  <si>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</si>
  <si>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</si>
  <si>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</si>
  <si>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</si>
  <si>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</si>
  <si>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</si>
  <si>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</si>
  <si>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</si>
  <si>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</si>
  <si>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</si>
  <si>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</si>
  <si>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</si>
  <si>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</si>
  <si>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</si>
  <si>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</si>
  <si>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</si>
  <si>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</si>
  <si>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</si>
  <si>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</si>
  <si>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</si>
  <si>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</si>
  <si>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</si>
  <si>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</si>
  <si>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</si>
  <si>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</si>
  <si>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</si>
  <si>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</si>
  <si>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</si>
  <si>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</si>
  <si>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</si>
  <si>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</si>
  <si>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</si>
  <si>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</si>
  <si>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</si>
  <si>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</si>
  <si>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</si>
  <si>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</si>
  <si>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</si>
  <si>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</si>
  <si>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</si>
  <si>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</si>
  <si>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</si>
  <si>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</si>
  <si>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</si>
  <si>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</si>
  <si>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</si>
  <si>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</si>
  <si>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</si>
  <si>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</si>
  <si>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</si>
  <si>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</si>
  <si>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</si>
  <si>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</si>
  <si>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</si>
  <si>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</si>
  <si>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</si>
  <si>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</si>
  <si>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</si>
  <si>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</si>
  <si>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</si>
  <si>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</si>
  <si>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</si>
  <si>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</si>
  <si>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</si>
  <si>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</si>
  <si>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</si>
  <si>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</si>
  <si>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</si>
  <si>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</si>
  <si>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</si>
  <si>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</si>
  <si>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</si>
  <si>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</si>
  <si>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</si>
  <si>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</si>
  <si>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</si>
  <si>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</si>
  <si>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</si>
  <si>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</si>
  <si>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</si>
  <si>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</si>
  <si>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</si>
  <si>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</si>
  <si>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</si>
  <si>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</si>
  <si>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</si>
  <si>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</si>
  <si>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</si>
  <si>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</si>
  <si>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</si>
  <si>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</si>
  <si>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</si>
  <si>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</si>
  <si>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</si>
  <si>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</si>
  <si>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</si>
  <si>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</si>
  <si>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</si>
  <si>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</si>
  <si>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</si>
  <si>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</si>
  <si>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</si>
  <si>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</si>
  <si>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</si>
  <si>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</si>
  <si>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</si>
  <si>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</si>
  <si>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</si>
  <si>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</si>
  <si>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</si>
  <si>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</si>
  <si>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</si>
  <si>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</si>
  <si>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</si>
  <si>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</si>
  <si>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</si>
  <si>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</si>
  <si>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</si>
  <si>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</si>
  <si>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</si>
  <si>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</si>
  <si>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</si>
  <si>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</si>
  <si>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</si>
  <si>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</si>
  <si>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</si>
  <si>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</si>
  <si>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</si>
  <si>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</si>
  <si>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</si>
  <si>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</si>
  <si>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</si>
  <si>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</si>
  <si>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</si>
  <si>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</si>
  <si>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</si>
  <si>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</si>
  <si>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</si>
  <si>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</si>
  <si>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</si>
  <si>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</si>
  <si>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</si>
  <si>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</si>
  <si>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</si>
  <si>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</si>
  <si>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</si>
  <si>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</si>
  <si>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</si>
  <si>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</si>
  <si>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</si>
  <si>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</si>
  <si>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</si>
  <si>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</si>
  <si>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</si>
  <si>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</si>
  <si>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</si>
  <si>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</si>
  <si>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</si>
  <si>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</si>
  <si>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</si>
  <si>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</si>
  <si>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</si>
  <si>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</si>
  <si>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</si>
  <si>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</si>
  <si>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</si>
  <si>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</si>
  <si>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</si>
  <si>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</si>
  <si>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</si>
  <si>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</si>
  <si>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</si>
  <si>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</si>
  <si>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</si>
  <si>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</si>
  <si>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</si>
  <si>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</si>
  <si>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</si>
  <si>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</si>
  <si>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</si>
  <si>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</si>
  <si>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</si>
  <si>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</si>
  <si>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</si>
  <si>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</si>
  <si>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</si>
  <si>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</si>
  <si>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</si>
  <si>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</si>
  <si>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</si>
  <si>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</si>
  <si>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</si>
  <si>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</si>
  <si>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</si>
  <si>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</si>
  <si>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</si>
  <si>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</si>
  <si>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</si>
  <si>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</si>
  <si>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</si>
  <si>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</si>
  <si>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</si>
  <si>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</si>
  <si>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</si>
  <si>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</si>
  <si>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</si>
  <si>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</si>
  <si>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</si>
  <si>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</si>
  <si>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</si>
  <si>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</si>
  <si>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</si>
  <si>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</si>
  <si>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</si>
  <si>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</si>
  <si>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</si>
  <si>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</si>
  <si>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</si>
  <si>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</si>
  <si>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</si>
  <si>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</si>
  <si>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</si>
  <si>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</si>
  <si>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</si>
  <si>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</si>
  <si>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</si>
  <si>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</si>
  <si>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</si>
  <si>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</si>
  <si>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</si>
  <si>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</si>
  <si>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</si>
  <si>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</si>
  <si>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</si>
  <si>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</si>
  <si>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</si>
  <si>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</si>
  <si>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</si>
  <si>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</si>
  <si>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</si>
  <si>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</si>
  <si>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</si>
  <si>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</si>
  <si>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</si>
  <si>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</si>
  <si>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</si>
  <si>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</si>
  <si>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</si>
  <si>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</si>
  <si>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</si>
  <si>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</si>
  <si>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</si>
  <si>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</si>
  <si>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</si>
  <si>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</si>
  <si>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</si>
  <si>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</si>
  <si>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</si>
  <si>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</si>
  <si>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</si>
  <si>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</si>
  <si>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</si>
  <si>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</si>
  <si>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</si>
  <si>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</si>
  <si>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</si>
  <si>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</si>
  <si>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</si>
  <si>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</si>
  <si>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</si>
  <si>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</si>
  <si>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</si>
  <si>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</si>
  <si>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</si>
  <si>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</si>
  <si>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</si>
  <si>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</si>
  <si>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</si>
  <si>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</si>
  <si>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</si>
  <si>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</si>
  <si>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</si>
  <si>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</si>
  <si>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</si>
  <si>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</si>
  <si>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</si>
  <si>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</si>
  <si>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</si>
  <si>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</si>
  <si>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</si>
  <si>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</si>
  <si>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</si>
  <si>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</si>
  <si>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</si>
  <si>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</si>
  <si>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</si>
  <si>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</si>
  <si>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</si>
  <si>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</si>
  <si>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</si>
  <si>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</si>
  <si>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</si>
  <si>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</si>
  <si>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</si>
  <si>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</si>
  <si>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</si>
  <si>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</si>
  <si>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</si>
  <si>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</si>
  <si>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</si>
  <si>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</si>
  <si>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</si>
  <si>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</si>
  <si>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</si>
  <si>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</si>
  <si>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</si>
  <si>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</si>
  <si>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</si>
  <si>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</si>
  <si>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</si>
  <si>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</si>
  <si>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</si>
  <si>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</si>
  <si>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</si>
  <si>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</si>
  <si>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</si>
  <si>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</si>
  <si>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</si>
  <si>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</si>
  <si>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</si>
  <si>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</si>
  <si>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</si>
  <si>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</si>
  <si>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</si>
  <si>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</si>
  <si>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</si>
  <si>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</si>
  <si>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</si>
  <si>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</si>
  <si>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</si>
  <si>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</si>
  <si>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</si>
  <si>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</si>
  <si>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</si>
  <si>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</si>
  <si>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</si>
  <si>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</si>
  <si>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</si>
  <si>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</si>
  <si>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</si>
  <si>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</si>
  <si>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</si>
  <si>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</si>
  <si>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</si>
  <si>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</si>
  <si>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</si>
  <si>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</si>
  <si>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</si>
  <si>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</si>
  <si>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</si>
  <si>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</si>
  <si>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</si>
  <si>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</si>
  <si>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</si>
  <si>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</si>
  <si>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</si>
  <si>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</si>
  <si>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</si>
  <si>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</si>
  <si>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</si>
  <si>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</si>
  <si>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</si>
  <si>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</si>
  <si>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</si>
  <si>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</si>
  <si>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</si>
  <si>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</si>
  <si>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</si>
  <si>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</si>
  <si>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</si>
  <si>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</si>
  <si>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</si>
  <si>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</si>
  <si>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</si>
  <si>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</si>
  <si>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</si>
  <si>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</si>
  <si>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</si>
  <si>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</si>
  <si>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</si>
  <si>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</si>
  <si>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</si>
  <si>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</si>
  <si>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</si>
  <si>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</si>
  <si>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</si>
  <si>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</si>
  <si>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</si>
  <si>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</si>
  <si>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</si>
  <si>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</si>
  <si>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</si>
  <si>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</si>
  <si>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</si>
  <si>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</si>
  <si>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</si>
  <si>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</si>
  <si>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</si>
  <si>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</si>
  <si>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</si>
  <si>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</si>
  <si>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</si>
  <si>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</si>
  <si>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</si>
  <si>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</si>
  <si>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</si>
  <si>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</si>
  <si>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</si>
  <si>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</si>
  <si>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</si>
  <si>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</si>
  <si>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</si>
  <si>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</si>
  <si>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</si>
  <si>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</si>
  <si>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</si>
  <si>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</si>
  <si>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</si>
  <si>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</si>
  <si>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</si>
  <si>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</si>
  <si>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</si>
  <si>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</si>
  <si>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</si>
  <si>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</si>
  <si>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</si>
  <si>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</si>
  <si>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</si>
  <si>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</si>
  <si>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</si>
  <si>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</si>
  <si>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</si>
  <si>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</si>
  <si>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</si>
  <si>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</si>
  <si>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</si>
  <si>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</si>
  <si>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</si>
  <si>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</si>
  <si>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</si>
  <si>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</si>
  <si>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</si>
  <si>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</si>
  <si>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</si>
  <si>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</si>
  <si>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</si>
  <si>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</si>
  <si>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</si>
  <si>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</si>
  <si>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</si>
  <si>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</si>
  <si>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</si>
  <si>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</si>
  <si>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</si>
  <si>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</si>
  <si>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</si>
  <si>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</si>
  <si>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</si>
  <si>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</si>
  <si>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</si>
  <si>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</si>
  <si>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</si>
  <si>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</si>
  <si>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</si>
  <si>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</si>
  <si>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</si>
  <si>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</si>
  <si>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</si>
  <si>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</si>
  <si>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</si>
  <si>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</si>
  <si>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</si>
  <si>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</si>
  <si>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</si>
  <si>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</si>
  <si>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</si>
  <si>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</si>
  <si>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</si>
  <si>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</si>
  <si>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</si>
  <si>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</si>
  <si>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</si>
  <si>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</si>
  <si>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</si>
  <si>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</si>
  <si>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</si>
  <si>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</si>
  <si>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</si>
  <si>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</si>
  <si>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</si>
  <si>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</si>
  <si>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</si>
  <si>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</si>
  <si>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</si>
  <si>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</si>
  <si>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</si>
  <si>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</si>
  <si>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</si>
  <si>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</si>
  <si>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</si>
  <si>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</si>
  <si>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</si>
  <si>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</si>
  <si>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</si>
  <si>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</si>
  <si>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</si>
  <si>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</si>
  <si>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</si>
  <si>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</si>
  <si>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</si>
  <si>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</si>
  <si>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</si>
  <si>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</si>
  <si>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</si>
  <si>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</si>
  <si>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</si>
  <si>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</si>
  <si>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</si>
  <si>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</si>
  <si>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</si>
  <si>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</si>
  <si>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</si>
  <si>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</si>
  <si>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</si>
  <si>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</si>
  <si>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</si>
  <si>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</si>
  <si>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</si>
  <si>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</si>
  <si>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</si>
  <si>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</si>
  <si>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</si>
  <si>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</si>
  <si>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</si>
  <si>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</si>
  <si>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</si>
  <si>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</si>
  <si>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</si>
  <si>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</si>
  <si>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</si>
  <si>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</si>
  <si>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</si>
  <si>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</si>
  <si>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</si>
  <si>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</si>
  <si>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</si>
  <si>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</si>
  <si>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</si>
  <si>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</si>
  <si>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</si>
  <si>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</si>
  <si>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</si>
  <si>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</si>
  <si>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</si>
  <si>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</si>
  <si>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</si>
  <si>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</si>
  <si>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</si>
  <si>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</si>
  <si>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</si>
  <si>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</si>
  <si>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</si>
  <si>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</si>
  <si>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</si>
  <si>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</si>
  <si>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</si>
  <si>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</si>
  <si>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</si>
  <si>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</si>
  <si>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</si>
  <si>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</si>
  <si>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</si>
  <si>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</si>
  <si>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</si>
  <si>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</si>
  <si>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</si>
  <si>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</si>
  <si>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</si>
  <si>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</si>
  <si>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</si>
  <si>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</si>
  <si>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</si>
  <si>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</si>
  <si>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</si>
  <si>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</si>
  <si>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</si>
  <si>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</si>
  <si>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</si>
  <si>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</si>
  <si>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</si>
  <si>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</si>
  <si>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</si>
  <si>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</si>
  <si>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</si>
  <si>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</si>
  <si>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</si>
  <si>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</si>
  <si>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</si>
  <si>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</si>
  <si>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</si>
  <si>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</si>
  <si>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</si>
  <si>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</si>
  <si>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</si>
  <si>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</si>
  <si>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</si>
  <si>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</si>
  <si>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</si>
  <si>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</si>
  <si>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</si>
  <si>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</si>
  <si>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</si>
  <si>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</si>
  <si>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</si>
  <si>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</si>
  <si>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</si>
  <si>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</si>
  <si>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</si>
  <si>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</si>
  <si>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</si>
  <si>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</si>
  <si>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</si>
  <si>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</si>
  <si>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</si>
  <si>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</si>
  <si>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</si>
  <si>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</si>
  <si>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</si>
  <si>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</si>
  <si>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</si>
  <si>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</si>
  <si>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</si>
  <si>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</si>
  <si>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</si>
  <si>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</si>
  <si>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</si>
  <si>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</si>
  <si>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</si>
  <si>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</si>
  <si>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</si>
  <si>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</si>
  <si>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</si>
  <si>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</si>
  <si>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</si>
  <si>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</si>
  <si>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</si>
  <si>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</si>
  <si>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</si>
  <si>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</si>
  <si>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</si>
  <si>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</si>
  <si>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</si>
  <si>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</si>
  <si>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</si>
  <si>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</si>
  <si>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</si>
  <si>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</si>
  <si>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</si>
  <si>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</si>
  <si>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</si>
  <si>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</si>
  <si>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</si>
  <si>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</si>
  <si>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</si>
  <si>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</si>
  <si>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</si>
  <si>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</si>
  <si>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</si>
  <si>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</si>
  <si>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</si>
  <si>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</si>
  <si>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</si>
  <si>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</si>
  <si>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</si>
  <si>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</si>
  <si>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</si>
  <si>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</si>
  <si>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</si>
  <si>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</si>
  <si>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</si>
  <si>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</si>
  <si>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</si>
  <si>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</si>
  <si>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</si>
  <si>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</si>
  <si>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</si>
  <si>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</si>
  <si>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</si>
  <si>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</si>
  <si>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</si>
  <si>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</si>
  <si>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</si>
  <si>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</si>
  <si>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</si>
  <si>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</si>
  <si>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</si>
  <si>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</si>
  <si>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</si>
  <si>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</si>
  <si>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</si>
  <si>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</si>
  <si>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</si>
  <si>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</si>
  <si>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</si>
  <si>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</si>
  <si>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</si>
  <si>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</si>
  <si>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</si>
  <si>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</si>
  <si>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</si>
  <si>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</si>
  <si>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</si>
  <si>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</si>
  <si>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</si>
  <si>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</si>
  <si>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</si>
  <si>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</si>
  <si>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</si>
  <si>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</si>
  <si>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</si>
  <si>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</si>
  <si>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</si>
  <si>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</si>
  <si>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</si>
  <si>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</si>
  <si>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</si>
  <si>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</si>
  <si>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</si>
  <si>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</si>
  <si>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</si>
  <si>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</si>
  <si>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</si>
  <si>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</si>
  <si>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</si>
  <si>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</si>
  <si>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</si>
  <si>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</si>
  <si>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</si>
  <si>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</si>
  <si>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</si>
  <si>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</si>
  <si>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</si>
  <si>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</si>
  <si>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</si>
  <si>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</si>
  <si>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</si>
  <si>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</si>
  <si>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</si>
  <si>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</si>
  <si>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</si>
  <si>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</si>
  <si>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</si>
  <si>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</si>
  <si>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</si>
  <si>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</si>
  <si>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</si>
  <si>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</si>
  <si>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</si>
  <si>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</si>
  <si>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</si>
  <si>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</si>
  <si>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</si>
  <si>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</si>
  <si>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</si>
  <si>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</si>
  <si>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</si>
  <si>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</si>
  <si>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</si>
  <si>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</si>
  <si>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</si>
  <si>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</si>
  <si>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</si>
  <si>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</si>
  <si>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</si>
  <si>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</si>
  <si>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</si>
  <si>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</si>
  <si>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</si>
  <si>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</si>
  <si>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</si>
  <si>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</si>
  <si>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</si>
  <si>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</si>
  <si>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</si>
  <si>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</si>
  <si>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</si>
  <si>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</si>
  <si>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</si>
  <si>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</si>
  <si>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</si>
  <si>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</si>
  <si>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</si>
  <si>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</si>
  <si>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</si>
  <si>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</si>
  <si>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</si>
  <si>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</si>
  <si>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</si>
  <si>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</si>
  <si>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</si>
  <si>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</si>
  <si>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</si>
  <si>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</si>
  <si>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</si>
  <si>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</si>
  <si>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</si>
  <si>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</si>
  <si>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</si>
  <si>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</si>
  <si>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</si>
  <si>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</si>
  <si>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</si>
  <si>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</si>
  <si>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</si>
  <si>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</si>
  <si>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</si>
  <si>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</si>
  <si>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</si>
  <si>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</si>
  <si>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</si>
  <si>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</si>
  <si>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</si>
  <si>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</si>
  <si>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</si>
  <si>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</si>
  <si>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</si>
  <si>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</si>
  <si>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</si>
  <si>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</si>
  <si>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</si>
  <si>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</si>
  <si>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</si>
  <si>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</si>
  <si>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</si>
  <si>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</si>
  <si>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</si>
  <si>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</si>
  <si>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</si>
  <si>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</si>
  <si>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</si>
  <si>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</si>
  <si>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</si>
  <si>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</si>
  <si>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</si>
  <si>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</si>
  <si>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</si>
  <si>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</si>
  <si>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</si>
  <si>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</si>
  <si>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</si>
  <si>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</si>
  <si>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</si>
  <si>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</si>
  <si>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</si>
  <si>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</si>
  <si>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</si>
  <si>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</si>
  <si>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</si>
  <si>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</si>
  <si>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</si>
  <si>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</si>
  <si>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</si>
  <si>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</si>
  <si>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</si>
  <si>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</si>
  <si>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</si>
  <si>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</si>
  <si>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</si>
  <si>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</si>
  <si>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</si>
  <si>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</si>
  <si>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</si>
  <si>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</si>
  <si>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</si>
  <si>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</si>
  <si>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</si>
  <si>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</si>
  <si>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</si>
  <si>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</si>
  <si>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</si>
  <si>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</si>
  <si>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</si>
  <si>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</si>
  <si>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</si>
  <si>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</si>
  <si>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</si>
  <si>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</si>
  <si>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</si>
  <si>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</si>
  <si>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</si>
  <si>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</si>
  <si>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</si>
  <si>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</si>
  <si>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</si>
  <si>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</si>
  <si>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</si>
  <si>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</si>
  <si>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</si>
  <si>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</si>
  <si>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</si>
  <si>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</si>
  <si>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</si>
  <si>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</si>
  <si>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</si>
  <si>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</si>
  <si>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</si>
  <si>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</si>
  <si>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</si>
  <si>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</si>
  <si>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</si>
  <si>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</si>
  <si>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</si>
  <si>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</si>
  <si>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</si>
  <si>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</si>
  <si>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</si>
  <si>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</si>
  <si>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</si>
  <si>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</si>
  <si>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</si>
  <si>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</si>
  <si>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</si>
  <si>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</si>
  <si>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</si>
  <si>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</si>
  <si>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</si>
  <si>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</si>
  <si>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</si>
  <si>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</si>
  <si>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</si>
  <si>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</si>
  <si>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</si>
  <si>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</si>
  <si>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</si>
  <si>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</si>
  <si>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</si>
  <si>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</si>
  <si>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</si>
  <si>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</si>
  <si>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</si>
  <si>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</si>
  <si>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</si>
  <si>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</si>
  <si>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</si>
  <si>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</si>
  <si>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</si>
  <si>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</si>
  <si>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</si>
  <si>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</si>
  <si>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</si>
  <si>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</si>
  <si>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</si>
  <si>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</si>
  <si>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</si>
  <si>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</si>
  <si>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</si>
  <si>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</si>
  <si>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</si>
  <si>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</si>
  <si>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</si>
  <si>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</si>
  <si>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</si>
  <si>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</si>
  <si>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</si>
  <si>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</si>
  <si>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</si>
  <si>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</si>
  <si>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</si>
  <si>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</si>
  <si>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</si>
  <si>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</si>
  <si>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</si>
  <si>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</si>
  <si>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</si>
  <si>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</si>
  <si>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</si>
  <si>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</si>
  <si>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</si>
  <si>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</si>
  <si>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</si>
  <si>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</si>
  <si>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</si>
  <si>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</si>
  <si>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</si>
  <si>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</si>
  <si>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</si>
  <si>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</si>
  <si>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</si>
  <si>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</si>
  <si>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</si>
  <si>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</si>
  <si>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</si>
  <si>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</si>
  <si>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</si>
  <si>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</si>
  <si>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</si>
  <si>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</si>
  <si>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</si>
  <si>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</si>
  <si>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</si>
  <si>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</si>
  <si>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</si>
  <si>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</si>
  <si>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</si>
  <si>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</si>
  <si>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</si>
  <si>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</si>
  <si>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</si>
  <si>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</si>
  <si>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</si>
  <si>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</si>
  <si>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</si>
  <si>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</si>
  <si>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</si>
  <si>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</si>
  <si>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</si>
  <si>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</si>
  <si>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</si>
  <si>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</si>
  <si>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</si>
  <si>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</si>
  <si>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</si>
  <si>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</si>
  <si>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</si>
  <si>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</si>
  <si>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</si>
  <si>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</si>
  <si>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</si>
  <si>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</si>
  <si>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</si>
  <si>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</si>
  <si>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</si>
  <si>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</si>
  <si>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</si>
  <si>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</si>
  <si>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</si>
  <si>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</si>
  <si>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</si>
  <si>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</si>
  <si>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</si>
  <si>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</si>
  <si>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</si>
  <si>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</si>
  <si>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</si>
  <si>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</si>
  <si>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</si>
  <si>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</si>
  <si>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</si>
  <si>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</si>
  <si>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</si>
  <si>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</si>
  <si>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</si>
  <si>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</si>
  <si>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</si>
  <si>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</si>
  <si>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</si>
  <si>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</si>
  <si>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</si>
  <si>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</si>
  <si>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</si>
  <si>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</si>
  <si>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</si>
  <si>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</si>
  <si>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</si>
  <si>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</si>
  <si>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</si>
  <si>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</si>
  <si>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</si>
  <si>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</si>
  <si>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</si>
  <si>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</si>
  <si>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</si>
  <si>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</si>
  <si>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</si>
  <si>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</si>
  <si>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</si>
  <si>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</si>
  <si>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</si>
  <si>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</si>
  <si>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</si>
  <si>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</si>
  <si>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</si>
  <si>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</si>
  <si>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</si>
  <si>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</si>
  <si>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</si>
  <si>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</si>
  <si>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</si>
  <si>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</si>
  <si>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</si>
  <si>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</si>
  <si>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</si>
  <si>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</si>
  <si>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</si>
  <si>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</si>
  <si>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</si>
  <si>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</si>
  <si>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</si>
  <si>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</si>
  <si>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</si>
  <si>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</si>
  <si>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</si>
  <si>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</si>
  <si>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</si>
  <si>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</si>
  <si>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</si>
  <si>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</si>
  <si>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</si>
  <si>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</si>
  <si>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</si>
  <si>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</si>
  <si>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</si>
  <si>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</si>
  <si>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</si>
  <si>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</si>
  <si>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</si>
  <si>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</si>
  <si>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</si>
  <si>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</si>
  <si>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</si>
  <si>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</si>
  <si>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</si>
  <si>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</si>
  <si>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</si>
  <si>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</si>
  <si>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</si>
  <si>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</si>
  <si>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</si>
  <si>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</si>
  <si>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</si>
  <si>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</si>
  <si>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</si>
  <si>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</si>
  <si>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</si>
  <si>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</si>
  <si>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</si>
  <si>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</si>
  <si>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</si>
  <si>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</si>
  <si>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</si>
  <si>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</si>
  <si>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</si>
  <si>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</si>
  <si>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</si>
  <si>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</si>
  <si>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</si>
  <si>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</si>
  <si>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</si>
  <si>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</si>
  <si>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</si>
  <si>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</si>
  <si>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</si>
  <si>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</si>
  <si>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</si>
  <si>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</si>
  <si>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</si>
  <si>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</si>
  <si>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</si>
  <si>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</si>
  <si>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</si>
  <si>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</si>
  <si>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</si>
  <si>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</si>
  <si>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</si>
  <si>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</si>
  <si>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</si>
  <si>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</si>
  <si>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</si>
  <si>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</si>
  <si>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</si>
  <si>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</si>
  <si>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</si>
  <si>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</si>
  <si>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</si>
  <si>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</si>
  <si>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</si>
  <si>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</si>
  <si>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</si>
  <si>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</si>
  <si>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</si>
  <si>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</si>
  <si>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</si>
  <si>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</si>
  <si>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</si>
  <si>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</si>
  <si>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</si>
  <si>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</si>
  <si>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</si>
  <si>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</si>
  <si>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</si>
  <si>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</si>
  <si>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</si>
  <si>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</si>
  <si>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</si>
  <si>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</si>
  <si>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</si>
  <si>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</si>
  <si>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</si>
  <si>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</si>
  <si>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</si>
  <si>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</si>
  <si>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</si>
  <si>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</si>
  <si>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</si>
  <si>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</si>
  <si>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</si>
  <si>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</si>
  <si>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</si>
  <si>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</si>
  <si>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</si>
  <si>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</si>
  <si>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</si>
  <si>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</si>
  <si>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</si>
  <si>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</si>
  <si>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</si>
  <si>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</si>
  <si>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</si>
  <si>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</si>
  <si>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</si>
  <si>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</si>
  <si>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</si>
  <si>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</si>
  <si>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</si>
  <si>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</si>
  <si>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</si>
  <si>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</si>
  <si>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</si>
  <si>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</si>
  <si>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</si>
  <si>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</si>
  <si>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</si>
  <si>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</si>
  <si>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</si>
  <si>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</si>
  <si>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</si>
  <si>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</si>
  <si>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</si>
  <si>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</si>
  <si>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</si>
  <si>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</si>
  <si>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</si>
  <si>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</si>
  <si>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</si>
  <si>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</si>
  <si>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</si>
  <si>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</si>
  <si>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</si>
  <si>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</si>
  <si>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</si>
  <si>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</si>
  <si>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</si>
  <si>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</si>
  <si>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</si>
  <si>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</si>
  <si>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</si>
  <si>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</si>
  <si>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</si>
  <si>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</si>
  <si>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</si>
  <si>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</si>
  <si>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</si>
  <si>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</si>
  <si>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</si>
  <si>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</si>
  <si>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</si>
  <si>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</si>
  <si>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</si>
  <si>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</si>
  <si>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</si>
  <si>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</si>
  <si>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</si>
  <si>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</si>
  <si>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</si>
  <si>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</si>
  <si>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</si>
  <si>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</si>
  <si>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</si>
  <si>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</si>
  <si>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</si>
  <si>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</si>
  <si>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</si>
  <si>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</si>
  <si>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</si>
  <si>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</si>
  <si>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</si>
  <si>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</si>
  <si>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</si>
  <si>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</si>
  <si>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</si>
  <si>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</si>
  <si>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</si>
  <si>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</si>
  <si>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</si>
  <si>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</si>
  <si>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</si>
  <si>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</si>
  <si>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</si>
  <si>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</si>
  <si>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</si>
  <si>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</si>
  <si>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</si>
  <si>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</si>
  <si>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</si>
  <si>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</si>
  <si>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</si>
  <si>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</si>
  <si>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</si>
  <si>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</si>
  <si>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</si>
  <si>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</si>
  <si>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</si>
  <si>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</si>
  <si>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</si>
  <si>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</si>
  <si>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</si>
  <si>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</si>
  <si>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</si>
  <si>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</si>
  <si>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</si>
  <si>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</si>
  <si>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</si>
  <si>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</si>
  <si>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</si>
  <si>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</si>
  <si>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</si>
  <si>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</si>
  <si>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</si>
  <si>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</si>
  <si>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</si>
  <si>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</si>
  <si>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</si>
  <si>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</si>
  <si>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</si>
  <si>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</si>
  <si>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</si>
  <si>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</si>
  <si>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</si>
  <si>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</si>
  <si>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</si>
  <si>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</si>
  <si>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</si>
  <si>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</si>
  <si>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</si>
  <si>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</si>
  <si>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</si>
  <si>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</si>
  <si>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</si>
  <si>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</si>
  <si>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</si>
  <si>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</si>
  <si>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</si>
  <si>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</si>
  <si>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</si>
  <si>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</si>
  <si>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</si>
  <si>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</si>
  <si>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</si>
  <si>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</si>
  <si>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</si>
  <si>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</si>
  <si>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</si>
  <si>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</si>
  <si>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</si>
  <si>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</si>
  <si>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</si>
  <si>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</si>
  <si>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</si>
  <si>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</si>
  <si>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</si>
  <si>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</si>
  <si>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</si>
  <si>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</si>
  <si>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</si>
  <si>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</si>
  <si>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</si>
  <si>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</si>
  <si>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</si>
  <si>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</si>
  <si>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</si>
  <si>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</si>
  <si>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</si>
  <si>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</si>
  <si>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</si>
  <si>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</si>
  <si>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</si>
  <si>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</si>
  <si>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</si>
  <si>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</si>
  <si>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</si>
  <si>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</si>
  <si>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</si>
  <si>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</si>
  <si>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</si>
  <si>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</si>
  <si>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</si>
  <si>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</si>
  <si>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</si>
  <si>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</si>
  <si>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</si>
  <si>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</si>
  <si>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</si>
  <si>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</si>
  <si>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</si>
  <si>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</si>
  <si>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</si>
  <si>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</si>
  <si>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</si>
  <si>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</si>
  <si>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</si>
  <si>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</si>
  <si>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</si>
  <si>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</si>
  <si>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</si>
  <si>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</si>
  <si>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</si>
  <si>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</si>
  <si>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</si>
  <si>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</si>
  <si>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</si>
  <si>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</si>
  <si>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</si>
  <si>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</si>
  <si>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</si>
  <si>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</si>
  <si>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</si>
  <si>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</si>
  <si>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</si>
  <si>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</si>
  <si>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</si>
  <si>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</si>
  <si>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</si>
  <si>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</si>
  <si>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</si>
  <si>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</si>
  <si>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</si>
  <si>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</si>
  <si>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</si>
  <si>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</si>
  <si>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</si>
  <si>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</si>
  <si>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</si>
  <si>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</si>
  <si>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</si>
  <si>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</si>
  <si>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</si>
  <si>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</si>
  <si>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</si>
  <si>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</si>
  <si>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</si>
  <si>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</si>
  <si>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</si>
  <si>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</si>
  <si>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</si>
  <si>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</si>
  <si>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</si>
  <si>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</si>
  <si>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</si>
  <si>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</si>
  <si>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</si>
  <si>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</si>
  <si>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</si>
  <si>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</si>
  <si>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</si>
  <si>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</si>
  <si>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</si>
  <si>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</si>
  <si>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</si>
  <si>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</si>
  <si>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</si>
  <si>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</si>
  <si>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</si>
  <si>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</si>
  <si>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</si>
  <si>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</si>
  <si>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</si>
  <si>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</si>
  <si>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</si>
  <si>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</si>
  <si>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</si>
  <si>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</si>
  <si>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</si>
  <si>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</si>
  <si>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</si>
  <si>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</si>
  <si>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</si>
  <si>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</si>
  <si>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</si>
  <si>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</si>
  <si>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</si>
  <si>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</si>
  <si>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</si>
  <si>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</si>
  <si>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</si>
  <si>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</si>
  <si>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</si>
  <si>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</si>
  <si>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</si>
  <si>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</si>
  <si>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</si>
  <si>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</si>
  <si>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</si>
  <si>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</si>
  <si>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</si>
  <si>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</si>
  <si>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</si>
  <si>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</si>
  <si>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</si>
  <si>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</si>
  <si>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</si>
  <si>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</si>
  <si>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</si>
  <si>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</si>
  <si>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</si>
  <si>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</si>
  <si>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</si>
  <si>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</si>
  <si>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</si>
  <si>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</si>
  <si>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</si>
  <si>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</si>
  <si>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</si>
  <si>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</si>
  <si>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</si>
  <si>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</si>
  <si>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</si>
  <si>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</si>
  <si>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</si>
  <si>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</si>
  <si>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</si>
  <si>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</si>
  <si>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</si>
  <si>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</si>
  <si>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</si>
  <si>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</si>
  <si>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</si>
  <si>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</si>
  <si>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</si>
  <si>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</si>
  <si>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</si>
  <si>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</si>
  <si>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</si>
  <si>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</si>
  <si>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</si>
  <si>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</si>
  <si>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</si>
  <si>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</si>
  <si>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</si>
  <si>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</si>
  <si>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</si>
  <si>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</si>
  <si>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</si>
  <si>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</si>
  <si>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</si>
  <si>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</si>
  <si>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</si>
  <si>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</si>
  <si>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</si>
  <si>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</si>
  <si>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</si>
  <si>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</si>
  <si>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</si>
  <si>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</si>
  <si>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</si>
  <si>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</si>
  <si>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</si>
  <si>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</si>
  <si>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</si>
  <si>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</si>
  <si>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</si>
  <si>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</si>
  <si>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</si>
  <si>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</si>
  <si>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</si>
  <si>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</si>
  <si>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</si>
  <si>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</si>
  <si>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</si>
  <si>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</si>
  <si>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</si>
  <si>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</si>
  <si>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</si>
  <si>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</si>
  <si>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</si>
  <si>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</si>
  <si>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</si>
  <si>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</si>
  <si>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</si>
  <si>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</si>
  <si>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</si>
  <si>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</si>
  <si>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</si>
  <si>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</si>
  <si>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</si>
  <si>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</si>
  <si>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</si>
  <si>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</si>
  <si>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</si>
  <si>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</si>
  <si>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</si>
  <si>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</si>
  <si>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</si>
  <si>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</si>
  <si>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</si>
  <si>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</si>
  <si>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</si>
  <si>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</si>
  <si>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</si>
  <si>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</si>
  <si>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</si>
  <si>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</si>
  <si>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</si>
  <si>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</si>
  <si>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</si>
  <si>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</si>
  <si>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</si>
  <si>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</si>
  <si>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</si>
  <si>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</si>
  <si>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</si>
  <si>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</si>
  <si>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</si>
  <si>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</si>
  <si>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</si>
  <si>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</si>
  <si>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</si>
  <si>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</si>
  <si>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</si>
  <si>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</si>
  <si>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</si>
  <si>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</si>
  <si>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</si>
  <si>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</si>
  <si>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</si>
  <si>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</si>
  <si>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</si>
  <si>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</si>
  <si>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</si>
  <si>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</si>
  <si>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</si>
  <si>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</si>
  <si>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</si>
  <si>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</si>
  <si>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</si>
  <si>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</si>
  <si>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</si>
  <si>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</si>
  <si>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</si>
  <si>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</si>
  <si>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</si>
  <si>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</si>
  <si>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</si>
  <si>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</si>
  <si>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</si>
  <si>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</si>
  <si>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</si>
  <si>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</si>
  <si>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</si>
  <si>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</si>
  <si>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</si>
  <si>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</si>
  <si>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</si>
  <si>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</si>
  <si>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</si>
  <si>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</si>
  <si>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</si>
  <si>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</si>
  <si>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</si>
  <si>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</si>
  <si>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</si>
  <si>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</si>
  <si>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</si>
  <si>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</si>
  <si>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</si>
  <si>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</si>
  <si>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</si>
  <si>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</si>
  <si>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</si>
  <si>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</si>
  <si>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</si>
  <si>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</si>
  <si>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</si>
  <si>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</si>
  <si>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</si>
  <si>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</si>
  <si>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</si>
  <si>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</si>
  <si>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</si>
  <si>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</si>
  <si>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</si>
  <si>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</si>
  <si>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</si>
  <si>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</si>
  <si>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</si>
  <si>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</si>
  <si>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</si>
  <si>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</si>
  <si>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</si>
  <si>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</si>
  <si>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</si>
  <si>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</si>
  <si>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</si>
  <si>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</si>
  <si>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</si>
  <si>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</si>
  <si>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</si>
  <si>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</si>
  <si>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</si>
  <si>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</si>
  <si>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</si>
  <si>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</si>
  <si>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</si>
  <si>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</si>
  <si>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</si>
  <si>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</si>
  <si>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</si>
  <si>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</si>
  <si>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</si>
  <si>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</si>
  <si>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</si>
  <si>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</si>
  <si>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</si>
  <si>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</si>
  <si>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</si>
  <si>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</si>
  <si>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</si>
  <si>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</si>
  <si>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</si>
  <si>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</si>
  <si>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</si>
  <si>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</si>
  <si>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</si>
  <si>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</si>
  <si>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</si>
  <si>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</si>
  <si>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</si>
  <si>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</si>
  <si>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</si>
  <si>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</si>
  <si>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</si>
  <si>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</si>
  <si>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</si>
  <si>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</si>
  <si>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</si>
  <si>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</si>
  <si>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</si>
  <si>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</si>
  <si>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</si>
  <si>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</si>
  <si>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</si>
  <si>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</si>
  <si>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</si>
  <si>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</si>
  <si>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</si>
  <si>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</si>
  <si>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</si>
  <si>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</si>
  <si>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</si>
  <si>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</si>
  <si>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</si>
  <si>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</si>
  <si>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</si>
  <si>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</si>
  <si>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</si>
  <si>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</si>
  <si>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</si>
  <si>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</si>
  <si>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</si>
  <si>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</si>
  <si>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</si>
  <si>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</si>
  <si>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</si>
  <si>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</si>
  <si>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</si>
  <si>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</si>
  <si>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</si>
  <si>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</si>
  <si>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</si>
  <si>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</si>
  <si>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</si>
  <si>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</si>
  <si>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</si>
  <si>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</si>
  <si>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</si>
  <si>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</si>
  <si>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</si>
  <si>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</si>
  <si>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</si>
  <si>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</si>
  <si>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</si>
  <si>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</si>
  <si>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</si>
  <si>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</si>
  <si>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</si>
  <si>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</si>
  <si>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</si>
  <si>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</si>
  <si>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</si>
  <si>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</si>
  <si>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</si>
  <si>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</si>
  <si>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</si>
  <si>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</si>
  <si>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</si>
  <si>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</si>
  <si>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</si>
  <si>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</si>
  <si>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</si>
  <si>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</si>
  <si>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</si>
  <si>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</si>
  <si>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</si>
  <si>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</si>
  <si>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</si>
  <si>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</si>
  <si>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</si>
  <si>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</si>
  <si>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</si>
  <si>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</si>
  <si>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</si>
  <si>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</si>
  <si>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</si>
  <si>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</si>
  <si>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</si>
  <si>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</si>
  <si>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</si>
  <si>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</si>
  <si>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</si>
  <si>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</si>
  <si>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</si>
  <si>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</si>
  <si>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</si>
  <si>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</si>
  <si>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</si>
  <si>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</si>
  <si>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</si>
  <si>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</si>
  <si>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</si>
  <si>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</si>
  <si>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</si>
  <si>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</si>
  <si>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</si>
  <si>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</si>
  <si>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</si>
  <si>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</si>
  <si>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</si>
  <si>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</si>
  <si>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</si>
  <si>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</si>
  <si>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</si>
  <si>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</si>
  <si>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</si>
  <si>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</si>
  <si>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</si>
  <si>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</si>
  <si>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</si>
  <si>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</si>
  <si>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</si>
  <si>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</si>
  <si>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</si>
  <si>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</si>
  <si>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</si>
  <si>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</si>
  <si>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</si>
  <si>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</si>
  <si>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</si>
  <si>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</si>
  <si>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</si>
  <si>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</si>
  <si>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</si>
  <si>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</si>
  <si>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</si>
  <si>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</si>
  <si>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</si>
  <si>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</si>
  <si>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</si>
  <si>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</si>
  <si>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</si>
  <si>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</si>
  <si>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</si>
  <si>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</si>
  <si>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</si>
  <si>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</si>
  <si>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</si>
  <si>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</si>
  <si>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</si>
  <si>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</si>
  <si>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</si>
  <si>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</si>
  <si>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</si>
  <si>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</si>
  <si>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</si>
  <si>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</si>
  <si>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</si>
  <si>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</si>
  <si>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</si>
  <si>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</si>
  <si>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</si>
  <si>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</si>
  <si>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</si>
  <si>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</si>
  <si>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</si>
  <si>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</si>
  <si>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</si>
  <si>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</si>
  <si>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</si>
  <si>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</si>
  <si>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</si>
  <si>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</si>
  <si>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</si>
  <si>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</si>
  <si>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</si>
  <si>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</si>
  <si>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</si>
  <si>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</si>
  <si>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</si>
  <si>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</si>
  <si>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</si>
  <si>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</si>
  <si>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</si>
  <si>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</si>
  <si>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</si>
  <si>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</si>
  <si>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</si>
  <si>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</si>
  <si>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</si>
  <si>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</si>
  <si>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</si>
  <si>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</si>
  <si>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</si>
  <si>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</si>
  <si>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</si>
  <si>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</si>
  <si>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</si>
  <si>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</si>
  <si>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</si>
  <si>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</si>
  <si>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</si>
  <si>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</si>
  <si>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</si>
  <si>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</si>
  <si>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</si>
  <si>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</si>
  <si>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</si>
  <si>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</si>
  <si>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</si>
  <si>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</si>
  <si>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</si>
  <si>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</si>
  <si>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</si>
  <si>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</si>
  <si>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</si>
  <si>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</si>
  <si>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</si>
  <si>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</si>
  <si>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</si>
  <si>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</si>
  <si>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</si>
  <si>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</si>
  <si>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</si>
  <si>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</si>
  <si>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</si>
  <si>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</si>
  <si>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</si>
  <si>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</si>
  <si>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</si>
  <si>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</si>
  <si>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</si>
  <si>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</si>
  <si>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</si>
  <si>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</si>
  <si>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</si>
  <si>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</si>
  <si>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</si>
  <si>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</si>
  <si>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</si>
  <si>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</si>
  <si>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</si>
  <si>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</si>
  <si>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</si>
  <si>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</si>
  <si>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</si>
  <si>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</si>
  <si>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</si>
  <si>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</si>
  <si>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</si>
  <si>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</si>
  <si>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</si>
  <si>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</si>
  <si>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</si>
  <si>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</si>
  <si>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</si>
  <si>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</si>
  <si>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</si>
  <si>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</si>
  <si>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</si>
  <si>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</si>
  <si>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</si>
  <si>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</si>
  <si>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</si>
  <si>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</si>
  <si>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</si>
  <si>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</si>
  <si>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</si>
  <si>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</si>
  <si>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</si>
  <si>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</si>
  <si>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</si>
  <si>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</si>
  <si>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</si>
  <si>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</si>
  <si>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</si>
  <si>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</si>
  <si>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</si>
  <si>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</si>
  <si>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</si>
  <si>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</si>
  <si>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</si>
  <si>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</si>
  <si>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</si>
  <si>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</si>
  <si>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</si>
  <si>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</si>
  <si>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</si>
  <si>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</si>
  <si>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</si>
  <si>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</si>
  <si>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</si>
  <si>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</si>
  <si>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</si>
  <si>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</si>
  <si>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</si>
  <si>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</si>
  <si>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</si>
  <si>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</si>
  <si>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</si>
  <si>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</si>
  <si>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</si>
  <si>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</si>
  <si>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</si>
  <si>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</si>
  <si>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</si>
  <si>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</si>
  <si>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</si>
  <si>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</si>
  <si>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</si>
  <si>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</si>
  <si>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</si>
  <si>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</si>
  <si>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</si>
  <si>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</si>
  <si>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</si>
  <si>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</si>
  <si>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</si>
  <si>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</si>
  <si>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</si>
  <si>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</si>
  <si>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</si>
  <si>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</si>
  <si>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</si>
  <si>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</si>
  <si>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</si>
  <si>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</si>
  <si>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</si>
  <si>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</si>
  <si>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</si>
  <si>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</si>
  <si>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</si>
  <si>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</si>
  <si>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</si>
  <si>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</si>
  <si>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</si>
  <si>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</si>
  <si>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</si>
  <si>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</si>
  <si>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</si>
  <si>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</si>
  <si>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</si>
  <si>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</si>
  <si>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</si>
  <si>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</si>
  <si>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</si>
  <si>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</si>
  <si>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</si>
  <si>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</si>
  <si>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</si>
  <si>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</si>
  <si>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</si>
  <si>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</si>
  <si>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</si>
  <si>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</si>
  <si>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</si>
  <si>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</si>
  <si>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</si>
  <si>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</si>
  <si>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</si>
  <si>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</si>
  <si>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</si>
  <si>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</si>
  <si>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</si>
  <si>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</si>
  <si>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</si>
  <si>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</si>
  <si>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</si>
  <si>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</si>
  <si>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</si>
  <si>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</si>
  <si>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</si>
  <si>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</si>
  <si>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</si>
  <si>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</si>
  <si>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</si>
  <si>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</si>
  <si>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</si>
  <si>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</si>
  <si>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</si>
  <si>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</si>
  <si>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</si>
  <si>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</si>
  <si>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</si>
  <si>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</si>
  <si>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</si>
  <si>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</si>
  <si>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</si>
  <si>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</si>
  <si>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</si>
  <si>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</si>
  <si>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</si>
  <si>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</si>
  <si>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</si>
  <si>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</si>
  <si>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</si>
  <si>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</si>
  <si>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</si>
  <si>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</si>
  <si>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</si>
  <si>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</si>
  <si>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</si>
  <si>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</si>
  <si>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</si>
  <si>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</si>
  <si>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</si>
  <si>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</si>
  <si>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</si>
  <si>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</si>
  <si>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</si>
  <si>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</si>
  <si>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</si>
  <si>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</si>
  <si>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</si>
  <si>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</si>
  <si>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</si>
  <si>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</si>
  <si>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</si>
  <si>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</si>
  <si>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</si>
  <si>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</si>
  <si>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</si>
  <si>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</si>
  <si>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</si>
  <si>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</si>
  <si>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</si>
  <si>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</si>
  <si>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</si>
  <si>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</si>
  <si>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</si>
  <si>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</si>
  <si>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</si>
  <si>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</si>
  <si>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</si>
  <si>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</si>
  <si>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</si>
  <si>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</si>
  <si>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</si>
  <si>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</si>
  <si>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</si>
  <si>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</si>
  <si>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</si>
  <si>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</si>
  <si>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</si>
  <si>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</si>
  <si>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</si>
  <si>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</si>
  <si>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</si>
  <si>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</si>
  <si>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</si>
  <si>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</si>
  <si>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</si>
  <si>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</si>
  <si>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</si>
  <si>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</si>
  <si>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</si>
  <si>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</si>
  <si>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</si>
  <si>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</si>
  <si>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</si>
  <si>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</si>
  <si>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</si>
  <si>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</si>
  <si>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</si>
  <si>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</si>
  <si>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</si>
  <si>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</si>
  <si>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</si>
  <si>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</si>
  <si>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</si>
  <si>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</si>
  <si>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</si>
  <si>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</si>
  <si>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</si>
  <si>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</si>
  <si>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</si>
  <si>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</si>
  <si>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</si>
  <si>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</si>
  <si>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</si>
  <si>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</si>
  <si>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</si>
  <si>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</si>
  <si>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</si>
  <si>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</si>
  <si>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</si>
  <si>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</si>
  <si>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</si>
  <si>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</si>
  <si>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</si>
  <si>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</si>
  <si>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</si>
  <si>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</si>
  <si>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</si>
  <si>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</si>
  <si>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</si>
  <si>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</si>
  <si>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</si>
  <si>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</si>
  <si>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</si>
  <si>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</si>
  <si>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</si>
  <si>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</si>
  <si>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</si>
  <si>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</si>
  <si>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</si>
  <si>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</si>
  <si>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</si>
  <si>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</si>
  <si>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</si>
  <si>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</si>
  <si>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</si>
  <si>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</si>
  <si>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</si>
  <si>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</si>
  <si>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</si>
  <si>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</si>
  <si>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</si>
  <si>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</si>
  <si>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</si>
  <si>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</si>
  <si>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</si>
  <si>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</si>
  <si>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</si>
  <si>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</si>
  <si>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</si>
  <si>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</si>
  <si>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</si>
  <si>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</si>
  <si>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</si>
  <si>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</si>
  <si>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</si>
  <si>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</si>
  <si>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</si>
  <si>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</si>
  <si>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</si>
  <si>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</si>
  <si>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</si>
  <si>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</si>
  <si>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</si>
  <si>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</si>
  <si>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</si>
  <si>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</si>
  <si>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</si>
  <si>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</si>
  <si>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</si>
  <si>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</si>
  <si>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</si>
  <si>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</si>
  <si>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</si>
  <si>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</si>
  <si>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</si>
  <si>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</si>
  <si>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</si>
  <si>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</si>
  <si>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</si>
  <si>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</si>
  <si>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</si>
  <si>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</si>
  <si>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</si>
  <si>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</si>
  <si>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</si>
  <si>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</si>
  <si>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</si>
  <si>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</si>
  <si>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</si>
  <si>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</si>
  <si>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</si>
  <si>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</si>
  <si>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</si>
  <si>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</si>
  <si>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</si>
  <si>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</si>
  <si>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</si>
  <si>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</si>
  <si>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</si>
  <si>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</si>
  <si>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</si>
  <si>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</si>
  <si>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</si>
  <si>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</si>
  <si>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</si>
  <si>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</si>
  <si>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</si>
  <si>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</si>
  <si>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</si>
  <si>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</si>
  <si>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</si>
  <si>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</si>
  <si>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</si>
  <si>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</si>
  <si>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</si>
  <si>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</si>
  <si>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</si>
  <si>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</si>
  <si>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</si>
  <si>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</si>
  <si>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</si>
  <si>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</si>
  <si>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</si>
  <si>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</si>
  <si>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</si>
  <si>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</si>
  <si>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</si>
  <si>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</si>
  <si>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</si>
  <si>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</si>
  <si>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</si>
  <si>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</si>
  <si>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</si>
  <si>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</si>
  <si>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</si>
  <si>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</si>
  <si>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</si>
  <si>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</si>
  <si>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</si>
  <si>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</si>
  <si>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</si>
  <si>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</si>
  <si>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</si>
  <si>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</si>
  <si>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</si>
  <si>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</si>
  <si>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</si>
  <si>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</si>
  <si>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</si>
  <si>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</si>
  <si>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</si>
  <si>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</si>
  <si>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</si>
  <si>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</si>
  <si>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</si>
  <si>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</si>
  <si>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</si>
  <si>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</si>
  <si>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</si>
  <si>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</si>
  <si>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</si>
  <si>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</si>
  <si>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</si>
  <si>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</si>
  <si>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</si>
  <si>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</si>
  <si>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</si>
  <si>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</si>
  <si>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</si>
  <si>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</si>
  <si>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</si>
  <si>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</si>
  <si>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</si>
  <si>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</si>
  <si>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</si>
  <si>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</si>
  <si>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</si>
  <si>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</si>
  <si>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</si>
  <si>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</si>
  <si>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</si>
  <si>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</si>
  <si>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</si>
  <si>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</si>
  <si>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</si>
  <si>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</si>
  <si>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</si>
  <si>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</si>
  <si>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</si>
  <si>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</si>
  <si>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</si>
  <si>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</si>
  <si>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</si>
  <si>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</si>
  <si>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</si>
  <si>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</si>
  <si>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</si>
  <si>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</si>
  <si>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</si>
  <si>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</si>
  <si>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</si>
  <si>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</si>
  <si>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</si>
  <si>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</si>
  <si>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</si>
  <si>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</si>
  <si>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</si>
  <si>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</si>
  <si>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</si>
  <si>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</si>
  <si>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</si>
  <si>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</si>
  <si>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</si>
  <si>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</si>
  <si>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</si>
  <si>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</si>
  <si>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</si>
  <si>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</si>
  <si>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</si>
  <si>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</si>
  <si>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</si>
  <si>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</si>
  <si>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</si>
  <si>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</si>
  <si>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</si>
  <si>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</si>
  <si>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</si>
  <si>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</si>
  <si>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</si>
  <si>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</si>
  <si>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</si>
  <si>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</si>
  <si>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</si>
  <si>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</si>
  <si>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</si>
  <si>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</si>
  <si>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</si>
  <si>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</si>
  <si>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</si>
  <si>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</si>
  <si>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</si>
  <si>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</si>
  <si>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</si>
  <si>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</si>
  <si>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</si>
  <si>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</si>
  <si>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</si>
  <si>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</si>
  <si>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</si>
  <si>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</si>
  <si>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</si>
  <si>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</si>
  <si>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</si>
  <si>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</si>
  <si>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</si>
  <si>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</si>
  <si>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</si>
  <si>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</si>
  <si>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</si>
  <si>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</si>
  <si>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</si>
  <si>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</si>
  <si>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</si>
  <si>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</si>
  <si>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</si>
  <si>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</si>
  <si>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</si>
  <si>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</si>
  <si>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</si>
  <si>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</si>
  <si>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</si>
  <si>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</si>
  <si>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</si>
  <si>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</si>
  <si>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</si>
  <si>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</si>
  <si>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</si>
  <si>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</si>
  <si>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</si>
  <si>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</si>
  <si>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</si>
  <si>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</si>
  <si>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</si>
  <si>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</si>
  <si>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</si>
  <si>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</si>
  <si>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</si>
  <si>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</si>
  <si>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</si>
  <si>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</si>
  <si>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</si>
  <si>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</si>
  <si>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</si>
  <si>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</si>
  <si>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</si>
  <si>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</si>
  <si>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</si>
  <si>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</si>
  <si>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</si>
  <si>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</si>
  <si>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</si>
  <si>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</si>
  <si>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</si>
  <si>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</si>
  <si>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</si>
  <si>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</si>
  <si>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</si>
  <si>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</si>
  <si>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</si>
  <si>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</si>
  <si>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</si>
  <si>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</si>
  <si>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</si>
  <si>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</si>
  <si>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</si>
  <si>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</si>
  <si>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</si>
  <si>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</si>
  <si>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</si>
  <si>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</si>
  <si>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</si>
  <si>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</si>
  <si>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</si>
  <si>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</si>
  <si>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</si>
  <si>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</si>
  <si>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</si>
  <si>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</si>
  <si>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</si>
  <si>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</si>
  <si>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</si>
  <si>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</si>
  <si>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</si>
  <si>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</si>
  <si>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</si>
  <si>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</si>
  <si>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</si>
  <si>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</si>
  <si>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</si>
  <si>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</si>
  <si>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</si>
  <si>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</si>
  <si>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</si>
  <si>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</si>
  <si>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</si>
  <si>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</si>
  <si>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</si>
  <si>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</si>
  <si>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</si>
  <si>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</si>
  <si>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</si>
  <si>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</si>
  <si>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</si>
  <si>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</si>
  <si>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</si>
  <si>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</si>
  <si>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</si>
  <si>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</si>
  <si>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</si>
  <si>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</si>
  <si>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</si>
  <si>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</si>
  <si>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</si>
  <si>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</si>
  <si>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</si>
  <si>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</si>
  <si>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</si>
  <si>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</si>
  <si>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</si>
  <si>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</si>
  <si>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</si>
  <si>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</si>
  <si>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</si>
  <si>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</si>
  <si>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</si>
  <si>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</si>
  <si>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</si>
  <si>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</si>
  <si>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</si>
  <si>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</si>
  <si>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</si>
  <si>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</si>
  <si>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</si>
  <si>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</si>
  <si>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</si>
  <si>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</si>
  <si>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</si>
  <si>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</si>
  <si>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</si>
  <si>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</si>
  <si>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</si>
  <si>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</si>
  <si>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</si>
  <si>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</si>
  <si>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</si>
  <si>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</si>
  <si>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</si>
  <si>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</si>
  <si>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</si>
  <si>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</si>
  <si>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</si>
  <si>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</si>
  <si>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</si>
  <si>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</si>
  <si>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</si>
  <si>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</si>
  <si>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</si>
  <si>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</si>
  <si>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</si>
  <si>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</si>
  <si>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</si>
  <si>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</si>
  <si>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</si>
  <si>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</si>
  <si>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</si>
  <si>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</si>
  <si>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</si>
  <si>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</si>
  <si>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</si>
  <si>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</si>
  <si>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</si>
  <si>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</si>
  <si>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</si>
  <si>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</si>
  <si>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</si>
  <si>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</si>
  <si>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</si>
  <si>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</si>
  <si>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</si>
  <si>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</si>
  <si>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</si>
  <si>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</si>
  <si>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</si>
  <si>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</si>
  <si>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</si>
  <si>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</si>
  <si>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</si>
  <si>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</si>
  <si>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</si>
  <si>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</si>
  <si>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</si>
  <si>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</si>
  <si>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</si>
  <si>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</si>
  <si>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</si>
  <si>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</si>
  <si>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</si>
  <si>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</si>
  <si>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</si>
  <si>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</si>
  <si>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</si>
  <si>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</si>
  <si>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</si>
  <si>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</si>
  <si>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</si>
  <si>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</si>
  <si>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</si>
  <si>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</si>
  <si>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</si>
  <si>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</si>
  <si>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</si>
  <si>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</si>
  <si>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</si>
  <si>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</si>
  <si>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</si>
  <si>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</si>
  <si>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</si>
  <si>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</si>
  <si>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</si>
  <si>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</si>
  <si>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</si>
  <si>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</si>
  <si>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</si>
  <si>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</si>
  <si>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</si>
  <si>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</si>
  <si>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</si>
  <si>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</si>
  <si>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</si>
  <si>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</si>
  <si>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</si>
  <si>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</si>
  <si>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</si>
  <si>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</si>
  <si>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</si>
  <si>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</si>
  <si>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</si>
  <si>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</si>
  <si>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</si>
  <si>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</si>
  <si>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</si>
  <si>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</si>
  <si>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</si>
  <si>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</si>
  <si>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</si>
  <si>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</si>
  <si>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</si>
  <si>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</si>
  <si>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</si>
  <si>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</si>
  <si>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</si>
  <si>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</si>
  <si>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</si>
  <si>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</si>
  <si>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</si>
  <si>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</si>
  <si>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</si>
  <si>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</si>
  <si>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</si>
  <si>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</si>
  <si>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</si>
  <si>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</si>
  <si>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</si>
  <si>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</si>
  <si>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</si>
  <si>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</si>
  <si>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</si>
  <si>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</si>
  <si>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</si>
  <si>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</si>
  <si>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</si>
  <si>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</si>
  <si>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</si>
  <si>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</si>
  <si>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</si>
  <si>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</si>
  <si>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</si>
  <si>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</si>
  <si>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</si>
  <si>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</si>
  <si>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</si>
  <si>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</si>
  <si>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</si>
  <si>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</si>
  <si>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</si>
  <si>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</si>
  <si>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</si>
  <si>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</si>
  <si>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</si>
  <si>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</si>
  <si>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</si>
  <si>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</si>
  <si>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</si>
  <si>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</si>
  <si>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</si>
  <si>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</si>
  <si>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</si>
  <si>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</si>
  <si>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</si>
  <si>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</si>
  <si>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</si>
  <si>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</si>
  <si>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</si>
  <si>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</si>
  <si>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</si>
  <si>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</si>
  <si>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</si>
  <si>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</si>
  <si>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</si>
  <si>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</si>
  <si>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</si>
  <si>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</si>
  <si>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</si>
  <si>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</si>
  <si>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</si>
  <si>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</si>
  <si>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</si>
  <si>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</si>
  <si>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</si>
  <si>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</si>
  <si>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</si>
  <si>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</si>
  <si>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</si>
  <si>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</si>
  <si>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</si>
  <si>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</si>
  <si>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</si>
  <si>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</si>
  <si>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</si>
  <si>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</si>
  <si>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</si>
  <si>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</si>
  <si>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</si>
  <si>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</si>
  <si>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</si>
  <si>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</si>
  <si>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</si>
  <si>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</si>
  <si>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</si>
  <si>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</si>
  <si>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</si>
  <si>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</si>
  <si>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</si>
  <si>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</si>
  <si>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</si>
  <si>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</si>
  <si>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</si>
  <si>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</si>
  <si>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</si>
  <si>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</si>
  <si>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</si>
  <si>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</si>
  <si>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</si>
  <si>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</si>
  <si>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</si>
  <si>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category_clean</t>
  </si>
  <si>
    <t>ship_mode_clean</t>
  </si>
  <si>
    <t/>
  </si>
  <si>
    <t>customer_name_clean</t>
  </si>
  <si>
    <t>segment_clean</t>
  </si>
  <si>
    <t>date_check</t>
  </si>
  <si>
    <t>shipping_delays_days</t>
  </si>
  <si>
    <t>Metric</t>
  </si>
  <si>
    <t>Number of exact duplicate rows found</t>
  </si>
  <si>
    <t>Number of duplicate order IDs found</t>
  </si>
  <si>
    <t>Number of records removed</t>
  </si>
  <si>
    <t>Number of records flagged for review</t>
  </si>
  <si>
    <t>Logic used for handling duplicates</t>
  </si>
  <si>
    <t>Removed exact duplicate rows using Remove Duplicates. No conflicting duplicate order IDs were found, so no records were flagged for review.</t>
  </si>
  <si>
    <t xml:space="preserve">                                                    Value</t>
  </si>
  <si>
    <t xml:space="preserve"> Unknown</t>
  </si>
  <si>
    <t>Action Taken</t>
  </si>
  <si>
    <t>Filled blank values with "Unknown"</t>
  </si>
  <si>
    <t>Filled blank discounts with 0</t>
  </si>
  <si>
    <t>Negative discount</t>
  </si>
  <si>
    <t>Flagged negative discounts as invalid</t>
  </si>
  <si>
    <t>Discount above allowed range</t>
  </si>
  <si>
    <t>Flagged discounts above allowed range (70%, 85%) as invalid</t>
  </si>
  <si>
    <t>Ship date before order date</t>
  </si>
  <si>
    <t>Flagged records with negative shipping_delay_days</t>
  </si>
  <si>
    <t>Cancelled orders</t>
  </si>
  <si>
    <t>Excluded from completed sales summary</t>
  </si>
  <si>
    <t>Failed payments</t>
  </si>
  <si>
    <t>Refunded orders</t>
  </si>
  <si>
    <t>Kept separately for reporting and summary</t>
  </si>
  <si>
    <t>Removed 18 exact duplicate rows</t>
  </si>
  <si>
    <t>Created shipping_delay_days column</t>
  </si>
  <si>
    <t>Cleaning decisions documented in business_rules sheet and cleaning_log.md</t>
  </si>
  <si>
    <t>Filled blank values with "Unknown" (or "No missing regions found in dataset" if none existed)</t>
  </si>
  <si>
    <t>cleaned_discount</t>
  </si>
  <si>
    <t>calculated_sales</t>
  </si>
  <si>
    <t>calculated_profit</t>
  </si>
  <si>
    <t>profit_margin</t>
  </si>
  <si>
    <t>shipping_delay_days</t>
  </si>
  <si>
    <t>order_month</t>
  </si>
  <si>
    <t>order_year</t>
  </si>
  <si>
    <t>data_quality_flag</t>
  </si>
  <si>
    <t>Row Labels</t>
  </si>
  <si>
    <t>Grand Total</t>
  </si>
  <si>
    <t>Sum of calculated_sales</t>
  </si>
  <si>
    <t>Sum of calculated_profit</t>
  </si>
  <si>
    <t>Count of order_id</t>
  </si>
  <si>
    <t>Average of profit_margin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</si>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</sst>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yy;@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1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5" fontId="1" fillId="2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15" fontId="0" fillId="0" borderId="0" xfId="0" applyNumberFormat="1"/>
    <xf numFmtId="0" fontId="1" fillId="2" borderId="0" xfId="0" applyNumberFormat="1" applyFont="1" applyFill="1" applyAlignment="1">
      <alignment horizontal="center" vertical="center" wrapText="1"/>
    </xf>
    <xf numFmtId="0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/>
    <xf numFmtId="0" fontId="1" fillId="2" borderId="1" xfId="1" applyFont="1" applyFill="1" applyAlignment="1">
      <alignment horizontal="center" vertical="center" wrapText="1"/>
    </xf>
    <xf numFmtId="0" fontId="2" fillId="0" borderId="1" xfId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Font="1"/>
    <xf numFmtId="15" fontId="0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</cellXfs>
  <cellStyles count="2">
    <cellStyle name="Normal" xfId="0" builtinId="0"/>
    <cellStyle name="Normal 2" xfId="1" xr:uid="{6259E821-C8FF-469C-8EB7-B04B89A2738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95.892057407407" createdVersion="8" refreshedVersion="8" minRefreshableVersion="3" recordCount="914" xr:uid="{0D715232-33DB-43D0-8734-BE5B054067FB}">
  <cacheSource type="worksheet">
    <worksheetSource ref="A1:AI915" sheet="raw_orders"/>
  </cacheSource>
  <cacheFields count="35">
    <cacheField name="order_id" numFmtId="0">
      <sharedItems/>
    </cacheField>
    <cacheField name="order_date" numFmtId="0">
      <sharedItems containsDate="1" containsMixedTypes="1" minDate="2024-07-21T00:00:00" maxDate="2024-07-22T00:00:00" count="772">
        <d v="2024-07-21T00:00:00"/>
        <s v="08/31/2024"/>
        <s v="06/08/2024"/>
        <s v="28-11-2024"/>
        <s v="29 Aug 2025"/>
        <s v="2024-05-24"/>
        <s v="04/10/2025"/>
        <s v="2025-02-23"/>
        <s v="11/05/2024"/>
        <s v="07-09-2025"/>
        <s v="20 May 2025"/>
        <s v="2024-07-22"/>
        <s v="20 Dec 2024"/>
        <s v="2025-10-12"/>
        <s v="27 Dec 2024"/>
        <s v="07/09/2024"/>
        <s v="05/08/2024"/>
        <s v="01/07/2024"/>
        <s v="07/15/2025"/>
        <s v="07/27/2024"/>
        <s v="21-01-2025"/>
        <s v="24-01-2025"/>
        <s v="19 Jan 2025"/>
        <s v="2024-03-04"/>
        <s v="11-10-2024"/>
        <s v="23-11-2024"/>
        <s v="29 Sep 2025"/>
        <s v="13 Aug 2025"/>
        <s v="09 Feb 2024"/>
        <s v="15-06-2025"/>
        <s v="22-11-2024"/>
        <s v="07/22/2024"/>
        <s v="2025-01-31"/>
        <s v="29-05-2024"/>
        <s v="2024-10-25"/>
        <s v="29-07-2025"/>
        <s v="2024-06-17"/>
        <s v="12/11/2024"/>
        <s v="10-10-2024"/>
        <s v="03/12/2024"/>
        <s v="2025-10-10"/>
        <s v="07/08/2024"/>
        <s v="06/22/2024"/>
        <s v="18 Jan 2024"/>
        <s v="19-07-2024"/>
        <s v="12-08-2024"/>
        <s v="30 Jan 2025"/>
        <s v="2024-04-06"/>
        <s v="05/11/2025"/>
        <s v="24 Apr 2024"/>
        <s v="26-10-2024"/>
        <s v="31 Mar 2025"/>
        <s v="30 May 2025"/>
        <s v="01-07-2025"/>
        <s v="2025-01-05"/>
        <s v="2024-02-07"/>
        <s v="2024-09-01"/>
        <s v="20-07-2024"/>
        <s v="07/13/2024"/>
        <s v="16 Apr 2024"/>
        <s v="30 Oct 2024"/>
        <s v="2024-01-25"/>
        <s v="2024-12-23"/>
        <s v="22 Apr 2024"/>
        <s v="08/28/2025"/>
        <s v="03 Feb 2025"/>
        <s v="11/10/2024"/>
        <s v="09 Apr 2024"/>
        <s v="2025-08-22"/>
        <s v="04/16/2025"/>
        <s v="2024-02-11"/>
        <s v="29-03-2025"/>
        <s v="02/27/2025"/>
        <s v="22-08-2025"/>
        <s v="03 Nov 2024"/>
        <s v="07/08/2025"/>
        <s v="07/16/2025"/>
        <s v="2025-09-27"/>
        <s v="2024-08-10"/>
        <s v="2025-03-16"/>
        <s v="2024-08-03"/>
        <s v="01 Oct 2024"/>
        <s v="2024-07-30"/>
        <s v="01 Jul 2024"/>
        <s v="02-08-2024"/>
        <s v="03/24/2024"/>
        <s v="05 Sep 2024"/>
        <s v="08/24/2025"/>
        <s v="02-03-2025"/>
        <s v="23 Jan 2025"/>
        <s v="09/06/2024"/>
        <s v="05-09-2025"/>
        <s v="05 Jun 2024"/>
        <s v="08 Aug 2025"/>
        <s v="2024-01-26"/>
        <s v="11-01-2025"/>
        <s v="12 Sep 2025"/>
        <s v="12 Jul 2025"/>
        <s v="05/02/2025"/>
        <s v="2025-02-01"/>
        <s v="06/24/2024"/>
        <s v="20-02-2024"/>
        <s v="29 Oct 2024"/>
        <s v="15 Aug 2024"/>
        <s v="23-08-2025"/>
        <s v="10/18/2024"/>
        <s v="06/27/2025"/>
        <s v="10 Jan 2024"/>
        <s v="12-02-2024"/>
        <s v="2024-09-25"/>
        <s v="2024-12-27"/>
        <s v="2025-02-15"/>
        <s v="2024-02-15"/>
        <s v="06/10/2024"/>
        <s v="12 Jun 2024"/>
        <s v="08/22/2025"/>
        <s v="11/30/2024"/>
        <s v="05/24/2024"/>
        <s v="21 Jul 2024"/>
        <s v="2025-07-17"/>
        <s v="24-09-2025"/>
        <s v="01/30/2025"/>
        <s v="13 Dec 2024"/>
        <s v="2024-07-19"/>
        <s v="2024-01-27"/>
        <s v="09/29/2025"/>
        <s v="04 Nov 2024"/>
        <s v="2024-12-13"/>
        <s v="07/14/2025"/>
        <s v="2025-08-24"/>
        <s v="09-02-2025"/>
        <s v="01/09/2025"/>
        <s v="2024-01-20"/>
        <s v="03/02/2025"/>
        <s v="31-05-2024"/>
        <s v="03/23/2024"/>
        <s v="30 Mar 2024"/>
        <s v="07-06-2024"/>
        <s v="11-04-2025"/>
        <s v="30 Jul 2025"/>
        <s v="23-12-2024"/>
        <s v="09 Feb 2025"/>
        <s v="30-01-2024"/>
        <s v="04-03-2024"/>
        <s v="27 Jun 2024"/>
        <s v="14 Jun 2024"/>
        <s v="23 Sep 2025"/>
        <s v="12 Feb 2024"/>
        <s v="01/26/2025"/>
        <s v="27-03-2025"/>
        <s v="10/22/2024"/>
        <s v="2024-09-09"/>
        <s v="2025-01-30"/>
        <s v="08-10-2025"/>
        <s v="2025-07-24"/>
        <s v="2024-03-09"/>
        <s v="09/21/2025"/>
        <s v="09 Sep 2025"/>
        <s v="11/22/2024"/>
        <s v="20-02-2025"/>
        <s v="2025-08-18"/>
        <s v="01/20/2025"/>
        <s v="2025-09-13"/>
        <s v="02-08-2025"/>
        <s v="02-05-2024"/>
        <s v="28 Sep 2025"/>
        <s v="18-03-2025"/>
        <s v="01-06-2024"/>
        <s v="30-09-2024"/>
        <s v="2024-03-15"/>
        <s v="2024-08-26"/>
        <s v="09/09/2025"/>
        <s v="16 Oct 2024"/>
        <s v="2025-06-24"/>
        <s v="2024-04-02"/>
        <s v="2025-05-01"/>
        <s v="2025-05-21"/>
        <s v="2025-05-06"/>
        <s v="20-04-2025"/>
        <s v="19-10-2024"/>
        <s v="2024-12-09"/>
        <s v="2024-06-23"/>
        <s v="2025-01-28"/>
        <s v="22 Jul 2025"/>
        <s v="22-01-2024"/>
        <s v="05-06-2024"/>
        <s v="27-06-2025"/>
        <s v="26-07-2025"/>
        <s v="2025-03-28"/>
        <s v="28 Mar 2024"/>
        <s v="20-07-2025"/>
        <s v="21-04-2025"/>
        <s v="05/18/2025"/>
        <s v="10 Jul 2024"/>
        <s v="06/29/2025"/>
        <s v="08/13/2025"/>
        <s v="03/15/2024"/>
        <s v="05/16/2024"/>
        <s v="09/21/2024"/>
        <s v="15 May 2024"/>
        <s v="17 Mar 2024"/>
        <s v="01-03-2024"/>
        <s v="01-04-2025"/>
        <s v="26 Feb 2025"/>
        <s v="2024-06-18"/>
        <s v="09/03/2024"/>
        <s v="12-01-2025"/>
        <s v="04/29/2025"/>
        <s v="19-02-2025"/>
        <s v="10/02/2025"/>
        <s v="02 Sep 2024"/>
        <s v="10-04-2025"/>
        <s v="2024-07-05"/>
        <s v="24-04-2024"/>
        <s v="2025-06-28"/>
        <s v="28-05-2024"/>
        <s v="2024-05-02"/>
        <s v="2025-06-04"/>
        <s v="14-10-2024"/>
        <s v="09/02/2024"/>
        <s v="11/02/2024"/>
        <s v="10/14/2024"/>
        <s v="2024-08-27"/>
        <s v="01/12/2024"/>
        <s v="21-09-2024"/>
        <s v="17 Dec 2024"/>
        <s v="07/06/2025"/>
        <s v="07 Feb 2025"/>
        <s v="08/23/2024"/>
        <s v="04 May 2024"/>
        <s v="07/25/2024"/>
        <s v="06/02/2024"/>
        <s v="08/01/2025"/>
        <s v="02/21/2024"/>
        <s v="2025-04-06"/>
        <s v="25-06-2025"/>
        <s v="2024-09-12"/>
        <s v="01/01/2025"/>
        <s v="2025-02-04"/>
        <s v="2024-11-05"/>
        <s v="2025-08-09"/>
        <s v="2024-12-30"/>
        <s v="06/21/2024"/>
        <s v="2025-09-23"/>
        <s v="06/18/2025"/>
        <s v="2025-05-26"/>
        <s v="06 Aug 2025"/>
        <s v="16-05-2024"/>
        <s v="14 Nov 2024"/>
        <s v="2025-05-03"/>
        <s v="28 May 2025"/>
        <s v="08/17/2025"/>
        <s v="02/10/2025"/>
        <s v="21 Dec 2024"/>
        <s v="08/18/2024"/>
        <s v="02/13/2025"/>
        <s v="07-04-2024"/>
        <s v="04 Jun 2025"/>
        <s v="07-03-2025"/>
        <s v="04/09/2024"/>
        <s v="12/23/2024"/>
        <s v="25-07-2025"/>
        <s v="2024-10-01"/>
        <s v="03/13/2025"/>
        <s v="12/08/2024"/>
        <s v="2025-08-15"/>
        <s v="28-02-2024"/>
        <s v="09/05/2024"/>
        <s v="2024-06-24"/>
        <s v="19-06-2025"/>
        <s v="22 Aug 2025"/>
        <s v="04/05/2024"/>
        <s v="28 Feb 2025"/>
        <s v="03/07/2024"/>
        <s v="16 Jul 2025"/>
        <s v="25 Jun 2025"/>
        <s v="24 May 2025"/>
        <s v="2024-10-29"/>
        <s v="23-01-2025"/>
        <s v="06-11-2024"/>
        <s v="15-04-2024"/>
        <s v="04-06-2025"/>
        <s v="23 Jun 2024"/>
        <s v="03/06/2024"/>
        <s v="01 May 2024"/>
        <s v="20 Feb 2025"/>
        <s v="2025-07-12"/>
        <s v="2025-06-13"/>
        <s v="07/20/2024"/>
        <s v="04-07-2024"/>
        <s v="27-04-2024"/>
        <s v="07/31/2024"/>
        <s v="2025-05-30"/>
        <s v="2024-07-02"/>
        <s v="16-02-2024"/>
        <s v="29-08-2025"/>
        <s v="25 Apr 2024"/>
        <s v="21 Aug 2024"/>
        <s v="12/04/2024"/>
        <s v="06/23/2024"/>
        <s v="2024-11-12"/>
        <s v="25-02-2024"/>
        <s v="31 Jul 2025"/>
        <s v="09/16/2025"/>
        <s v="2025-07-22"/>
        <s v="2024-07-24"/>
        <s v="2025-05-29"/>
        <s v="12 May 2025"/>
        <s v="04-12-2024"/>
        <s v="27 May 2025"/>
        <s v="22 Jun 2025"/>
        <s v="12 Sep 2024"/>
        <s v="06/16/2025"/>
        <s v="17-03-2024"/>
        <s v="12 Aug 2024"/>
        <s v="08-12-2024"/>
        <s v="21 Jan 2024"/>
        <s v="08 Sep 2025"/>
        <s v="24-07-2025"/>
        <s v="10/03/2025"/>
        <s v="11-03-2024"/>
        <s v="2024-09-14"/>
        <s v="01-12-2024"/>
        <s v="27-09-2025"/>
        <s v="07-01-2024"/>
        <s v="23-05-2025"/>
        <s v="15 Aug 2025"/>
        <s v="21-02-2025"/>
        <s v="12-05-2024"/>
        <s v="27 Jun 2025"/>
        <s v="2025-01-21"/>
        <s v="08/09/2025"/>
        <s v="17 Jun 2024"/>
        <s v="23 Aug 2024"/>
        <s v="07/07/2025"/>
        <s v="03/21/2025"/>
        <s v="15-06-2024"/>
        <s v="2025-01-16"/>
        <s v="06-07-2025"/>
        <s v="08/15/2024"/>
        <s v="2025-08-16"/>
        <s v="2025-04-13"/>
        <s v="2025-02-27"/>
        <s v="31-12-2024"/>
        <s v="29-12-2024"/>
        <s v="22-05-2025"/>
        <s v="09/19/2024"/>
        <s v="07 Apr 2024"/>
        <s v="2025-09-19"/>
        <s v="04 Mar 2025"/>
        <s v="28 Jun 2025"/>
        <s v="15-03-2024"/>
        <s v="02/12/2025"/>
        <s v="10-08-2025"/>
        <s v="2024-05-13"/>
        <s v="05 Apr 2024"/>
        <s v="06 Nov 2024"/>
        <s v="14-02-2025"/>
        <s v="02/19/2024"/>
        <s v="2024-08-23"/>
        <s v="03-04-2024"/>
        <s v="06/06/2024"/>
        <s v="2025-04-14"/>
        <s v="09 Jun 2025"/>
        <s v="19 Jul 2024"/>
        <s v="04/24/2025"/>
        <s v="06-06-2025"/>
        <s v="09 Mar 2025"/>
        <s v="22 Mar 2024"/>
        <s v="09/30/2024"/>
        <s v="27 Jan 2024"/>
        <s v="09/23/2024"/>
        <s v="25 Feb 2025"/>
        <s v="12 May 2024"/>
        <s v="13-02-2025"/>
        <s v="2024-04-12"/>
        <s v="2025-08-23"/>
        <s v="2024-01-22"/>
        <s v="13-08-2025"/>
        <s v="2024-08-29"/>
        <s v="01/25/2024"/>
        <s v="2025-01-08"/>
        <s v="01/29/2025"/>
        <s v="11/09/2024"/>
        <s v="26-09-2025"/>
        <s v="06/14/2025"/>
        <s v="09/03/2025"/>
        <s v="2024-02-20"/>
        <s v="06/26/2024"/>
        <s v="26-09-2024"/>
        <s v="30-06-2024"/>
        <s v="2025-04-22"/>
        <s v="2025-03-15"/>
        <s v="01 Mar 2025"/>
        <s v="30 Aug 2024"/>
        <s v="10 Feb 2024"/>
        <s v="08/29/2024"/>
        <s v="04/19/2024"/>
        <s v="04/11/2025"/>
        <s v="2025-04-12"/>
        <s v="16 Jun 2024"/>
        <s v="15-02-2024"/>
        <s v="07 May 2025"/>
        <s v="30-06-2025"/>
        <s v="04/02/2024"/>
        <s v="03-10-2024"/>
        <s v="12 Jan 2025"/>
        <s v="04-04-2024"/>
        <s v="12 Aug 2025"/>
        <s v="05/09/2024"/>
        <s v="18-09-2025"/>
        <s v="01/15/2024"/>
        <s v="06-06-2024"/>
        <s v="06/12/2025"/>
        <s v="24-03-2024"/>
        <s v="10-05-2024"/>
        <s v="05/03/2025"/>
        <s v="2025-03-23"/>
        <s v="18 Jul 2024"/>
        <s v="05/04/2024"/>
        <s v="2024-02-10"/>
        <s v="03/28/2024"/>
        <s v="30 Sep 2025"/>
        <s v="05/25/2025"/>
        <s v="07-02-2025"/>
        <s v="11-03-2025"/>
        <s v="29-01-2024"/>
        <s v="04-01-2024"/>
        <s v="20-08-2024"/>
        <s v="09 Jan 2025"/>
        <s v="2024-01-19"/>
        <s v="28-07-2024"/>
        <s v="11-02-2024"/>
        <s v="02-03-2024"/>
        <s v="13-11-2024"/>
        <s v="03-06-2024"/>
        <s v="03/01/2025"/>
        <s v="05/07/2024"/>
        <s v="08/23/2025"/>
        <s v="06/09/2024"/>
        <s v="23 Feb 2024"/>
        <s v="2025-06-05"/>
        <s v="25 Dec 2024"/>
        <s v="2024-12-28"/>
        <s v="2025-01-22"/>
        <s v="22-06-2025"/>
        <s v="10 Jun 2025"/>
        <s v="14 Oct 2024"/>
        <s v="2024-09-16"/>
        <s v="2025-04-29"/>
        <s v="28-06-2025"/>
        <s v="13 Feb 2025"/>
        <s v="2024-11-14"/>
        <s v="2025-07-04"/>
        <s v="29 Aug 2024"/>
        <s v="2025-09-07"/>
        <s v="2024-12-22"/>
        <s v="05/17/2024"/>
        <s v="11 Aug 2024"/>
        <s v="04/01/2024"/>
        <s v="2024-09-28"/>
        <s v="2025-02-12"/>
        <s v="2024-11-09"/>
        <s v="15-12-2024"/>
        <s v="2025-04-15"/>
        <s v="31 Mar 2024"/>
        <s v="2025-05-12"/>
        <s v="10/23/2024"/>
        <s v="18 Nov 2024"/>
        <s v="09/28/2024"/>
        <s v="2025-05-25"/>
        <s v="30-04-2025"/>
        <s v="03-07-2025"/>
        <s v="2024-07-16"/>
        <s v="2025-03-25"/>
        <s v="02/28/2025"/>
        <s v="02-04-2024"/>
        <s v="30 Nov 2024"/>
        <s v="10/17/2024"/>
        <s v="2025-07-18"/>
        <s v="01-10-2025"/>
        <s v="2024-10-07"/>
        <s v="2024-02-06"/>
        <s v="05/30/2025"/>
        <s v="01 Aug 2024"/>
        <s v="2025-10-05"/>
        <s v="25 Aug 2024"/>
        <s v="04/27/2025"/>
        <s v="19-05-2024"/>
        <s v="2025-04-10"/>
        <s v="25-09-2024"/>
        <s v="07/04/2025"/>
        <s v="26-02-2024"/>
        <s v="08-07-2025"/>
        <s v="09/17/2024"/>
        <s v="2024-07-14"/>
        <s v="2025-01-29"/>
        <s v="05/27/2024"/>
        <s v="2025-08-14"/>
        <s v="16 May 2024"/>
        <s v="29 May 2024"/>
        <s v="10/11/2025"/>
        <s v="27-02-2024"/>
        <s v="04/25/2025"/>
        <s v="2024-10-12"/>
        <s v="04-02-2025"/>
        <s v="2024-05-08"/>
        <s v="2025-09-04"/>
        <s v="2024-01-16"/>
        <s v="2025-07-14"/>
        <s v="10 May 2024"/>
        <s v="05/06/2024"/>
        <s v="07 Aug 2025"/>
        <s v="06 Feb 2024"/>
        <s v="09/08/2025"/>
        <s v="10 Feb 2025"/>
        <s v="01/02/2024"/>
        <s v="09/22/2025"/>
        <s v="20 Feb 2024"/>
        <s v="11 Mar 2025"/>
        <s v="17-02-2024"/>
        <s v="2024-02-21"/>
        <s v="19-06-2024"/>
        <s v="06-03-2025"/>
        <s v="2024-10-15"/>
        <s v="28 Feb 2024"/>
        <s v="08/04/2024"/>
        <s v="12-04-2025"/>
        <s v="23-07-2025"/>
        <s v="2025-03-11"/>
        <s v="06 Dec 2024"/>
        <s v="2024-02-22"/>
        <s v="09/27/2025"/>
        <s v="2024-09-19"/>
        <s v="02/11/2025"/>
        <s v="10 Apr 2024"/>
        <s v="08 Jul 2025"/>
        <s v="08/17/2024"/>
        <s v="19-08-2024"/>
        <s v="05-03-2025"/>
        <s v="26 Jan 2024"/>
        <s v="23-10-2024"/>
        <s v="01/03/2025"/>
        <s v="05-02-2025"/>
        <s v="2025-07-09"/>
        <s v="22 Feb 2025"/>
        <s v="16-02-2025"/>
        <s v="21 Jun 2024"/>
        <s v="20 May 2024"/>
        <s v="06 Apr 2025"/>
        <s v="2024-10-05"/>
        <s v="2024-10-04"/>
        <s v="16 Aug 2024"/>
        <s v="09/29/2024"/>
        <s v="2024-07-23"/>
        <s v="18-08-2024"/>
        <s v="29-01-2025"/>
        <s v="08 Aug 2024"/>
        <s v="01/30/2024"/>
        <s v="12/15/2024"/>
        <s v="09/10/2025"/>
        <s v="2024-04-09"/>
        <s v="15-04-2025"/>
        <s v="04/18/2025"/>
        <s v="01/11/2025"/>
        <s v="02 Oct 2024"/>
        <s v="26-05-2024"/>
        <s v="12/27/2024"/>
        <s v="14-01-2025"/>
        <s v="2025-04-09"/>
        <s v="05-02-2024"/>
        <s v="2024-01-04"/>
        <s v="09/18/2024"/>
        <s v="21-04-2024"/>
        <s v="11 Aug 2025"/>
        <s v="04/13/2024"/>
        <s v="03/17/2025"/>
        <s v="04-04-2025"/>
        <s v="10/12/2025"/>
        <s v="08/26/2025"/>
        <s v="07-05-2024"/>
        <s v="08/07/2025"/>
        <s v="2025-06-09"/>
        <s v="17-05-2024"/>
        <s v="2024-01-14"/>
        <s v="05/02/2024"/>
        <s v="07 Dec 2024"/>
        <s v="2025-01-13"/>
        <s v="20-05-2025"/>
        <s v="11/21/2024"/>
        <s v="2024-03-24"/>
        <s v="02/02/2025"/>
        <s v="2024-03-22"/>
        <s v="2024-09-04"/>
        <s v="2025-02-13"/>
        <s v="2024-05-18"/>
        <s v="07-06-2025"/>
        <s v="09/11/2025"/>
        <s v="2024-06-22"/>
        <s v="24-11-2024"/>
        <s v="16-08-2025"/>
        <s v="07/04/2024"/>
        <s v="05 Feb 2025"/>
        <s v="2025-07-20"/>
        <s v="2025-07-21"/>
        <s v="01 Oct 2025"/>
        <s v="25-03-2024"/>
        <s v="08 Oct 2025"/>
        <s v="05-10-2024"/>
        <s v="09/11/2024"/>
        <s v="05-10-2025"/>
        <s v="03-04-2025"/>
        <s v="01-08-2025"/>
        <s v="2024-07-01"/>
        <s v="22 Sep 2025"/>
        <s v="14-09-2024"/>
        <s v="2024-06-11"/>
        <s v="18-09-2024"/>
        <s v="30-04-2024"/>
        <s v="2025-02-02"/>
        <s v="19 Oct 2024"/>
        <s v="2024-03-13"/>
        <s v="08 Sep 2024"/>
        <s v="24-06-2024"/>
        <s v="24-06-2025"/>
        <s v="03/20/2025"/>
        <s v="07/12/2024"/>
        <s v="02-02-2025"/>
        <s v="06/06/2025"/>
        <s v="22 Mar 2025"/>
        <s v="26 Aug 2025"/>
        <s v="12-10-2025"/>
        <s v="06 Sep 2024"/>
        <s v="10/06/2025"/>
        <s v="02/10/2024"/>
        <s v="10/05/2025"/>
        <s v="2024-01-17"/>
        <s v="13 Oct 2024"/>
        <s v="17-05-2025"/>
        <s v="06/19/2025"/>
        <s v="2024-03-17"/>
        <s v="2024-11-28"/>
        <s v="21-06-2024"/>
        <s v="24-08-2024"/>
        <s v="2024-08-11"/>
        <s v="03 Dec 2024"/>
        <s v="02 Apr 2024"/>
        <s v="04/23/2025"/>
        <s v="10/15/2024"/>
        <s v="2025-08-17"/>
        <s v="24 Oct 2024"/>
        <s v="2025-01-04"/>
        <s v="2024-05-01"/>
        <s v="30-05-2024"/>
        <s v="21 Mar 2024"/>
        <s v="06/02/2025"/>
        <s v="18-07-2025"/>
        <s v="06/04/2025"/>
        <s v="10/27/2024"/>
        <s v="01 Aug 2025"/>
        <s v="02 May 2024"/>
        <s v="28-08-2024"/>
        <s v="27 Aug 2025"/>
        <s v="01/01/2024"/>
        <s v="23 Aug 2025"/>
        <s v="29-06-2025"/>
        <s v="17 Sep 2024"/>
        <s v="03 May 2024"/>
        <s v="2025-04-02"/>
        <s v="05/11/2024"/>
        <s v="02/15/2024"/>
        <s v="2024-07-12"/>
        <s v="2025-02-21"/>
        <s v="07-08-2025"/>
        <s v="14 Apr 2024"/>
        <s v="08-06-2025"/>
        <s v="04-02-2024"/>
        <s v="07/24/2024"/>
        <s v="04 Aug 2024"/>
        <s v="2024-02-02"/>
        <s v="2025-03-14"/>
        <s v="07 Jun 2024"/>
        <s v="10/04/2025"/>
        <s v="23-05-2024"/>
        <s v="07 Mar 2025"/>
        <s v="31 May 2024"/>
        <s v="2025-06-22"/>
        <s v="30-07-2024"/>
        <s v="18 Apr 2024"/>
        <s v="2025-07-11"/>
        <s v="10 Oct 2024"/>
        <s v="01 Mar 2024"/>
        <s v="2025-10-08"/>
        <s v="16 Feb 2025"/>
        <s v="09 Dec 2024"/>
        <s v="10-09-2025"/>
        <s v="09-11-2024"/>
        <s v="2025-08-31"/>
        <s v="04/03/2024"/>
        <s v="12 Dec 2024"/>
        <s v="2024-06-15"/>
        <s v="04/06/2025"/>
        <s v="11/27/2024"/>
        <s v="05 Apr 2025"/>
        <s v="29 Sep 2024"/>
        <s v="06-02-2025"/>
        <s v="2024-07-03"/>
        <s v="10/12/2024"/>
        <s v="2025-01-06"/>
        <s v="21-03-2025"/>
        <s v="16 Apr 2025"/>
        <s v="2025-08-10"/>
        <s v="24 Nov 2024"/>
        <s v="10/10/2025"/>
        <s v="02/26/2024"/>
        <s v="15 Jul 2025"/>
        <s v="04/03/2025"/>
        <s v="26 May 2025"/>
        <s v="2024-06-04"/>
        <s v="18-10-2024"/>
        <s v="09/26/2025"/>
        <s v="2024-12-15"/>
        <s v="09/20/2024"/>
        <s v="2025-02-06"/>
        <s v="31-03-2024"/>
        <s v="18 Jul 2025"/>
        <s v="20-01-2025"/>
        <s v="23-02-2024"/>
        <s v="2024-04-14"/>
        <s v="2025-05-20"/>
        <s v="27-05-2025"/>
        <s v="2024-03-06"/>
        <s v="2024-03-26"/>
        <s v="01-04-2024"/>
        <s v="2025-05-16"/>
        <s v="03/25/2025"/>
        <s v="25-07-2024"/>
        <s v="2024-06-12"/>
        <s v="04 Jun 2024"/>
        <s v="02 Feb 2024"/>
        <s v="2025-03-08"/>
        <s v="2025-03-26"/>
        <s v="09/06/2025"/>
        <s v="02 Sep 2025"/>
        <s v="02/26/2025"/>
        <s v="21 Nov 2024"/>
        <s v="03/06/2025"/>
        <s v="06 Jun 2025"/>
        <s v="02/20/2024"/>
        <s v="11/01/2024"/>
        <s v="01 Feb 2025"/>
        <s v="10 Aug 2024"/>
        <s v="11/18/2024"/>
        <s v="26-08-2025"/>
        <s v="2025-08-27"/>
        <s v="08-03-2024"/>
        <s v="01 Dec 2024"/>
        <s v="02 Feb 2025"/>
        <s v="28 Apr 2025"/>
        <s v="18-01-2025"/>
        <s v="2024-01-05"/>
        <s v="26-04-2025"/>
        <s v="06-08-2025"/>
        <s v="10 Mar 2025"/>
        <s v="15-05-2024"/>
        <s v="08 Oct 2024"/>
        <s v="04/12/2025"/>
        <s v="06 Jun 2024"/>
        <s v="22 Feb 2024"/>
        <s v="05 Nov 2024"/>
        <s v="12/24/2024"/>
        <s v="2024-06-02"/>
      </sharedItems>
    </cacheField>
    <cacheField name="ship_date" numFmtId="0">
      <sharedItems/>
    </cacheField>
    <cacheField name="date_check" numFmtId="0">
      <sharedItems containsBlank="1" containsMixedTypes="1" containsNumber="1" containsInteger="1" minValue="-261" maxValue="297"/>
    </cacheField>
    <cacheField name="shipping_delays_days" numFmtId="0">
      <sharedItems containsMixedTypes="1" containsNumber="1" containsInteger="1" minValue="0" maxValue="297"/>
    </cacheField>
    <cacheField name="customer_id" numFmtId="0">
      <sharedItems/>
    </cacheField>
    <cacheField name="customer_name" numFmtId="0">
      <sharedItems/>
    </cacheField>
    <cacheField name="customer_name_clean" numFmtId="0">
      <sharedItems/>
    </cacheField>
    <cacheField name="segment" numFmtId="0">
      <sharedItems/>
    </cacheField>
    <cacheField name="segment_clean" numFmtId="0">
      <sharedItems count="4">
        <s v="Consumer"/>
        <s v="Small Business"/>
        <s v="Corporate"/>
        <s v="Home Office"/>
      </sharedItems>
    </cacheField>
    <cacheField name="region" numFmtId="0">
      <sharedItems count="4">
        <s v="North"/>
        <s v="East"/>
        <s v="South"/>
        <s v="West"/>
      </sharedItems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category_clean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6">
        <s v="Second Class"/>
        <s v="Same Day"/>
        <s v="First Class"/>
        <s v="Standard Class"/>
        <s v=" Unknown"/>
        <s v="Standard  Class"/>
      </sharedItems>
    </cacheField>
    <cacheField name="ship_mode_clean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 count="3">
        <s v="Completed"/>
        <s v="Cancelled"/>
        <s v="Returned"/>
      </sharedItems>
    </cacheField>
    <cacheField name="cleaned_discount" numFmtId="0">
      <sharedItems containsString="0" containsBlank="1" containsNumber="1" minValue="0.2" maxValue="0.2"/>
    </cacheField>
    <cacheField name="calculated_sales" numFmtId="0">
      <sharedItems containsString="0" containsBlank="1" containsNumber="1" minValue="19049.28" maxValue="19049.28"/>
    </cacheField>
    <cacheField name="calculated_profit" numFmtId="0">
      <sharedItems containsString="0" containsBlank="1" containsNumber="1" minValue="3207.3899999999994" maxValue="3207.3899999999994"/>
    </cacheField>
    <cacheField name="profit_margin" numFmtId="0">
      <sharedItems containsString="0" containsBlank="1" containsNumber="1" minValue="0.16837329284886357" maxValue="0.16837329284886357"/>
    </cacheField>
    <cacheField name="shipping_delay_days" numFmtId="0">
      <sharedItems containsBlank="1"/>
    </cacheField>
    <cacheField name="order_month" numFmtId="0">
      <sharedItems containsString="0" containsBlank="1" containsNumber="1" containsInteger="1" minValue="7" maxValue="7" count="2">
        <n v="7"/>
        <m/>
      </sharedItems>
    </cacheField>
    <cacheField name="order_year" numFmtId="0">
      <sharedItems containsString="0" containsBlank="1" containsNumber="1" containsInteger="1" minValue="2024" maxValue="2024"/>
    </cacheField>
    <cacheField name="data_quality_fl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4">
  <r>
    <s v="ORD-2024-10001"/>
    <x v="0"/>
    <s v="07/27/2024"/>
    <s v="Invalid"/>
    <s v=""/>
    <s v="CUST-4655"/>
    <s v="Karan Malhotra"/>
    <s v="Karan Malhotra"/>
    <s v="Consumer"/>
    <x v="0"/>
    <x v="0"/>
    <s v="Rajasthan"/>
    <s v="Jaipur"/>
    <s v="Office Supplies"/>
    <x v="0"/>
    <x v="0"/>
    <s v="Pro Paper 122"/>
    <x v="0"/>
    <s v="Second Class"/>
    <n v="8"/>
    <n v="2976.45"/>
    <n v="0.2"/>
    <n v="19049.28"/>
    <n v="15841.89"/>
    <n v="3207.39"/>
    <s v="Paid"/>
    <x v="0"/>
    <n v="0.2"/>
    <n v="19049.28"/>
    <n v="3207.3899999999994"/>
    <n v="0.16837329284886357"/>
    <s v=""/>
    <x v="0"/>
    <n v="2024"/>
    <s v="Invalid"/>
  </r>
  <r>
    <s v="ORD-2024-10002"/>
    <x v="1"/>
    <s v="05 Sep 2024"/>
    <s v="Invalid"/>
    <s v=""/>
    <s v="CUST-2054"/>
    <s v="Mira Das"/>
    <s v="Mira Das"/>
    <s v="Small Business"/>
    <x v="1"/>
    <x v="1"/>
    <s v="Odisha"/>
    <s v="Bhubaneswar"/>
    <s v="Furniture"/>
    <x v="1"/>
    <x v="1"/>
    <s v="Pro Tables 258"/>
    <x v="1"/>
    <s v="Same Day"/>
    <n v="3"/>
    <n v="2437.5"/>
    <n v="0"/>
    <n v="7312.5"/>
    <n v="4904.7299999999996"/>
    <n v="2407.77"/>
    <s v="Paid"/>
    <x v="0"/>
    <m/>
    <m/>
    <m/>
    <m/>
    <s v=""/>
    <x v="1"/>
    <m/>
    <m/>
  </r>
  <r>
    <s v="ORD-2024-10003"/>
    <x v="2"/>
    <s v="15 Jun 2024"/>
    <n v="-52"/>
    <s v=""/>
    <s v="CUST-6843"/>
    <s v="Isha Nair"/>
    <s v="Isha Nair"/>
    <s v="Consumer"/>
    <x v="0"/>
    <x v="1"/>
    <s v="Odisha"/>
    <s v="Bhubaneswar"/>
    <s v="Office Supplies"/>
    <x v="0"/>
    <x v="2"/>
    <s v="Elite Art 525"/>
    <x v="2"/>
    <s v="First Class"/>
    <n v="4"/>
    <n v="1065.43"/>
    <n v="0.55000000000000004"/>
    <n v="4261.72"/>
    <n v="2465.69"/>
    <n v="1796.03"/>
    <s v="Paid"/>
    <x v="0"/>
    <m/>
    <m/>
    <m/>
    <m/>
    <m/>
    <x v="1"/>
    <m/>
    <m/>
  </r>
  <r>
    <s v="ORD-2024-10004"/>
    <x v="3"/>
    <s v="11/29/2024"/>
    <s v="Invalid"/>
    <s v=""/>
    <s v="CUST-3722"/>
    <s v="Arjun Bose"/>
    <s v="Arjun Bose"/>
    <s v="Small Business"/>
    <x v="1"/>
    <x v="2"/>
    <s v="Telangana"/>
    <s v="Hyderabad"/>
    <s v="Furniture"/>
    <x v="1"/>
    <x v="3"/>
    <s v="Smart Furnishings 294"/>
    <x v="3"/>
    <s v="Standard Class"/>
    <n v="6"/>
    <n v="1848.43"/>
    <n v="0.25"/>
    <n v="8317.93"/>
    <n v="6796.77"/>
    <n v="1521.16"/>
    <s v="Paid"/>
    <x v="0"/>
    <m/>
    <m/>
    <m/>
    <m/>
    <m/>
    <x v="1"/>
    <m/>
    <m/>
  </r>
  <r>
    <s v="ORD-2025-10005"/>
    <x v="4"/>
    <s v="2025-09-01"/>
    <n v="3"/>
    <n v="3"/>
    <s v="CUST-8130"/>
    <s v="Ananya Rao"/>
    <s v="Ananya Rao"/>
    <s v="Small Business"/>
    <x v="1"/>
    <x v="3"/>
    <s v="Maharashtra"/>
    <s v="Mumbai"/>
    <s v="Furniture"/>
    <x v="1"/>
    <x v="4"/>
    <s v="Elite Chairs 543"/>
    <x v="2"/>
    <s v="First Class"/>
    <n v="7"/>
    <n v="2973.76"/>
    <n v="0"/>
    <n v="20816.32"/>
    <n v="17705.37"/>
    <n v="3110.95"/>
    <s v="Paid"/>
    <x v="1"/>
    <m/>
    <m/>
    <m/>
    <m/>
    <m/>
    <x v="1"/>
    <m/>
    <m/>
  </r>
  <r>
    <s v="ORD-2024-10006"/>
    <x v="5"/>
    <s v="28-05-2024"/>
    <n v="4"/>
    <n v="4"/>
    <s v="CUST-6056"/>
    <s v="Vikram Iyer"/>
    <s v="Vikram Iyer"/>
    <s v="Small Business"/>
    <x v="1"/>
    <x v="3"/>
    <s v="Madhya Pradesh"/>
    <s v="Indore"/>
    <s v="Technology"/>
    <x v="2"/>
    <x v="5"/>
    <s v="Pro Accessories 821"/>
    <x v="1"/>
    <s v="Same Day"/>
    <n v="3"/>
    <n v="1053.1099999999999"/>
    <n v="0.2"/>
    <n v="2527.46"/>
    <n v="1533.58"/>
    <n v="993.88"/>
    <s v="Paid"/>
    <x v="0"/>
    <m/>
    <m/>
    <m/>
    <m/>
    <m/>
    <x v="1"/>
    <m/>
    <m/>
  </r>
  <r>
    <s v="ORD-2025-10007"/>
    <x v="6"/>
    <s v="04/16/2025"/>
    <s v="Invalid"/>
    <s v=""/>
    <s v="CUST-3656"/>
    <s v="Neha Gupta"/>
    <s v="Neha Gupta"/>
    <s v="Consumer"/>
    <x v="0"/>
    <x v="1"/>
    <s v="Odisha"/>
    <s v="Bhubaneswar"/>
    <s v="Technology"/>
    <x v="2"/>
    <x v="6"/>
    <s v="Eco Copiers 790"/>
    <x v="3"/>
    <s v="Standard Class"/>
    <n v="4"/>
    <n v="1719.87"/>
    <n v="0.15"/>
    <n v="5847.56"/>
    <n v="4727.25"/>
    <n v="1120.31"/>
    <s v="Paid"/>
    <x v="0"/>
    <m/>
    <m/>
    <m/>
    <m/>
    <m/>
    <x v="1"/>
    <m/>
    <m/>
  </r>
  <r>
    <s v="ORD-2025-10008"/>
    <x v="7"/>
    <s v="26-02-2025"/>
    <n v="3"/>
    <n v="3"/>
    <s v="CUST-4683"/>
    <s v="Isha Nair"/>
    <s v="Isha Nair"/>
    <s v="Small Business"/>
    <x v="1"/>
    <x v="2"/>
    <s v="Andhra Pradesh"/>
    <s v="Vijayawada"/>
    <s v="Office Supplies"/>
    <x v="0"/>
    <x v="2"/>
    <s v="Eco Art 848"/>
    <x v="2"/>
    <s v="First Class"/>
    <n v="1"/>
    <n v="2980.71"/>
    <n v="0"/>
    <n v="2980.71"/>
    <n v="2357.2199999999998"/>
    <n v="623.49"/>
    <s v="Paid"/>
    <x v="0"/>
    <m/>
    <m/>
    <m/>
    <m/>
    <m/>
    <x v="1"/>
    <m/>
    <m/>
  </r>
  <r>
    <s v="ORD-2024-10009"/>
    <x v="8"/>
    <s v="11/10/2024"/>
    <n v="153"/>
    <n v="153"/>
    <s v="CUST-2598"/>
    <s v="Aditi Sen"/>
    <s v="Aditi Sen"/>
    <s v="Corporate"/>
    <x v="2"/>
    <x v="2"/>
    <s v="Telangana"/>
    <s v="Hyderabad"/>
    <s v="Office Supplies"/>
    <x v="0"/>
    <x v="7"/>
    <s v="Classic Labels 815"/>
    <x v="2"/>
    <s v="First Class"/>
    <n v="8"/>
    <n v="3134.2"/>
    <n v="0"/>
    <n v="25073.599999999999"/>
    <n v="17347.23"/>
    <n v="7726.37"/>
    <s v="Paid"/>
    <x v="0"/>
    <m/>
    <m/>
    <m/>
    <m/>
    <m/>
    <x v="1"/>
    <m/>
    <m/>
  </r>
  <r>
    <s v="ORD-2025-10010"/>
    <x v="9"/>
    <s v="09/12/2025"/>
    <n v="93"/>
    <n v="93"/>
    <s v="CUST-2483"/>
    <s v="Mira Das"/>
    <s v="Mira Das"/>
    <s v="Home Office"/>
    <x v="3"/>
    <x v="2"/>
    <s v="Telangana"/>
    <s v="Hyderabad"/>
    <s v="Office Supplies"/>
    <x v="0"/>
    <x v="0"/>
    <s v="Pro Paper 622"/>
    <x v="0"/>
    <s v="Second Class"/>
    <n v="9"/>
    <n v="852.04"/>
    <n v="0.2"/>
    <n v="6134.69"/>
    <n v="3800.19"/>
    <n v="2334.5"/>
    <s v="Paid"/>
    <x v="0"/>
    <m/>
    <m/>
    <m/>
    <m/>
    <m/>
    <x v="1"/>
    <m/>
    <m/>
  </r>
  <r>
    <s v="ORD-2025-10011"/>
    <x v="10"/>
    <s v="05/20/2025"/>
    <s v="Invalid"/>
    <s v=""/>
    <s v="CUST-8092"/>
    <s v="Ananya Rao"/>
    <s v="Ananya Rao"/>
    <s v="Corporate"/>
    <x v="2"/>
    <x v="1"/>
    <s v="West Bengal"/>
    <s v="Kolkata"/>
    <s v="Office Supplies"/>
    <x v="0"/>
    <x v="7"/>
    <s v="Prime Labels 644"/>
    <x v="0"/>
    <s v="Second Class"/>
    <n v="3"/>
    <n v="3534.83"/>
    <n v="0.05"/>
    <n v="10074.27"/>
    <n v="6048.27"/>
    <n v="4026"/>
    <s v="Refunded"/>
    <x v="2"/>
    <m/>
    <m/>
    <m/>
    <m/>
    <m/>
    <x v="1"/>
    <m/>
    <m/>
  </r>
  <r>
    <s v="ORD-2024-10012"/>
    <x v="11"/>
    <s v="23-07-2024"/>
    <n v="1"/>
    <n v="1"/>
    <s v="CUST-6528"/>
    <s v="Vikram Iyer"/>
    <s v="Vikram Iyer"/>
    <s v="Small Business"/>
    <x v="1"/>
    <x v="1"/>
    <s v="Odisha"/>
    <s v="Bhubaneswar"/>
    <s v="Technology"/>
    <x v="2"/>
    <x v="5"/>
    <s v="Smart Accessories 603"/>
    <x v="1"/>
    <s v="Same Day"/>
    <n v="6"/>
    <n v="2005.95"/>
    <n v="0.2"/>
    <n v="9628.56"/>
    <n v="8038.59"/>
    <n v="1589.97"/>
    <s v="Paid"/>
    <x v="0"/>
    <m/>
    <m/>
    <m/>
    <m/>
    <m/>
    <x v="1"/>
    <m/>
    <m/>
  </r>
  <r>
    <s v="ORD-2024-10013"/>
    <x v="12"/>
    <s v="12/21/2024"/>
    <s v="Invalid"/>
    <s v=""/>
    <s v="CUST-2648"/>
    <s v="Ananya Rao"/>
    <s v="Ananya Rao"/>
    <s v="Corporate"/>
    <x v="2"/>
    <x v="3"/>
    <s v="Rajasthan"/>
    <s v="Udaipur"/>
    <s v="Office Supplies"/>
    <x v="0"/>
    <x v="0"/>
    <s v="Pro Paper 481"/>
    <x v="2"/>
    <s v="First Class"/>
    <n v="1"/>
    <n v="702.14"/>
    <n v="0.15"/>
    <n v="596.82000000000005"/>
    <n v="380.25"/>
    <n v="216.57"/>
    <s v="Pending"/>
    <x v="2"/>
    <m/>
    <m/>
    <m/>
    <m/>
    <m/>
    <x v="1"/>
    <m/>
    <m/>
  </r>
  <r>
    <s v="ORD-2025-10014"/>
    <x v="13"/>
    <s v="16-10-2025"/>
    <n v="4"/>
    <n v="4"/>
    <s v="CUST-7482"/>
    <s v="Priya Menon"/>
    <s v="Priya Menon"/>
    <s v="Small Business"/>
    <x v="1"/>
    <x v="3"/>
    <s v="Maharashtra"/>
    <s v="Mumbai"/>
    <s v="Office Supplies"/>
    <x v="0"/>
    <x v="2"/>
    <s v="Smart Art 795"/>
    <x v="0"/>
    <s v="Second Class"/>
    <n v="7"/>
    <n v="3964.72"/>
    <n v="0.05"/>
    <n v="26365.39"/>
    <n v="22306.240000000002"/>
    <n v="4059.15"/>
    <s v="Paid"/>
    <x v="0"/>
    <m/>
    <m/>
    <m/>
    <m/>
    <m/>
    <x v="1"/>
    <m/>
    <m/>
  </r>
  <r>
    <s v="ORD-2024-10015"/>
    <x v="14"/>
    <s v="12/28/2024"/>
    <s v="Invalid"/>
    <s v=""/>
    <s v="CUST-4912"/>
    <s v="Rahul Verma"/>
    <s v="Rahul Verma"/>
    <s v="Consumer"/>
    <x v="0"/>
    <x v="3"/>
    <s v="Rajasthan"/>
    <s v="Udaipur"/>
    <s v="Technology"/>
    <x v="2"/>
    <x v="6"/>
    <s v="Max Copiers 983"/>
    <x v="3"/>
    <s v="Standard Class"/>
    <n v="2"/>
    <n v="2737.83"/>
    <n v="0.25"/>
    <n v="4106.74"/>
    <n v="2666.3"/>
    <n v="1440.44"/>
    <s v="Paid"/>
    <x v="0"/>
    <m/>
    <m/>
    <m/>
    <m/>
    <m/>
    <x v="1"/>
    <m/>
    <m/>
  </r>
  <r>
    <s v="ORD-2024-10016"/>
    <x v="15"/>
    <s v="09 Jul 2024"/>
    <n v="-60"/>
    <s v=""/>
    <s v="CUST-7656"/>
    <s v="Karan Malhotra"/>
    <s v="Karan Malhotra"/>
    <s v="Small Business"/>
    <x v="1"/>
    <x v="0"/>
    <s v="Punjab"/>
    <s v="Ludhiana"/>
    <s v="Office Supplies"/>
    <x v="0"/>
    <x v="8"/>
    <s v="Classic Storage 198"/>
    <x v="0"/>
    <s v="Second Class"/>
    <n v="6"/>
    <n v="3965.76"/>
    <n v="0"/>
    <n v="23794.560000000001"/>
    <n v="15698.47"/>
    <n v="8096.09"/>
    <s v="Paid"/>
    <x v="0"/>
    <m/>
    <m/>
    <m/>
    <m/>
    <m/>
    <x v="1"/>
    <m/>
    <m/>
  </r>
  <r>
    <s v="ORD-2024-10017"/>
    <x v="16"/>
    <s v="15-05-2024"/>
    <n v="-82"/>
    <s v=""/>
    <s v="CUST-6214"/>
    <s v="Aarav Sharma"/>
    <s v="Aarav Sharma"/>
    <s v="Consumer"/>
    <x v="0"/>
    <x v="2"/>
    <s v="Telangana"/>
    <s v="Hyderabad"/>
    <s v="Office Supplies"/>
    <x v="0"/>
    <x v="2"/>
    <s v="Basic Art 204"/>
    <x v="2"/>
    <s v="First Class"/>
    <n v="4"/>
    <n v="3323.51"/>
    <n v="0.25"/>
    <n v="9970.5300000000007"/>
    <n v="5668.17"/>
    <n v="4302.3599999999997"/>
    <s v="Paid"/>
    <x v="0"/>
    <m/>
    <m/>
    <m/>
    <m/>
    <m/>
    <x v="1"/>
    <m/>
    <m/>
  </r>
  <r>
    <s v="ORD-2024-10018"/>
    <x v="17"/>
    <s v="2024-01-08"/>
    <n v="-175"/>
    <s v=""/>
    <s v="CUST-1626"/>
    <s v="Sneha Kapoor"/>
    <s v="Sneha Kapoor"/>
    <s v="Small Business"/>
    <x v="1"/>
    <x v="0"/>
    <s v="Rajasthan"/>
    <s v="Jaipur"/>
    <s v="Furniture"/>
    <x v="1"/>
    <x v="3"/>
    <s v="Basic Furnishings 434"/>
    <x v="1"/>
    <s v="Same Day"/>
    <n v="5"/>
    <n v="1526.78"/>
    <n v="0"/>
    <n v="7633.9"/>
    <n v="4706.91"/>
    <n v="2926.99"/>
    <s v="Paid"/>
    <x v="0"/>
    <m/>
    <m/>
    <m/>
    <m/>
    <m/>
    <x v="1"/>
    <m/>
    <m/>
  </r>
  <r>
    <s v="ORD-2025-10019"/>
    <x v="18"/>
    <s v="17-07-2025"/>
    <s v="Invalid"/>
    <s v=""/>
    <s v="CUST-2110"/>
    <s v="Aarav Sharma"/>
    <s v="Aarav Sharma"/>
    <s v="Home Office"/>
    <x v="3"/>
    <x v="0"/>
    <s v="Uttar Pradesh"/>
    <s v="Noida"/>
    <s v="Technology"/>
    <x v="2"/>
    <x v="6"/>
    <s v="Eco Copiers 755"/>
    <x v="2"/>
    <s v="First Class"/>
    <n v="2"/>
    <n v="1997.99"/>
    <n v="0"/>
    <n v="3995.98"/>
    <n v="2633.2"/>
    <n v="1362.78"/>
    <s v="Refunded"/>
    <x v="1"/>
    <m/>
    <m/>
    <m/>
    <m/>
    <m/>
    <x v="1"/>
    <m/>
    <m/>
  </r>
  <r>
    <s v="ORD-2024-10020"/>
    <x v="19"/>
    <s v="31 Jul 2024"/>
    <s v="Invalid"/>
    <s v=""/>
    <s v="CUST-3186"/>
    <s v="Rohan Mehta"/>
    <s v="Rohan Mehta"/>
    <s v="Home Office"/>
    <x v="3"/>
    <x v="3"/>
    <s v="Madhya Pradesh"/>
    <s v="Indore"/>
    <s v="Office Supplies"/>
    <x v="0"/>
    <x v="8"/>
    <s v="Prime Storage 121"/>
    <x v="0"/>
    <s v="Second Class"/>
    <n v="3"/>
    <n v="3887.94"/>
    <n v="-0.19"/>
    <n v="9331.06"/>
    <n v="7529.31"/>
    <n v="1801.75"/>
    <s v="Paid"/>
    <x v="0"/>
    <m/>
    <m/>
    <m/>
    <m/>
    <m/>
    <x v="1"/>
    <m/>
    <m/>
  </r>
  <r>
    <s v="ORD-2025-10021"/>
    <x v="20"/>
    <s v="23 Jan 2025"/>
    <n v="2"/>
    <n v="2"/>
    <s v="CUST-3190"/>
    <s v="Aditi Sen"/>
    <s v="Aditi Sen"/>
    <s v="Home Office"/>
    <x v="3"/>
    <x v="1"/>
    <s v="Bihar"/>
    <s v="Patna"/>
    <s v="Technology"/>
    <x v="2"/>
    <x v="6"/>
    <s v="Elite Copiers 233"/>
    <x v="2"/>
    <s v="First Class"/>
    <n v="5"/>
    <n v="4373.0600000000004"/>
    <n v="0.25"/>
    <n v="16398.98"/>
    <n v="9556.52"/>
    <n v="6842.46"/>
    <s v="Paid"/>
    <x v="0"/>
    <m/>
    <m/>
    <m/>
    <m/>
    <m/>
    <x v="1"/>
    <m/>
    <m/>
  </r>
  <r>
    <s v="ORD-2025-10022"/>
    <x v="21"/>
    <s v="01/30/2025"/>
    <s v="Invalid"/>
    <s v=""/>
    <s v="CUST-3036"/>
    <s v="Sneha Kapoor"/>
    <s v="Sneha Kapoor"/>
    <s v="Consumer"/>
    <x v="0"/>
    <x v="3"/>
    <s v="Madhya Pradesh"/>
    <s v="Indore"/>
    <s v="Furniture"/>
    <x v="1"/>
    <x v="3"/>
    <s v="Eco Furnishings 897"/>
    <x v="0"/>
    <s v="Second Class"/>
    <n v="4"/>
    <n v="697.69"/>
    <n v="-0.23"/>
    <n v="2790.76"/>
    <n v="2037.71"/>
    <n v="753.05"/>
    <s v="Paid"/>
    <x v="0"/>
    <m/>
    <m/>
    <m/>
    <m/>
    <m/>
    <x v="1"/>
    <m/>
    <m/>
  </r>
  <r>
    <s v="ORD-2025-10023"/>
    <x v="22"/>
    <s v="2025-01-21"/>
    <n v="2"/>
    <n v="2"/>
    <s v="CUST-3588"/>
    <s v="Mira Das"/>
    <s v="Mira Das"/>
    <s v="Consumer"/>
    <x v="0"/>
    <x v="2"/>
    <s v="Telangana"/>
    <s v="Hyderabad"/>
    <s v="Office Supplies"/>
    <x v="0"/>
    <x v="9"/>
    <s v="Max Binders 355"/>
    <x v="3"/>
    <s v="Standard Class"/>
    <n v="8"/>
    <n v="1219.3399999999999"/>
    <n v="0.15"/>
    <n v="8291.51"/>
    <n v="6685.03"/>
    <n v="1606.48"/>
    <s v="Failed"/>
    <x v="2"/>
    <m/>
    <m/>
    <m/>
    <m/>
    <m/>
    <x v="1"/>
    <m/>
    <m/>
  </r>
  <r>
    <s v="ORD-2025-10024"/>
    <x v="4"/>
    <s v="31-08-2025"/>
    <n v="2"/>
    <n v="2"/>
    <s v="CUST-7098"/>
    <s v="Rahul Verma"/>
    <s v="Rahul Verma"/>
    <s v="Home Office"/>
    <x v="3"/>
    <x v="1"/>
    <s v="Bihar"/>
    <s v="Patna"/>
    <s v="Furniture"/>
    <x v="1"/>
    <x v="10"/>
    <s v="Pro Bookcases 394"/>
    <x v="2"/>
    <s v="First Class"/>
    <n v="4"/>
    <n v="1958.01"/>
    <n v="0.2"/>
    <n v="6265.63"/>
    <n v="4321.8599999999997"/>
    <n v="1943.77"/>
    <s v="Paid"/>
    <x v="0"/>
    <m/>
    <m/>
    <m/>
    <m/>
    <m/>
    <x v="1"/>
    <m/>
    <m/>
  </r>
  <r>
    <s v="ORD-2024-10025"/>
    <x v="23"/>
    <s v="03/01/2024"/>
    <n v="-61"/>
    <s v=""/>
    <s v="CUST-1747"/>
    <s v="Diya Patel"/>
    <s v="Diya Patel"/>
    <s v="Consumer"/>
    <x v="0"/>
    <x v="0"/>
    <s v="Punjab"/>
    <s v="Ludhiana"/>
    <s v="Office Supplies"/>
    <x v="0"/>
    <x v="2"/>
    <s v="Max Art 215"/>
    <x v="3"/>
    <s v="Standard Class"/>
    <n v="4"/>
    <n v="4492.9399999999996"/>
    <n v="0.25"/>
    <n v="13478.82"/>
    <n v="10937.35"/>
    <n v="2541.4699999999998"/>
    <s v="Pending"/>
    <x v="1"/>
    <m/>
    <m/>
    <m/>
    <m/>
    <m/>
    <x v="1"/>
    <m/>
    <m/>
  </r>
  <r>
    <s v="ORD-2024-10026"/>
    <x v="24"/>
    <s v="2024-10-19"/>
    <n v="8"/>
    <n v="8"/>
    <s v="CUST-1731"/>
    <s v="Arjun Bose"/>
    <s v="Arjun Bose"/>
    <s v="Corporate"/>
    <x v="2"/>
    <x v="1"/>
    <s v="Assam"/>
    <s v="Guwahati"/>
    <s v="Technology"/>
    <x v="2"/>
    <x v="5"/>
    <s v="Classic Accessories 478"/>
    <x v="2"/>
    <s v="First Class"/>
    <n v="2"/>
    <n v="4315.2"/>
    <n v="0.15"/>
    <n v="7335.84"/>
    <n v="4968.41"/>
    <n v="2367.4299999999998"/>
    <s v="Paid"/>
    <x v="0"/>
    <m/>
    <m/>
    <m/>
    <m/>
    <m/>
    <x v="1"/>
    <m/>
    <m/>
  </r>
  <r>
    <s v="ORD-2024-10027"/>
    <x v="25"/>
    <s v="23 Nov 2024"/>
    <n v="0"/>
    <n v="0"/>
    <s v="CUST-4401"/>
    <s v="Diya Patel"/>
    <s v="Diya Patel"/>
    <s v="Corporate"/>
    <x v="2"/>
    <x v="0"/>
    <s v="Uttar Pradesh"/>
    <s v="Noida"/>
    <s v="Technology"/>
    <x v="2"/>
    <x v="11"/>
    <s v="Pro Phones 243"/>
    <x v="3"/>
    <s v="Standard Class"/>
    <n v="4"/>
    <n v="716.13"/>
    <n v="0.1"/>
    <n v="2578.0700000000002"/>
    <n v="1527.55"/>
    <n v="1050.52"/>
    <s v="Paid"/>
    <x v="2"/>
    <m/>
    <m/>
    <m/>
    <m/>
    <m/>
    <x v="1"/>
    <m/>
    <m/>
  </r>
  <r>
    <s v="ORD-2025-10028"/>
    <x v="26"/>
    <s v="05-10-2025"/>
    <n v="6"/>
    <n v="6"/>
    <s v="CUST-9875"/>
    <s v="Arjun Bose"/>
    <s v="Arjun Bose"/>
    <s v="Small Business"/>
    <x v="1"/>
    <x v="2"/>
    <s v="Karnataka"/>
    <s v="Bengaluru"/>
    <s v="Office Supplies"/>
    <x v="0"/>
    <x v="0"/>
    <s v="Basic Paper 613"/>
    <x v="0"/>
    <s v="Second Class"/>
    <n v="5"/>
    <n v="1806.51"/>
    <n v="0.25"/>
    <n v="6774.41"/>
    <n v="4710.3599999999997"/>
    <n v="2064.0500000000002"/>
    <s v="Failed"/>
    <x v="2"/>
    <m/>
    <m/>
    <m/>
    <m/>
    <m/>
    <x v="1"/>
    <m/>
    <m/>
  </r>
  <r>
    <s v="ORD-2024-10029"/>
    <x v="24"/>
    <s v="18-10-2024"/>
    <n v="7"/>
    <n v="7"/>
    <s v="CUST-1569"/>
    <s v="Ananya Rao"/>
    <s v="Ananya Rao"/>
    <s v="Home Office"/>
    <x v="3"/>
    <x v="3"/>
    <s v="Gujarat"/>
    <s v="Ahmedabad"/>
    <s v="Technology"/>
    <x v="2"/>
    <x v="11"/>
    <s v="Prime Phones 698"/>
    <x v="0"/>
    <s v="Second Class"/>
    <n v="2"/>
    <n v="1942.22"/>
    <n v="0.25"/>
    <n v="2913.33"/>
    <n v="2122.33"/>
    <n v="791"/>
    <s v="Refunded"/>
    <x v="1"/>
    <m/>
    <m/>
    <m/>
    <m/>
    <m/>
    <x v="1"/>
    <m/>
    <m/>
  </r>
  <r>
    <s v="ORD-2025-10030"/>
    <x v="27"/>
    <s v="13-08-2025"/>
    <n v="0"/>
    <n v="0"/>
    <s v="CUST-5936"/>
    <s v="Rohan Mehta"/>
    <s v="Rohan Mehta"/>
    <s v="Home Office"/>
    <x v="3"/>
    <x v="2"/>
    <s v="Kerala"/>
    <s v="Kochi"/>
    <s v="Technology"/>
    <x v="2"/>
    <x v="11"/>
    <s v="Pro Phones 442"/>
    <x v="3"/>
    <s v="Standard Class"/>
    <n v="1"/>
    <n v="256.01"/>
    <n v="0.15"/>
    <n v="217.61"/>
    <n v="119.77"/>
    <n v="97.84"/>
    <s v="Paid"/>
    <x v="0"/>
    <m/>
    <m/>
    <m/>
    <m/>
    <m/>
    <x v="1"/>
    <m/>
    <m/>
  </r>
  <r>
    <s v="ORD-2024-10031"/>
    <x v="28"/>
    <s v="02/12/2024"/>
    <n v="297"/>
    <n v="297"/>
    <s v="CUST-8759"/>
    <s v="Ananya Rao"/>
    <s v="Ananya Rao"/>
    <s v="Corporate"/>
    <x v="2"/>
    <x v="3"/>
    <s v="Goa"/>
    <s v="Panaji"/>
    <s v="Office Supplies"/>
    <x v="0"/>
    <x v="7"/>
    <s v="Pro Labels 355"/>
    <x v="2"/>
    <s v="First Class"/>
    <n v="1"/>
    <n v="3421.77"/>
    <n v="0.1"/>
    <n v="3079.59"/>
    <n v="2001.89"/>
    <n v="1077.7"/>
    <s v="Paid"/>
    <x v="0"/>
    <m/>
    <m/>
    <m/>
    <m/>
    <m/>
    <x v="1"/>
    <m/>
    <m/>
  </r>
  <r>
    <s v="ORD-2025-10032"/>
    <x v="29"/>
    <s v="19-06-2025"/>
    <n v="4"/>
    <n v="4"/>
    <s v="CUST-7867"/>
    <s v="Karan Malhotra"/>
    <s v="Karan Malhotra"/>
    <s v="Small Business"/>
    <x v="1"/>
    <x v="3"/>
    <s v="Madhya Pradesh"/>
    <s v="Indore"/>
    <s v="Office Supplies"/>
    <x v="0"/>
    <x v="0"/>
    <s v="Pro Paper 959"/>
    <x v="0"/>
    <s v="Second Class"/>
    <n v="9"/>
    <n v="3092.55"/>
    <n v="0"/>
    <n v="27832.95"/>
    <n v="17769.75"/>
    <n v="10063.200000000001"/>
    <s v="Failed"/>
    <x v="2"/>
    <m/>
    <m/>
    <m/>
    <m/>
    <m/>
    <x v="1"/>
    <m/>
    <m/>
  </r>
  <r>
    <s v="ORD-2024-10033"/>
    <x v="30"/>
    <s v="2024-11-26"/>
    <n v="4"/>
    <n v="4"/>
    <s v="CUST-6509"/>
    <s v="Aarav Sharma"/>
    <s v="Aarav Sharma"/>
    <s v="Corporate"/>
    <x v="2"/>
    <x v="2"/>
    <s v="Andhra Pradesh"/>
    <s v="Vijayawada"/>
    <s v="Technology"/>
    <x v="2"/>
    <x v="11"/>
    <s v="Basic Phones 242"/>
    <x v="0"/>
    <s v="Second Class"/>
    <n v="3"/>
    <n v="4001.25"/>
    <m/>
    <n v="9002.81"/>
    <n v="7529.92"/>
    <n v="1472.89"/>
    <s v="Paid"/>
    <x v="0"/>
    <m/>
    <m/>
    <m/>
    <m/>
    <m/>
    <x v="1"/>
    <m/>
    <m/>
  </r>
  <r>
    <s v="ORD-2024-10034"/>
    <x v="31"/>
    <s v="27-07-2024"/>
    <s v="Invalid"/>
    <s v=""/>
    <s v="CUST-6660"/>
    <s v="Priya Menon"/>
    <s v="Priya Menon"/>
    <s v="Home Office"/>
    <x v="3"/>
    <x v="3"/>
    <s v="Goa"/>
    <s v="Panaji"/>
    <s v="Furniture"/>
    <x v="1"/>
    <x v="1"/>
    <s v="Max Tables 836"/>
    <x v="1"/>
    <s v="Same Day"/>
    <n v="7"/>
    <n v="492.41"/>
    <n v="0.25"/>
    <n v="2585.15"/>
    <n v="2070.73"/>
    <n v="514.41999999999996"/>
    <s v="Paid"/>
    <x v="0"/>
    <m/>
    <m/>
    <m/>
    <m/>
    <m/>
    <x v="1"/>
    <m/>
    <m/>
  </r>
  <r>
    <s v="ORD-2025-10035"/>
    <x v="32"/>
    <s v="2025-02-05"/>
    <n v="5"/>
    <n v="5"/>
    <s v="CUST-2392"/>
    <s v="Priya Menon"/>
    <s v="Priya Menon"/>
    <s v="Home Office"/>
    <x v="3"/>
    <x v="1"/>
    <s v="West Bengal"/>
    <s v="Kolkata"/>
    <s v="Furniture"/>
    <x v="1"/>
    <x v="4"/>
    <s v="Elite Chairs 862"/>
    <x v="4"/>
    <s v=""/>
    <n v="2"/>
    <n v="4159.6899999999996"/>
    <n v="0.2"/>
    <n v="6655.5"/>
    <n v="4340.21"/>
    <n v="2607.3200000000002"/>
    <s v="Paid"/>
    <x v="0"/>
    <m/>
    <m/>
    <m/>
    <m/>
    <m/>
    <x v="1"/>
    <m/>
    <m/>
  </r>
  <r>
    <s v="ORD-2024-10036"/>
    <x v="33"/>
    <s v="29 May 2024"/>
    <n v="0"/>
    <n v="0"/>
    <s v="CUST-1611"/>
    <s v="Sneha Kapoor"/>
    <s v="Sneha Kapoor"/>
    <s v="Small Business"/>
    <x v="1"/>
    <x v="3"/>
    <s v="Gujarat"/>
    <s v="Ahmedabad"/>
    <s v="Furniture"/>
    <x v="1"/>
    <x v="10"/>
    <s v="Prime Bookcases 414"/>
    <x v="0"/>
    <s v="Second Class"/>
    <n v="8"/>
    <n v="2507.12"/>
    <n v="0.05"/>
    <n v="19054.11"/>
    <n v="15313.83"/>
    <n v="3740.28"/>
    <s v="Pending"/>
    <x v="2"/>
    <m/>
    <m/>
    <m/>
    <m/>
    <m/>
    <x v="1"/>
    <m/>
    <m/>
  </r>
  <r>
    <s v="ORD-2024-10037"/>
    <x v="34"/>
    <s v="28 Oct 2024"/>
    <n v="3"/>
    <n v="3"/>
    <s v="CUST-8296"/>
    <s v="Rohan Mehta"/>
    <s v="Rohan Mehta"/>
    <s v="Corporate"/>
    <x v="2"/>
    <x v="3"/>
    <s v="Maharashtra"/>
    <s v="Mumbai"/>
    <s v="Furniture"/>
    <x v="1"/>
    <x v="10"/>
    <s v="Eco Bookcases 220"/>
    <x v="0"/>
    <s v="Second Class"/>
    <n v="3"/>
    <n v="3126.47"/>
    <n v="0"/>
    <n v="9379.41"/>
    <n v="6670.85"/>
    <n v="2708.56"/>
    <s v="Paid"/>
    <x v="2"/>
    <m/>
    <m/>
    <m/>
    <m/>
    <m/>
    <x v="1"/>
    <m/>
    <m/>
  </r>
  <r>
    <s v="ORD-2025-10038"/>
    <x v="35"/>
    <s v="29-07-2025"/>
    <n v="0"/>
    <n v="0"/>
    <s v="CUST-4646"/>
    <s v="Diya Patel"/>
    <s v="Diya Patel"/>
    <s v="Consumer"/>
    <x v="0"/>
    <x v="3"/>
    <s v="Maharashtra"/>
    <s v="Mumbai"/>
    <s v="Technology"/>
    <x v="2"/>
    <x v="6"/>
    <s v="Pro Copiers 830"/>
    <x v="3"/>
    <s v="Standard Class"/>
    <n v="4"/>
    <n v="1327.54"/>
    <n v="0.2"/>
    <n v="4248.13"/>
    <n v="3321.09"/>
    <n v="927.04"/>
    <s v="Paid"/>
    <x v="0"/>
    <m/>
    <m/>
    <m/>
    <m/>
    <m/>
    <x v="1"/>
    <m/>
    <m/>
  </r>
  <r>
    <s v="ORD-2024-10039"/>
    <x v="36"/>
    <s v="22-06-2024"/>
    <n v="5"/>
    <n v="5"/>
    <s v="CUST-8235"/>
    <s v="Aarav Sharma"/>
    <s v="Aarav Sharma"/>
    <s v="Corporate"/>
    <x v="2"/>
    <x v="3"/>
    <s v="Gujarat"/>
    <s v="Ahmedabad"/>
    <s v="Technology"/>
    <x v="2"/>
    <x v="11"/>
    <s v="Prime Phones 507"/>
    <x v="2"/>
    <s v="First Class"/>
    <n v="7"/>
    <n v="2210.6799999999998"/>
    <n v="0.1"/>
    <n v="13927.28"/>
    <n v="10504.87"/>
    <n v="3422.41"/>
    <s v="Paid"/>
    <x v="0"/>
    <m/>
    <m/>
    <m/>
    <m/>
    <m/>
    <x v="1"/>
    <m/>
    <m/>
  </r>
  <r>
    <s v="ORD-2024-10040"/>
    <x v="37"/>
    <s v="2024-12-11"/>
    <n v="29"/>
    <n v="29"/>
    <s v="CUST-5830"/>
    <s v="Mira Das"/>
    <s v="Mira Das"/>
    <s v="Small Business"/>
    <x v="1"/>
    <x v="3"/>
    <s v="Madhya Pradesh"/>
    <s v="Indore"/>
    <s v="Technology"/>
    <x v="2"/>
    <x v="6"/>
    <s v="Classic Copiers 590"/>
    <x v="2"/>
    <s v="First Class"/>
    <n v="4"/>
    <n v="1370.92"/>
    <n v="0.1"/>
    <n v="4935.3100000000004"/>
    <n v="3374.77"/>
    <n v="1560.54"/>
    <s v="Pending"/>
    <x v="2"/>
    <m/>
    <m/>
    <m/>
    <m/>
    <m/>
    <x v="1"/>
    <m/>
    <m/>
  </r>
  <r>
    <s v="ORD-2024-10041"/>
    <x v="38"/>
    <s v="16 Oct 2024"/>
    <n v="6"/>
    <n v="6"/>
    <s v="CUST-7178"/>
    <s v="Isha Nair"/>
    <s v="Isha Nair"/>
    <s v="Home Office"/>
    <x v="3"/>
    <x v="3"/>
    <s v="Rajasthan"/>
    <s v="Udaipur"/>
    <s v="Technology"/>
    <x v="2"/>
    <x v="6"/>
    <s v="Eco Copiers 865"/>
    <x v="3"/>
    <s v="Standard Class"/>
    <n v="7"/>
    <n v="2509.27"/>
    <n v="0.2"/>
    <n v="14051.91"/>
    <n v="11990.37"/>
    <n v="2061.54"/>
    <s v="Paid"/>
    <x v="0"/>
    <m/>
    <m/>
    <m/>
    <m/>
    <m/>
    <x v="1"/>
    <m/>
    <m/>
  </r>
  <r>
    <s v="ORD-2024-10042"/>
    <x v="39"/>
    <s v="17-03-2024"/>
    <n v="-261"/>
    <s v=""/>
    <s v="CUST-3829"/>
    <s v="Aarav Sharma"/>
    <s v="Aarav Sharma"/>
    <s v="Small Business"/>
    <x v="1"/>
    <x v="1"/>
    <s v="Odisha"/>
    <s v="Bhubaneswar"/>
    <s v="Furniture"/>
    <x v="1"/>
    <x v="10"/>
    <s v="Classic Bookcases 835"/>
    <x v="1"/>
    <s v="Same Day"/>
    <n v="8"/>
    <n v="855.81"/>
    <n v="0"/>
    <n v="6846.48"/>
    <n v="4239.8900000000003"/>
    <n v="2606.59"/>
    <s v="Pending"/>
    <x v="1"/>
    <m/>
    <m/>
    <m/>
    <m/>
    <m/>
    <x v="1"/>
    <m/>
    <m/>
  </r>
  <r>
    <s v="ORD-2025-10043"/>
    <x v="40"/>
    <s v="15 Oct 2025"/>
    <n v="5"/>
    <n v="5"/>
    <s v="CUST-6708"/>
    <s v="Arjun Bose"/>
    <s v="Arjun Bose"/>
    <s v="Corporate"/>
    <x v="2"/>
    <x v="1"/>
    <s v="Jharkhand"/>
    <s v="Ranchi"/>
    <s v="Technology"/>
    <x v="2"/>
    <x v="11"/>
    <s v="Eco Phones 702"/>
    <x v="3"/>
    <s v="Standard Class"/>
    <n v="8"/>
    <n v="979.87"/>
    <n v="0.05"/>
    <n v="7447.01"/>
    <n v="4496.22"/>
    <n v="2950.79"/>
    <s v="Paid"/>
    <x v="0"/>
    <m/>
    <m/>
    <m/>
    <m/>
    <m/>
    <x v="1"/>
    <m/>
    <m/>
  </r>
  <r>
    <s v="ORD-2024-10044"/>
    <x v="41"/>
    <s v="07/14/2024"/>
    <s v="Invalid"/>
    <s v=""/>
    <s v="CUST-7119"/>
    <s v="Priya Menon"/>
    <s v="Priya Menon"/>
    <s v="Small Business"/>
    <x v="1"/>
    <x v="1"/>
    <s v="Odisha"/>
    <s v="Bhubaneswar"/>
    <s v="Furniture"/>
    <x v="1"/>
    <x v="3"/>
    <s v="Smart Furnishings 956"/>
    <x v="1"/>
    <s v="Same Day"/>
    <n v="3"/>
    <n v="1010.23"/>
    <n v="0"/>
    <n v="3030.69"/>
    <n v="1721.08"/>
    <n v="1309.6099999999999"/>
    <s v="Paid"/>
    <x v="0"/>
    <m/>
    <m/>
    <m/>
    <m/>
    <m/>
    <x v="1"/>
    <m/>
    <m/>
  </r>
  <r>
    <s v="ORD-2024-10045"/>
    <x v="42"/>
    <s v="25-06-2024"/>
    <s v="Invalid"/>
    <s v=""/>
    <s v="CUST-3373"/>
    <s v="Rohan Mehta"/>
    <s v="Rohan Mehta"/>
    <s v="Small Business"/>
    <x v="1"/>
    <x v="0"/>
    <s v="Haryana"/>
    <s v="Gurugram"/>
    <s v="Furniture"/>
    <x v="1"/>
    <x v="4"/>
    <s v="Max Chairs 393"/>
    <x v="3"/>
    <s v="Standard Class"/>
    <n v="9"/>
    <n v="3329.77"/>
    <n v="0.1"/>
    <n v="26971.14"/>
    <n v="17376.2"/>
    <n v="9594.94"/>
    <s v="Paid"/>
    <x v="0"/>
    <m/>
    <m/>
    <m/>
    <m/>
    <m/>
    <x v="1"/>
    <m/>
    <m/>
  </r>
  <r>
    <s v="ORD-2024-10046"/>
    <x v="43"/>
    <s v="24-01-2024"/>
    <n v="6"/>
    <n v="6"/>
    <s v="CUST-8896"/>
    <s v="Isha Nair"/>
    <s v="Isha Nair"/>
    <s v="Home Office"/>
    <x v="3"/>
    <x v="1"/>
    <s v="Bihar"/>
    <s v="Patna"/>
    <s v="Office Supplies"/>
    <x v="0"/>
    <x v="2"/>
    <s v="Prime Art 221"/>
    <x v="0"/>
    <s v="Second Class"/>
    <n v="8"/>
    <n v="3927.82"/>
    <n v="0.05"/>
    <n v="29851.43"/>
    <n v="17487.48"/>
    <n v="12363.95"/>
    <s v="Pending"/>
    <x v="2"/>
    <m/>
    <m/>
    <m/>
    <m/>
    <m/>
    <x v="1"/>
    <m/>
    <m/>
  </r>
  <r>
    <s v="ORD-2024-10047"/>
    <x v="44"/>
    <s v="19-07-2024"/>
    <n v="0"/>
    <n v="0"/>
    <s v="CUST-8517"/>
    <s v="Ananya Rao"/>
    <s v="Ananya Rao"/>
    <s v="Small Business"/>
    <x v="1"/>
    <x v="2"/>
    <s v="Kerala"/>
    <s v="Kochi"/>
    <s v="Furniture"/>
    <x v="1"/>
    <x v="10"/>
    <s v="Elite Bookcases 671"/>
    <x v="3"/>
    <s v="Standard Class"/>
    <n v="9"/>
    <n v="2386.79"/>
    <n v="0.25"/>
    <n v="16110.83"/>
    <n v="10680.03"/>
    <n v="5430.8"/>
    <s v="Refunded"/>
    <x v="2"/>
    <m/>
    <m/>
    <m/>
    <m/>
    <m/>
    <x v="1"/>
    <m/>
    <m/>
  </r>
  <r>
    <s v="ORD-2024-10048"/>
    <x v="45"/>
    <s v="2024-08-12"/>
    <n v="0"/>
    <n v="0"/>
    <s v="CUST-1987"/>
    <s v="Rahul Verma"/>
    <s v="Rahul Verma"/>
    <s v="Corporate"/>
    <x v="2"/>
    <x v="2"/>
    <s v="Tamil Nadu"/>
    <s v="Chennai"/>
    <s v="Office Supplies"/>
    <x v="0"/>
    <x v="8"/>
    <s v="Max Storage 432"/>
    <x v="3"/>
    <s v="Standard Class"/>
    <n v="8"/>
    <n v="2445.31"/>
    <n v="0.1"/>
    <n v="17606.23"/>
    <n v="12438.96"/>
    <n v="5167.2700000000004"/>
    <s v="Paid"/>
    <x v="0"/>
    <m/>
    <m/>
    <m/>
    <m/>
    <m/>
    <x v="1"/>
    <m/>
    <m/>
  </r>
  <r>
    <s v="ORD-2025-10049"/>
    <x v="46"/>
    <s v="05 Feb 2025"/>
    <n v="6"/>
    <n v="6"/>
    <s v="CUST-8183"/>
    <s v="Neha Gupta"/>
    <s v="Neha Gupta"/>
    <s v="Corporate"/>
    <x v="2"/>
    <x v="3"/>
    <s v="Maharashtra"/>
    <s v="Mumbai"/>
    <s v="Furniture"/>
    <x v="1"/>
    <x v="4"/>
    <s v="Basic Chairs 837"/>
    <x v="0"/>
    <s v="Second Class"/>
    <n v="7"/>
    <n v="4063.66"/>
    <n v="0"/>
    <n v="28445.62"/>
    <n v="20938.59"/>
    <n v="7507.03"/>
    <s v="Paid"/>
    <x v="0"/>
    <m/>
    <m/>
    <m/>
    <m/>
    <m/>
    <x v="1"/>
    <m/>
    <m/>
  </r>
  <r>
    <s v="ORD-2024-10050"/>
    <x v="47"/>
    <s v="13 Apr 2024"/>
    <n v="7"/>
    <n v="7"/>
    <s v="CUST-2380"/>
    <s v="Aarav Sharma"/>
    <s v="Aarav Sharma"/>
    <s v="Home Office"/>
    <x v="3"/>
    <x v="0"/>
    <s v="Uttar Pradesh"/>
    <s v="Noida"/>
    <s v="Technology"/>
    <x v="2"/>
    <x v="6"/>
    <s v="Classic Copiers 295"/>
    <x v="0"/>
    <s v="Second Class"/>
    <n v="9"/>
    <n v="792.11"/>
    <n v="0.05"/>
    <n v="6772.54"/>
    <n v="5755.46"/>
    <n v="1017.08"/>
    <s v="Paid"/>
    <x v="0"/>
    <m/>
    <m/>
    <m/>
    <m/>
    <m/>
    <x v="1"/>
    <m/>
    <m/>
  </r>
  <r>
    <s v="ORD-2025-10051"/>
    <x v="48"/>
    <s v="19 May 2025"/>
    <n v="-170"/>
    <s v=""/>
    <s v="CUST-8787"/>
    <s v="Sneha Kapoor"/>
    <s v="Sneha Kapoor"/>
    <s v="Consumer"/>
    <x v="0"/>
    <x v="1"/>
    <s v="West Bengal"/>
    <s v="Kolkata"/>
    <s v="Technology"/>
    <x v="2"/>
    <x v="6"/>
    <s v="Pro Copiers 963"/>
    <x v="3"/>
    <s v="Standard Class"/>
    <n v="1"/>
    <n v="2382.8000000000002"/>
    <n v="0.15"/>
    <n v="2025.38"/>
    <n v="1140.6500000000001"/>
    <n v="884.73"/>
    <s v="Paid"/>
    <x v="0"/>
    <m/>
    <m/>
    <m/>
    <m/>
    <m/>
    <x v="1"/>
    <m/>
    <m/>
  </r>
  <r>
    <s v="ORD-2024-10052"/>
    <x v="49"/>
    <s v="29 Apr 2024"/>
    <n v="5"/>
    <n v="5"/>
    <s v="CUST-3557"/>
    <s v="Ananya Rao"/>
    <s v="Ananya Rao"/>
    <s v="Corporate"/>
    <x v="2"/>
    <x v="2"/>
    <s v="Telangana"/>
    <s v="Hyderabad"/>
    <s v="Office Supplies"/>
    <x v="0"/>
    <x v="2"/>
    <s v="Pro Art 907"/>
    <x v="3"/>
    <s v="Standard Class"/>
    <n v="6"/>
    <n v="1528.08"/>
    <n v="0"/>
    <n v="9168.48"/>
    <n v="7439.77"/>
    <n v="1728.71"/>
    <s v="Paid"/>
    <x v="0"/>
    <m/>
    <m/>
    <m/>
    <m/>
    <m/>
    <x v="1"/>
    <m/>
    <m/>
  </r>
  <r>
    <s v="ORD-2024-10053"/>
    <x v="50"/>
    <s v="2024-10-28"/>
    <n v="2"/>
    <n v="2"/>
    <s v="CUST-2778"/>
    <s v="Kabir Singh"/>
    <s v="Kabir Singh"/>
    <s v="Small Business"/>
    <x v="1"/>
    <x v="0"/>
    <s v="Rajasthan"/>
    <s v="Jaipur"/>
    <s v="Furniture"/>
    <x v="1"/>
    <x v="4"/>
    <s v="Pro Chairs 526"/>
    <x v="2"/>
    <s v="First Class"/>
    <n v="9"/>
    <n v="1399.63"/>
    <n v="0"/>
    <n v="12596.67"/>
    <n v="10603.29"/>
    <n v="1993.38"/>
    <s v="Failed"/>
    <x v="1"/>
    <m/>
    <m/>
    <m/>
    <m/>
    <m/>
    <x v="1"/>
    <m/>
    <m/>
  </r>
  <r>
    <s v="ORD-2025-10054"/>
    <x v="51"/>
    <s v="2025-03-31"/>
    <n v="0"/>
    <n v="0"/>
    <s v="CUST-7195"/>
    <s v="Kabir Singh"/>
    <s v="Kabir Singh"/>
    <s v="Home Office"/>
    <x v="3"/>
    <x v="3"/>
    <s v="Gujarat"/>
    <s v="Ahmedabad"/>
    <s v="Office Supplies"/>
    <x v="0"/>
    <x v="8"/>
    <s v="Elite Storage 924"/>
    <x v="2"/>
    <s v="First Class"/>
    <n v="5"/>
    <n v="1207.47"/>
    <n v="0.15"/>
    <n v="5131.75"/>
    <n v="2838.68"/>
    <n v="2293.0700000000002"/>
    <s v="Paid"/>
    <x v="0"/>
    <m/>
    <m/>
    <m/>
    <m/>
    <m/>
    <x v="1"/>
    <m/>
    <m/>
  </r>
  <r>
    <s v="ORD-2025-10055"/>
    <x v="52"/>
    <s v="2025-06-02"/>
    <n v="3"/>
    <n v="3"/>
    <s v="CUST-9039"/>
    <s v="Arjun Bose"/>
    <s v="Arjun Bose"/>
    <s v="Corporate"/>
    <x v="2"/>
    <x v="2"/>
    <s v="Tamil Nadu"/>
    <s v="Chennai"/>
    <s v="Office Supplies"/>
    <x v="0"/>
    <x v="7"/>
    <s v="Pro Labels 957"/>
    <x v="1"/>
    <s v="Same Day"/>
    <n v="8"/>
    <n v="474.37"/>
    <n v="0.1"/>
    <n v="3415.46"/>
    <n v="1993.23"/>
    <n v="1422.23"/>
    <s v="Failed"/>
    <x v="1"/>
    <m/>
    <m/>
    <m/>
    <m/>
    <m/>
    <x v="1"/>
    <m/>
    <m/>
  </r>
  <r>
    <s v="ORD-2025-10056"/>
    <x v="53"/>
    <s v="03-07-2025"/>
    <n v="2"/>
    <n v="2"/>
    <s v="CUST-9821"/>
    <s v="Mira Das"/>
    <s v="Mira Das"/>
    <s v="Small Business"/>
    <x v="1"/>
    <x v="2"/>
    <s v="Andhra Pradesh"/>
    <s v="Vijayawada"/>
    <s v="Technology"/>
    <x v="2"/>
    <x v="12"/>
    <s v="Classic Machines 310"/>
    <x v="1"/>
    <s v="Same Day"/>
    <n v="3"/>
    <n v="1516.24"/>
    <n v="0.25"/>
    <n v="3411.54"/>
    <n v="2803.13"/>
    <n v="608.41"/>
    <s v="Paid"/>
    <x v="0"/>
    <m/>
    <m/>
    <m/>
    <m/>
    <m/>
    <x v="1"/>
    <m/>
    <m/>
  </r>
  <r>
    <s v="ORD-2025-10057"/>
    <x v="54"/>
    <s v="06-01-2025"/>
    <n v="1"/>
    <n v="1"/>
    <s v="CUST-8701"/>
    <s v="Karan Malhotra"/>
    <s v="Karan Malhotra"/>
    <s v="Consumer"/>
    <x v="0"/>
    <x v="2"/>
    <s v="Karnataka"/>
    <s v="Bengaluru"/>
    <s v="Office Supplies"/>
    <x v="0"/>
    <x v="9"/>
    <s v="Smart Binders 393"/>
    <x v="0"/>
    <s v="Second Class"/>
    <n v="3"/>
    <n v="3155.61"/>
    <n v="0"/>
    <n v="9466.83"/>
    <n v="6557.83"/>
    <n v="2909"/>
    <s v="Refunded"/>
    <x v="1"/>
    <m/>
    <m/>
    <m/>
    <m/>
    <m/>
    <x v="1"/>
    <m/>
    <m/>
  </r>
  <r>
    <s v="ORD-2024-10058"/>
    <x v="55"/>
    <s v="15 Feb 2024"/>
    <n v="8"/>
    <n v="8"/>
    <s v="CUST-9941"/>
    <s v="Priya Menon"/>
    <s v="Priya Menon"/>
    <s v="Consumer"/>
    <x v="0"/>
    <x v="3"/>
    <s v="Goa"/>
    <s v="Panaji"/>
    <s v="Furniture"/>
    <x v="1"/>
    <x v="4"/>
    <s v="Max Chairs 813"/>
    <x v="1"/>
    <s v="Same Day"/>
    <n v="5"/>
    <n v="255.87"/>
    <n v="0"/>
    <n v="1279.3499999999999"/>
    <n v="1091.54"/>
    <n v="187.81"/>
    <s v="Paid"/>
    <x v="0"/>
    <m/>
    <m/>
    <m/>
    <m/>
    <m/>
    <x v="1"/>
    <m/>
    <m/>
  </r>
  <r>
    <s v="ORD-2024-10059"/>
    <x v="56"/>
    <s v="2024-09-07"/>
    <n v="6"/>
    <n v="6"/>
    <s v="CUST-3983"/>
    <s v="Isha Nair"/>
    <s v="Isha Nair"/>
    <s v="Home Office"/>
    <x v="3"/>
    <x v="0"/>
    <s v="Rajasthan"/>
    <s v="Jaipur"/>
    <s v="Office Supplies"/>
    <x v="0"/>
    <x v="8"/>
    <s v="Basic Storage 872"/>
    <x v="4"/>
    <s v=""/>
    <n v="9"/>
    <n v="1389.48"/>
    <n v="0.1"/>
    <n v="11254.79"/>
    <n v="6578.06"/>
    <n v="4676.7299999999996"/>
    <s v="Pending"/>
    <x v="2"/>
    <m/>
    <m/>
    <m/>
    <m/>
    <m/>
    <x v="1"/>
    <m/>
    <m/>
  </r>
  <r>
    <s v="ORD-2024-10060"/>
    <x v="57"/>
    <s v="25 Jul 2024"/>
    <n v="5"/>
    <n v="5"/>
    <s v="CUST-2418"/>
    <s v="Priya Menon"/>
    <s v="Priya Menon"/>
    <s v="Corporate"/>
    <x v="2"/>
    <x v="1"/>
    <s v="Assam"/>
    <s v="Guwahati"/>
    <s v="Office Supplies"/>
    <x v="0"/>
    <x v="7"/>
    <s v="Smart Labels 655"/>
    <x v="1"/>
    <s v="Same Day"/>
    <n v="5"/>
    <n v="4133.8500000000004"/>
    <n v="0.2"/>
    <n v="16535.400000000001"/>
    <n v="12990.21"/>
    <n v="3545.19"/>
    <s v="Paid"/>
    <x v="1"/>
    <m/>
    <m/>
    <m/>
    <m/>
    <m/>
    <x v="1"/>
    <m/>
    <m/>
  </r>
  <r>
    <s v="ORD-2024-10061"/>
    <x v="58"/>
    <s v="2024-07-19"/>
    <s v="Invalid"/>
    <s v=""/>
    <s v="CUST-2892"/>
    <s v="Ananya Rao"/>
    <s v="Ananya Rao"/>
    <s v="Corporate"/>
    <x v="2"/>
    <x v="1"/>
    <s v="Assam"/>
    <s v="Guwahati"/>
    <s v="Office Supplies"/>
    <x v="0"/>
    <x v="7"/>
    <s v="Eco Labels 210"/>
    <x v="1"/>
    <s v="Same Day"/>
    <n v="3"/>
    <n v="275.76"/>
    <n v="0.2"/>
    <n v="661.82"/>
    <n v="481.47"/>
    <n v="180.35"/>
    <s v="Refunded"/>
    <x v="1"/>
    <m/>
    <m/>
    <m/>
    <m/>
    <m/>
    <x v="1"/>
    <m/>
    <m/>
  </r>
  <r>
    <s v="ORD-2024-10062"/>
    <x v="59"/>
    <s v="04/16/2024"/>
    <s v="Invalid"/>
    <s v=""/>
    <s v="CUST-7008"/>
    <s v="Vikram Iyer"/>
    <s v="Vikram Iyer"/>
    <s v="Home Office"/>
    <x v="3"/>
    <x v="1"/>
    <s v="Bihar"/>
    <s v="Patna"/>
    <s v="Furniture"/>
    <x v="1"/>
    <x v="10"/>
    <s v="Classic Bookcases 296"/>
    <x v="3"/>
    <s v="Standard Class"/>
    <n v="1"/>
    <n v="949.59"/>
    <n v="0"/>
    <n v="949.59"/>
    <n v="751.25"/>
    <n v="198.34"/>
    <s v="Paid"/>
    <x v="0"/>
    <m/>
    <m/>
    <m/>
    <m/>
    <m/>
    <x v="1"/>
    <m/>
    <m/>
  </r>
  <r>
    <s v="ORD-2024-10063"/>
    <x v="60"/>
    <s v="02-11-2024"/>
    <n v="3"/>
    <n v="3"/>
    <s v="CUST-4900"/>
    <s v="Sneha Kapoor"/>
    <s v="Sneha Kapoor"/>
    <s v="Home Office"/>
    <x v="3"/>
    <x v="0"/>
    <s v="Rajasthan"/>
    <s v="Jaipur"/>
    <s v="Technology"/>
    <x v="2"/>
    <x v="11"/>
    <s v="Basic Phones 230"/>
    <x v="3"/>
    <s v="Standard Class"/>
    <n v="9"/>
    <n v="3042.29"/>
    <n v="0.2"/>
    <n v="21904.49"/>
    <n v="13570.55"/>
    <n v="8333.94"/>
    <s v="Paid"/>
    <x v="0"/>
    <m/>
    <m/>
    <m/>
    <m/>
    <m/>
    <x v="1"/>
    <m/>
    <m/>
  </r>
  <r>
    <s v="ORD-2024-10064"/>
    <x v="61"/>
    <s v="01-02-2024"/>
    <n v="7"/>
    <n v="7"/>
    <s v="CUST-5382"/>
    <s v="Sneha Kapoor"/>
    <s v="Sneha Kapoor"/>
    <s v="Home Office"/>
    <x v="3"/>
    <x v="0"/>
    <s v="Haryana"/>
    <s v="Gurugram"/>
    <s v="Office Supplies"/>
    <x v="0"/>
    <x v="9"/>
    <s v="Pro Binders 690"/>
    <x v="1"/>
    <s v="Same Day"/>
    <n v="2"/>
    <n v="2832.77"/>
    <n v="0.15"/>
    <n v="4815.71"/>
    <n v="3027.75"/>
    <n v="1917.47"/>
    <s v="Paid"/>
    <x v="0"/>
    <m/>
    <m/>
    <m/>
    <m/>
    <m/>
    <x v="1"/>
    <m/>
    <m/>
  </r>
  <r>
    <s v="ORD-2024-10065"/>
    <x v="62"/>
    <s v="12/29/2024"/>
    <s v="Invalid"/>
    <s v=""/>
    <s v="CUST-2749"/>
    <s v="Aarav Sharma"/>
    <s v="Aarav Sharma"/>
    <s v="Corporate"/>
    <x v="2"/>
    <x v="1"/>
    <s v="Jharkhand"/>
    <s v="Ranchi"/>
    <s v="Office Supplies"/>
    <x v="0"/>
    <x v="0"/>
    <s v="Classic Paper 458"/>
    <x v="2"/>
    <s v="First Class"/>
    <n v="7"/>
    <n v="447.84"/>
    <n v="0"/>
    <n v="3134.88"/>
    <n v="2367.63"/>
    <n v="767.25"/>
    <s v="Refunded"/>
    <x v="2"/>
    <m/>
    <m/>
    <m/>
    <m/>
    <m/>
    <x v="1"/>
    <m/>
    <m/>
  </r>
  <r>
    <s v="ORD-2024-10066"/>
    <x v="63"/>
    <s v="2024-04-27"/>
    <n v="5"/>
    <n v="5"/>
    <s v="CUST-2463"/>
    <s v="Mira Das"/>
    <s v="Mira Das"/>
    <s v="Home Office"/>
    <x v="3"/>
    <x v="3"/>
    <s v="Maharashtra"/>
    <s v="Mumbai"/>
    <s v="Office Supplies"/>
    <x v="0"/>
    <x v="0"/>
    <s v="Pro Paper 552"/>
    <x v="0"/>
    <s v="Second Class"/>
    <n v="1"/>
    <n v="4280.1899999999996"/>
    <n v="0.05"/>
    <n v="4066.18"/>
    <n v="2628.92"/>
    <n v="1437.26"/>
    <s v="Paid"/>
    <x v="0"/>
    <m/>
    <m/>
    <m/>
    <m/>
    <m/>
    <x v="1"/>
    <m/>
    <m/>
  </r>
  <r>
    <s v="ORD-2025-10067"/>
    <x v="64"/>
    <s v="01 Sep 2025"/>
    <s v="Invalid"/>
    <s v=""/>
    <s v="CUST-1504"/>
    <s v="Karan Malhotra"/>
    <s v="Karan Malhotra"/>
    <s v="Small Business"/>
    <x v="1"/>
    <x v="2"/>
    <s v="Tamil Nadu"/>
    <s v="Chennai"/>
    <s v="Technology"/>
    <x v="2"/>
    <x v="5"/>
    <s v="Elite Accessories 187"/>
    <x v="1"/>
    <s v="Same Day"/>
    <n v="7"/>
    <n v="1057.46"/>
    <n v="0.05"/>
    <n v="7032.11"/>
    <n v="4610.34"/>
    <n v="2421.77"/>
    <s v="Paid"/>
    <x v="0"/>
    <m/>
    <m/>
    <m/>
    <m/>
    <m/>
    <x v="1"/>
    <m/>
    <m/>
  </r>
  <r>
    <s v="ORD-2025-10068"/>
    <x v="65"/>
    <s v="07-02-2025"/>
    <n v="4"/>
    <n v="4"/>
    <s v="CUST-8282"/>
    <s v="Kabir Singh"/>
    <s v="Kabir Singh"/>
    <s v="Consumer"/>
    <x v="0"/>
    <x v="0"/>
    <s v="Haryana"/>
    <s v="Gurugram"/>
    <s v="Office Supplies"/>
    <x v="0"/>
    <x v="0"/>
    <s v="Eco Paper 922"/>
    <x v="2"/>
    <s v="First Class"/>
    <n v="7"/>
    <n v="3609.34"/>
    <n v="0.05"/>
    <n v="24002.11"/>
    <n v="18707.57"/>
    <n v="5294.54"/>
    <s v="Paid"/>
    <x v="0"/>
    <m/>
    <m/>
    <m/>
    <m/>
    <m/>
    <x v="1"/>
    <m/>
    <m/>
  </r>
  <r>
    <s v="ORD-2024-10069"/>
    <x v="66"/>
    <s v="13 Nov 2024"/>
    <n v="33"/>
    <n v="33"/>
    <s v="CUST-6054"/>
    <s v="Isha Nair"/>
    <s v="Isha Nair"/>
    <s v="Corporate"/>
    <x v="2"/>
    <x v="1"/>
    <s v="Jharkhand"/>
    <s v="Ranchi"/>
    <s v="Office Supplies"/>
    <x v="0"/>
    <x v="8"/>
    <s v="Pro Storage 975"/>
    <x v="0"/>
    <s v="Second Class"/>
    <n v="9"/>
    <n v="2211.12"/>
    <n v="0"/>
    <n v="19900.080000000002"/>
    <n v="10962.66"/>
    <n v="8937.42"/>
    <s v="Failed"/>
    <x v="2"/>
    <m/>
    <m/>
    <m/>
    <m/>
    <m/>
    <x v="1"/>
    <m/>
    <m/>
  </r>
  <r>
    <s v="ORD-2024-10070"/>
    <x v="67"/>
    <s v="04/14/2024"/>
    <s v="Invalid"/>
    <s v=""/>
    <s v="CUST-5979"/>
    <s v="Neha Gupta"/>
    <s v="Neha Gupta"/>
    <s v="Small Business"/>
    <x v="1"/>
    <x v="3"/>
    <s v="Gujarat"/>
    <s v="Ahmedabad"/>
    <s v="Technology"/>
    <x v="2"/>
    <x v="12"/>
    <s v="Prime Machines 782"/>
    <x v="1"/>
    <s v="Same Day"/>
    <n v="7"/>
    <n v="3417.09"/>
    <n v="0.1"/>
    <n v="21527.67"/>
    <n v="18287.580000000002"/>
    <n v="3240.09"/>
    <s v="Refunded"/>
    <x v="2"/>
    <m/>
    <m/>
    <m/>
    <m/>
    <m/>
    <x v="1"/>
    <m/>
    <m/>
  </r>
  <r>
    <s v="ORD-2025-10071"/>
    <x v="68"/>
    <s v="27 Aug 2025"/>
    <n v="5"/>
    <n v="5"/>
    <s v="CUST-5582"/>
    <s v="Karan Malhotra"/>
    <s v="Karan Malhotra"/>
    <s v="Corporate"/>
    <x v="2"/>
    <x v="2"/>
    <s v="Andhra Pradesh"/>
    <s v="Vijayawada"/>
    <s v="Technology"/>
    <x v="2"/>
    <x v="11"/>
    <s v="Max Phones 661"/>
    <x v="2"/>
    <s v="First Class"/>
    <n v="2"/>
    <n v="905.87"/>
    <n v="0.15"/>
    <n v="1539.98"/>
    <n v="1070.2"/>
    <n v="469.78"/>
    <s v="Paid"/>
    <x v="0"/>
    <m/>
    <m/>
    <m/>
    <m/>
    <m/>
    <x v="1"/>
    <m/>
    <m/>
  </r>
  <r>
    <s v="ORD-2025-10072"/>
    <x v="69"/>
    <s v="2025-04-23"/>
    <s v="Invalid"/>
    <s v=""/>
    <s v="CUST-3308"/>
    <s v="Mira Das"/>
    <s v="Mira Das"/>
    <s v="Small Business"/>
    <x v="1"/>
    <x v="3"/>
    <s v="Goa"/>
    <s v="Panaji"/>
    <s v="Technology"/>
    <x v="2"/>
    <x v="12"/>
    <s v="Elite Machines 836"/>
    <x v="3"/>
    <s v="Standard Class"/>
    <n v="6"/>
    <n v="2027.32"/>
    <n v="0.1"/>
    <n v="10947.53"/>
    <n v="6447.36"/>
    <n v="4500.17"/>
    <s v="Paid"/>
    <x v="0"/>
    <m/>
    <m/>
    <m/>
    <m/>
    <m/>
    <x v="1"/>
    <m/>
    <m/>
  </r>
  <r>
    <s v="ORD-2024-10073"/>
    <x v="70"/>
    <s v="07 Feb 2024"/>
    <n v="-4"/>
    <s v=""/>
    <s v="CUST-5018"/>
    <s v="Karan Malhotra"/>
    <s v="Karan Malhotra"/>
    <s v="Home Office"/>
    <x v="3"/>
    <x v="2"/>
    <s v="Tamil Nadu"/>
    <s v="Chennai"/>
    <s v="Furniture"/>
    <x v="1"/>
    <x v="1"/>
    <s v="Prime Tables 902"/>
    <x v="2"/>
    <s v="First Class"/>
    <n v="7"/>
    <n v="2287.4699999999998"/>
    <n v="0.15"/>
    <n v="13610.45"/>
    <n v="10039.049999999999"/>
    <n v="3571.4"/>
    <s v="Paid"/>
    <x v="0"/>
    <m/>
    <m/>
    <m/>
    <m/>
    <m/>
    <x v="1"/>
    <m/>
    <m/>
  </r>
  <r>
    <s v="ORD-2025-10074"/>
    <x v="71"/>
    <s v="04/03/2025"/>
    <n v="-25"/>
    <s v=""/>
    <s v="CUST-2342"/>
    <s v="Sneha Kapoor"/>
    <s v="Sneha Kapoor"/>
    <s v="Corporate"/>
    <x v="2"/>
    <x v="1"/>
    <s v="West Bengal"/>
    <s v="Kolkata"/>
    <s v="Furniture"/>
    <x v="1"/>
    <x v="10"/>
    <s v="Smart Bookcases 167"/>
    <x v="2"/>
    <s v="First Class"/>
    <n v="5"/>
    <n v="1425.74"/>
    <n v="0"/>
    <n v="7128.7"/>
    <n v="4382.1499999999996"/>
    <n v="2746.55"/>
    <s v="Paid"/>
    <x v="0"/>
    <m/>
    <m/>
    <m/>
    <m/>
    <m/>
    <x v="1"/>
    <m/>
    <m/>
  </r>
  <r>
    <s v="ORD-2025-10075"/>
    <x v="72"/>
    <s v="2025-03-01"/>
    <s v="Invalid"/>
    <s v=""/>
    <s v="CUST-6201"/>
    <s v="Vikram Iyer"/>
    <s v="Vikram Iyer"/>
    <s v="Small Business"/>
    <x v="1"/>
    <x v="1"/>
    <s v="West Bengal"/>
    <s v="Kolkata"/>
    <s v="Furniture"/>
    <x v="1"/>
    <x v="4"/>
    <s v="Max Chairs 244"/>
    <x v="3"/>
    <s v="Standard Class"/>
    <n v="6"/>
    <n v="551.64"/>
    <n v="0"/>
    <n v="3309.84"/>
    <n v="2671.08"/>
    <n v="638.76"/>
    <s v="Paid"/>
    <x v="0"/>
    <m/>
    <m/>
    <m/>
    <m/>
    <m/>
    <x v="1"/>
    <m/>
    <m/>
  </r>
  <r>
    <s v="ORD-2025-10076"/>
    <x v="73"/>
    <s v="08/27/2025"/>
    <s v="Invalid"/>
    <s v=""/>
    <s v="CUST-5808"/>
    <s v="Priya Menon"/>
    <s v="Priya Menon"/>
    <s v="Small Business"/>
    <x v="1"/>
    <x v="1"/>
    <s v="Odisha"/>
    <s v="Bhubaneswar"/>
    <s v="Office Supplies"/>
    <x v="0"/>
    <x v="7"/>
    <s v="Eco Labels 653"/>
    <x v="2"/>
    <s v="First Class"/>
    <n v="3"/>
    <n v="3294.82"/>
    <n v="0.2"/>
    <n v="7907.57"/>
    <n v="5391.18"/>
    <n v="2516.39"/>
    <s v="Paid"/>
    <x v="0"/>
    <m/>
    <m/>
    <m/>
    <m/>
    <m/>
    <x v="1"/>
    <m/>
    <m/>
  </r>
  <r>
    <s v="ORD-2024-10077"/>
    <x v="74"/>
    <s v="11-11-2024"/>
    <n v="8"/>
    <n v="8"/>
    <s v="CUST-2642"/>
    <s v="Ananya Rao"/>
    <s v="Ananya Rao"/>
    <s v="Corporate"/>
    <x v="2"/>
    <x v="1"/>
    <s v="Jharkhand"/>
    <s v="Ranchi"/>
    <s v="Office Supplies"/>
    <x v="0"/>
    <x v="7"/>
    <s v="Max Labels 617"/>
    <x v="0"/>
    <s v="Second Class"/>
    <n v="3"/>
    <n v="3406.27"/>
    <n v="0"/>
    <n v="10218.81"/>
    <n v="7616.97"/>
    <n v="2601.84"/>
    <s v="Paid"/>
    <x v="0"/>
    <m/>
    <m/>
    <m/>
    <m/>
    <m/>
    <x v="1"/>
    <m/>
    <m/>
  </r>
  <r>
    <s v="ORD-2025-10078"/>
    <x v="75"/>
    <s v="12-07-2025"/>
    <n v="-26"/>
    <s v=""/>
    <s v="CUST-4385"/>
    <s v="Rohan Mehta"/>
    <s v="Rohan Mehta"/>
    <s v="Home Office"/>
    <x v="3"/>
    <x v="0"/>
    <s v="Uttar Pradesh"/>
    <s v="Noida"/>
    <s v="Furniture"/>
    <x v="1"/>
    <x v="3"/>
    <s v="Pro Furnishings 529"/>
    <x v="3"/>
    <s v="Standard Class"/>
    <n v="1"/>
    <n v="2582.1999999999998"/>
    <n v="0.15"/>
    <n v="2194.87"/>
    <n v="1223.17"/>
    <n v="971.7"/>
    <s v="Refunded"/>
    <x v="1"/>
    <m/>
    <m/>
    <m/>
    <m/>
    <m/>
    <x v="1"/>
    <m/>
    <m/>
  </r>
  <r>
    <s v="ORD-2025-10079"/>
    <x v="76"/>
    <s v="21-07-2025"/>
    <s v="Invalid"/>
    <s v=""/>
    <s v="CUST-8043"/>
    <s v="Sneha Kapoor"/>
    <s v="Sneha Kapoor"/>
    <s v="Corporate"/>
    <x v="2"/>
    <x v="1"/>
    <s v="West Bengal"/>
    <s v="Kolkata"/>
    <s v="Furniture"/>
    <x v="1"/>
    <x v="1"/>
    <s v="Smart Tables 561"/>
    <x v="2"/>
    <s v="First Class"/>
    <n v="5"/>
    <n v="2129.5100000000002"/>
    <n v="0.15"/>
    <n v="9050.42"/>
    <n v="6778.85"/>
    <n v="2271.5700000000002"/>
    <s v="Paid"/>
    <x v="0"/>
    <m/>
    <m/>
    <m/>
    <m/>
    <m/>
    <x v="1"/>
    <m/>
    <m/>
  </r>
  <r>
    <s v="ORD-2025-10080"/>
    <x v="77"/>
    <s v="2025-10-03"/>
    <n v="6"/>
    <n v="6"/>
    <s v="CUST-9978"/>
    <s v="Diya Patel"/>
    <s v="Diya Patel"/>
    <s v="Home Office"/>
    <x v="3"/>
    <x v="2"/>
    <s v="Tamil Nadu"/>
    <s v="Chennai"/>
    <s v="Furniture"/>
    <x v="1"/>
    <x v="4"/>
    <s v="Prime Chairs 838"/>
    <x v="1"/>
    <s v="Same Day"/>
    <n v="9"/>
    <n v="4131.5200000000004"/>
    <n v="0.1"/>
    <n v="33465.31"/>
    <n v="24781.26"/>
    <n v="8684.0499999999993"/>
    <s v="Paid"/>
    <x v="0"/>
    <m/>
    <m/>
    <m/>
    <m/>
    <m/>
    <x v="1"/>
    <m/>
    <m/>
  </r>
  <r>
    <s v="ORD-2024-10081"/>
    <x v="78"/>
    <s v="2024-08-14"/>
    <n v="4"/>
    <n v="4"/>
    <s v="CUST-2094"/>
    <s v="Aarav Sharma"/>
    <s v="Aarav Sharma"/>
    <s v="Small Business"/>
    <x v="1"/>
    <x v="0"/>
    <s v="Delhi"/>
    <s v="New Delhi"/>
    <s v="Office Supplies"/>
    <x v="0"/>
    <x v="8"/>
    <s v="Elite Storage 371"/>
    <x v="0"/>
    <s v="Second Class"/>
    <n v="4"/>
    <n v="1182.32"/>
    <n v="0.1"/>
    <n v="4256.3500000000004"/>
    <n v="2495.33"/>
    <n v="1761.02"/>
    <s v="Pending"/>
    <x v="2"/>
    <m/>
    <m/>
    <m/>
    <m/>
    <m/>
    <x v="1"/>
    <m/>
    <m/>
  </r>
  <r>
    <s v="ORD-2025-10082"/>
    <x v="79"/>
    <s v="17-03-2025"/>
    <n v="1"/>
    <n v="1"/>
    <s v="CUST-7907"/>
    <s v="Karan Malhotra"/>
    <s v="Karan Malhotra"/>
    <s v="Home Office"/>
    <x v="3"/>
    <x v="3"/>
    <s v="Goa"/>
    <s v="Panaji"/>
    <s v="Office Supplies"/>
    <x v="0"/>
    <x v="7"/>
    <s v="Eco Labels 662"/>
    <x v="1"/>
    <s v="Same Day"/>
    <n v="3"/>
    <n v="1841.91"/>
    <n v="0"/>
    <n v="5525.73"/>
    <n v="3093.42"/>
    <n v="2432.31"/>
    <s v="Paid"/>
    <x v="0"/>
    <m/>
    <m/>
    <m/>
    <m/>
    <m/>
    <x v="1"/>
    <m/>
    <m/>
  </r>
  <r>
    <s v="ORD-2024-10083"/>
    <x v="80"/>
    <s v="04-08-2024"/>
    <n v="1"/>
    <n v="1"/>
    <s v="CUST-6516"/>
    <s v="Arjun Bose"/>
    <s v="Arjun Bose"/>
    <s v="Consumer"/>
    <x v="0"/>
    <x v="0"/>
    <s v="Uttar Pradesh"/>
    <s v="Noida"/>
    <s v="Technology"/>
    <x v="2"/>
    <x v="6"/>
    <s v="Smart Copiers 702"/>
    <x v="0"/>
    <s v="Second Class"/>
    <n v="6"/>
    <n v="1001.73"/>
    <n v="0"/>
    <n v="6010.38"/>
    <n v="3762.85"/>
    <n v="2247.5300000000002"/>
    <s v="Failed"/>
    <x v="2"/>
    <m/>
    <m/>
    <m/>
    <m/>
    <m/>
    <x v="1"/>
    <m/>
    <m/>
  </r>
  <r>
    <s v="ORD-2024-10084"/>
    <x v="50"/>
    <s v="29-10-2024"/>
    <n v="3"/>
    <n v="3"/>
    <s v="CUST-4989"/>
    <s v="Aditi Sen"/>
    <s v="Aditi Sen"/>
    <s v="Home Office"/>
    <x v="3"/>
    <x v="3"/>
    <s v="Maharashtra"/>
    <s v="Mumbai"/>
    <s v="Furniture"/>
    <x v="1"/>
    <x v="1"/>
    <s v="Elite Tables 362"/>
    <x v="0"/>
    <s v="Second Class"/>
    <n v="9"/>
    <n v="131.74"/>
    <n v="0.2"/>
    <n v="948.53"/>
    <n v="674.62"/>
    <n v="273.91000000000003"/>
    <s v="Paid"/>
    <x v="0"/>
    <m/>
    <m/>
    <m/>
    <m/>
    <m/>
    <x v="1"/>
    <m/>
    <m/>
  </r>
  <r>
    <s v="ORD-2024-10085"/>
    <x v="81"/>
    <s v="2024-10-03"/>
    <n v="2"/>
    <n v="2"/>
    <s v="CUST-3758"/>
    <s v="Rohan Mehta"/>
    <s v="Rohan Mehta"/>
    <s v="Corporate"/>
    <x v="2"/>
    <x v="2"/>
    <s v="Tamil Nadu"/>
    <s v="Chennai"/>
    <s v="Technology"/>
    <x v="2"/>
    <x v="11"/>
    <s v="Elite Phones 781"/>
    <x v="0"/>
    <s v="Second Class"/>
    <n v="6"/>
    <n v="570.28"/>
    <n v="0.2"/>
    <n v="2737.34"/>
    <n v="2085.44"/>
    <n v="651.9"/>
    <s v="Paid"/>
    <x v="0"/>
    <m/>
    <m/>
    <m/>
    <m/>
    <m/>
    <x v="1"/>
    <m/>
    <m/>
  </r>
  <r>
    <s v="ORD-2024-10086"/>
    <x v="82"/>
    <s v="08/05/2024"/>
    <n v="-83"/>
    <s v=""/>
    <s v="CUST-6702"/>
    <s v="Kabir Singh"/>
    <s v="Kabir Singh"/>
    <s v="Corporate"/>
    <x v="2"/>
    <x v="0"/>
    <s v="Delhi"/>
    <s v="New Delhi"/>
    <s v="Office Supplies"/>
    <x v="0"/>
    <x v="9"/>
    <s v="Eco Binders 456"/>
    <x v="3"/>
    <s v="Standard Class"/>
    <n v="1"/>
    <n v="608.64"/>
    <n v="0"/>
    <n v="608.64"/>
    <n v="343.99"/>
    <n v="264.64999999999998"/>
    <s v="Paid"/>
    <x v="1"/>
    <m/>
    <m/>
    <m/>
    <m/>
    <m/>
    <x v="1"/>
    <m/>
    <m/>
  </r>
  <r>
    <s v="ORD-2024-10087"/>
    <x v="83"/>
    <s v="01 Jul 2024"/>
    <n v="0"/>
    <n v="0"/>
    <s v="CUST-9148"/>
    <s v="Ananya Rao"/>
    <s v="Ananya Rao"/>
    <s v="Small Business"/>
    <x v="1"/>
    <x v="0"/>
    <s v="Delhi"/>
    <s v="New Delhi"/>
    <s v="Technology"/>
    <x v="2"/>
    <x v="6"/>
    <s v="Basic Copiers 525"/>
    <x v="0"/>
    <s v="Second Class"/>
    <n v="3"/>
    <n v="885.28"/>
    <n v="0.1"/>
    <n v="2390.2600000000002"/>
    <n v="1495.94"/>
    <n v="894.32"/>
    <s v="Refunded"/>
    <x v="1"/>
    <m/>
    <m/>
    <m/>
    <m/>
    <m/>
    <x v="1"/>
    <m/>
    <m/>
  </r>
  <r>
    <s v="ORD-2024-10088"/>
    <x v="84"/>
    <s v="2024-08-03"/>
    <n v="1"/>
    <n v="1"/>
    <s v="CUST-5829"/>
    <s v="Vikram Iyer"/>
    <s v="Vikram Iyer"/>
    <s v="Consumer"/>
    <x v="0"/>
    <x v="1"/>
    <s v="Assam"/>
    <s v="Guwahati"/>
    <s v="Office Supplies"/>
    <x v="0"/>
    <x v="9"/>
    <s v="Eco Binders 258"/>
    <x v="3"/>
    <s v="Standard Class"/>
    <n v="7"/>
    <n v="3345.22"/>
    <n v="0"/>
    <n v="23416.54"/>
    <n v="15490.89"/>
    <n v="7925.65"/>
    <s v="Paid"/>
    <x v="0"/>
    <m/>
    <m/>
    <m/>
    <m/>
    <m/>
    <x v="1"/>
    <m/>
    <m/>
  </r>
  <r>
    <s v="ORD-2024-10089"/>
    <x v="85"/>
    <s v="27 Mar 2024"/>
    <s v="Invalid"/>
    <s v=""/>
    <s v="CUST-6059"/>
    <s v="Rohan Mehta"/>
    <s v="Rohan Mehta"/>
    <s v="Small Business"/>
    <x v="1"/>
    <x v="3"/>
    <s v="Maharashtra"/>
    <s v="Mumbai"/>
    <s v="Furniture"/>
    <x v="1"/>
    <x v="10"/>
    <s v="Max Bookcases 398"/>
    <x v="3"/>
    <s v="Standard Class"/>
    <n v="2"/>
    <n v="3284.75"/>
    <n v="0.05"/>
    <n v="6241.02"/>
    <n v="5345.88"/>
    <n v="895.14"/>
    <s v="Paid"/>
    <x v="0"/>
    <m/>
    <m/>
    <m/>
    <m/>
    <m/>
    <x v="1"/>
    <m/>
    <m/>
  </r>
  <r>
    <s v="ORD-2024-10090"/>
    <x v="86"/>
    <s v="05 Sep 2024"/>
    <n v="0"/>
    <n v="0"/>
    <s v="CUST-7744"/>
    <s v="Kabir Singh"/>
    <s v="Kabir Singh"/>
    <s v="Consumer"/>
    <x v="0"/>
    <x v="2"/>
    <s v="Andhra Pradesh"/>
    <s v="Vijayawada"/>
    <s v="Furniture"/>
    <x v="1"/>
    <x v="10"/>
    <s v="Smart Bookcases 857"/>
    <x v="3"/>
    <s v="Standard Class"/>
    <n v="7"/>
    <n v="3761.09"/>
    <n v="0.2"/>
    <n v="21062.1"/>
    <n v="12057.13"/>
    <n v="9004.9699999999993"/>
    <s v="Pending"/>
    <x v="1"/>
    <m/>
    <m/>
    <m/>
    <m/>
    <m/>
    <x v="1"/>
    <m/>
    <m/>
  </r>
  <r>
    <s v="ORD-2025-10091"/>
    <x v="87"/>
    <s v="29 Aug 2025"/>
    <s v="Invalid"/>
    <s v=""/>
    <s v="CUST-5909"/>
    <s v="Aarav Sharma"/>
    <s v="Aarav Sharma"/>
    <s v="Small Business"/>
    <x v="1"/>
    <x v="1"/>
    <s v="Bihar"/>
    <s v="Patna"/>
    <s v="Technology"/>
    <x v="2"/>
    <x v="6"/>
    <s v="Smart Copiers 556"/>
    <x v="2"/>
    <s v="First Class"/>
    <n v="3"/>
    <n v="3703.96"/>
    <n v="0.15"/>
    <n v="9445.1"/>
    <n v="5586.28"/>
    <n v="3858.82"/>
    <s v="Paid"/>
    <x v="0"/>
    <m/>
    <m/>
    <m/>
    <m/>
    <m/>
    <x v="1"/>
    <m/>
    <m/>
  </r>
  <r>
    <s v="ORD-2025-10092"/>
    <x v="88"/>
    <s v="03/08/2025"/>
    <n v="154"/>
    <n v="154"/>
    <s v="CUST-6409"/>
    <s v="Sneha Kapoor"/>
    <s v="Sneha Kapoor"/>
    <s v="Corporate"/>
    <x v="2"/>
    <x v="3"/>
    <s v="Madhya Pradesh"/>
    <s v="Indore"/>
    <s v="Technology"/>
    <x v="2"/>
    <x v="6"/>
    <s v="Prime Copiers 575"/>
    <x v="0"/>
    <s v="Second Class"/>
    <n v="9"/>
    <n v="269.68"/>
    <n v="0"/>
    <n v="2427.12"/>
    <n v="1538.35"/>
    <n v="804.53"/>
    <s v="Paid"/>
    <x v="0"/>
    <m/>
    <m/>
    <m/>
    <m/>
    <m/>
    <x v="1"/>
    <m/>
    <m/>
  </r>
  <r>
    <s v="ORD-2025-10093"/>
    <x v="89"/>
    <s v="01/26/2025"/>
    <s v="Invalid"/>
    <s v=""/>
    <s v="CUST-3014"/>
    <s v="Aarav Sharma"/>
    <s v="Aarav Sharma"/>
    <s v="Consumer"/>
    <x v="0"/>
    <x v="3"/>
    <s v="Madhya Pradesh"/>
    <s v="Indore"/>
    <s v="Office Supplies"/>
    <x v="0"/>
    <x v="0"/>
    <s v="Elite Paper 669"/>
    <x v="3"/>
    <s v="Standard Class"/>
    <n v="9"/>
    <n v="4458.26"/>
    <n v="0.1"/>
    <n v="36111.910000000003"/>
    <n v="29194.5"/>
    <n v="6917.41"/>
    <s v="Paid"/>
    <x v="0"/>
    <m/>
    <m/>
    <m/>
    <m/>
    <m/>
    <x v="1"/>
    <m/>
    <m/>
  </r>
  <r>
    <s v="ORD-2024-10094"/>
    <x v="17"/>
    <s v="13-01-2024"/>
    <n v="-170"/>
    <s v=""/>
    <s v="CUST-6106"/>
    <s v="Rohan Mehta"/>
    <s v="Rohan Mehta"/>
    <s v="Corporate"/>
    <x v="2"/>
    <x v="0"/>
    <s v="Uttar Pradesh"/>
    <s v="Noida"/>
    <s v="Office Supplies"/>
    <x v="0"/>
    <x v="9"/>
    <s v="Eco Binders 780"/>
    <x v="3"/>
    <s v="Standard Class"/>
    <n v="7"/>
    <n v="2788.97"/>
    <n v="-0.09"/>
    <n v="19522.79"/>
    <n v="12455.78"/>
    <n v="7067.01"/>
    <s v="Paid"/>
    <x v="0"/>
    <m/>
    <m/>
    <m/>
    <m/>
    <m/>
    <x v="1"/>
    <m/>
    <m/>
  </r>
  <r>
    <s v="ORD-2024-10095"/>
    <x v="90"/>
    <s v="09 Sep 2024"/>
    <n v="92"/>
    <n v="92"/>
    <s v="CUST-1926"/>
    <s v="Diya Patel"/>
    <s v="Diya Patel"/>
    <s v="Consumer"/>
    <x v="0"/>
    <x v="0"/>
    <s v="Haryana"/>
    <s v="Gurugram"/>
    <s v="Technology"/>
    <x v="2"/>
    <x v="11"/>
    <s v="Elite Phones 723"/>
    <x v="0"/>
    <s v="Second Class"/>
    <n v="7"/>
    <n v="3781.53"/>
    <n v="0"/>
    <n v="26470.71"/>
    <n v="21367.599999999999"/>
    <n v="5103.1099999999997"/>
    <s v="Pending"/>
    <x v="1"/>
    <m/>
    <m/>
    <m/>
    <m/>
    <m/>
    <x v="1"/>
    <m/>
    <m/>
  </r>
  <r>
    <s v="ORD-2025-10096"/>
    <x v="91"/>
    <s v="09/10/2025"/>
    <n v="34"/>
    <n v="34"/>
    <s v="CUST-2687"/>
    <s v="Sneha Kapoor"/>
    <s v="Sneha Kapoor"/>
    <s v="Corporate"/>
    <x v="2"/>
    <x v="3"/>
    <s v="Goa"/>
    <s v="Panaji"/>
    <s v="Furniture"/>
    <x v="1"/>
    <x v="10"/>
    <s v="Classic Bookcases 988"/>
    <x v="1"/>
    <s v="Same Day"/>
    <n v="6"/>
    <n v="1754.13"/>
    <n v="0"/>
    <n v="10524.78"/>
    <n v="8841.0499999999993"/>
    <n v="1683.73"/>
    <s v="Paid"/>
    <x v="0"/>
    <m/>
    <m/>
    <m/>
    <m/>
    <m/>
    <x v="1"/>
    <m/>
    <m/>
  </r>
  <r>
    <s v="ORD-2024-10097"/>
    <x v="92"/>
    <s v="07-06-2024"/>
    <n v="2"/>
    <n v="2"/>
    <s v="CUST-7283"/>
    <s v="Rahul Verma"/>
    <s v="Rahul Verma"/>
    <s v="Home Office"/>
    <x v="3"/>
    <x v="1"/>
    <s v="Odisha"/>
    <s v="Bhubaneswar"/>
    <s v="Technology"/>
    <x v="2"/>
    <x v="6"/>
    <s v="Smart Copiers 547"/>
    <x v="0"/>
    <s v="Second Class"/>
    <n v="2"/>
    <n v="2259.2399999999998"/>
    <n v="0.15"/>
    <n v="3840.71"/>
    <n v="2516.29"/>
    <n v="1324.42"/>
    <s v="Paid"/>
    <x v="0"/>
    <m/>
    <m/>
    <m/>
    <m/>
    <m/>
    <x v="1"/>
    <m/>
    <m/>
  </r>
  <r>
    <s v="ORD-2025-10098"/>
    <x v="93"/>
    <s v="2025-08-11"/>
    <n v="3"/>
    <n v="3"/>
    <s v="CUST-8111"/>
    <s v="Diya Patel"/>
    <s v="Diya Patel"/>
    <s v="Small Business"/>
    <x v="1"/>
    <x v="3"/>
    <s v="Gujarat"/>
    <s v="Ahmedabad"/>
    <s v="Office Supplies"/>
    <x v="0"/>
    <x v="8"/>
    <s v="Basic Storage 656"/>
    <x v="1"/>
    <s v="Same Day"/>
    <n v="5"/>
    <n v="3602.36"/>
    <n v="0.2"/>
    <n v="14409.44"/>
    <n v="8809.9699999999993"/>
    <n v="5599.47"/>
    <s v="Pending"/>
    <x v="2"/>
    <m/>
    <m/>
    <m/>
    <m/>
    <m/>
    <x v="1"/>
    <m/>
    <m/>
  </r>
  <r>
    <s v="ORD-2024-10099"/>
    <x v="94"/>
    <s v="02/01/2024"/>
    <n v="-24"/>
    <s v=""/>
    <s v="CUST-5434"/>
    <s v="Rohan Mehta"/>
    <s v="Rohan Mehta"/>
    <s v="Home Office"/>
    <x v="3"/>
    <x v="2"/>
    <s v="Kerala"/>
    <s v="Kochi"/>
    <s v="Technology"/>
    <x v="2"/>
    <x v="6"/>
    <s v="Elite Copiers 785"/>
    <x v="4"/>
    <s v=""/>
    <n v="8"/>
    <n v="2108.9299999999998"/>
    <n v="0.1"/>
    <n v="15184.3"/>
    <n v="11270.74"/>
    <n v="3913.56"/>
    <s v="Paid"/>
    <x v="0"/>
    <m/>
    <m/>
    <m/>
    <m/>
    <m/>
    <x v="1"/>
    <m/>
    <m/>
  </r>
  <r>
    <s v="ORD-2025-10100"/>
    <x v="95"/>
    <s v="11-01-2025"/>
    <n v="0"/>
    <n v="0"/>
    <s v="CUST-3865"/>
    <s v="Aditi Sen"/>
    <s v="Aditi Sen"/>
    <s v="Small Business"/>
    <x v="1"/>
    <x v="3"/>
    <s v="Rajasthan"/>
    <s v="Udaipur"/>
    <s v="Technology"/>
    <x v="2"/>
    <x v="5"/>
    <s v="Smart Accessories 542"/>
    <x v="1"/>
    <s v="Same Day"/>
    <n v="3"/>
    <n v="2165.29"/>
    <n v="0"/>
    <n v="6495.87"/>
    <n v="4700.8900000000003"/>
    <n v="1794.98"/>
    <s v="Paid"/>
    <x v="0"/>
    <m/>
    <m/>
    <m/>
    <m/>
    <m/>
    <x v="1"/>
    <m/>
    <m/>
  </r>
  <r>
    <s v="ORD-2025-10101"/>
    <x v="96"/>
    <s v="18 Sep 2025"/>
    <n v="6"/>
    <n v="6"/>
    <s v="CUST-6015"/>
    <s v="Aarav Sharma"/>
    <s v="Aarav Sharma"/>
    <s v="Home Office"/>
    <x v="3"/>
    <x v="2"/>
    <s v="Kerala"/>
    <s v="Kochi"/>
    <s v="Office Supplies"/>
    <x v="0"/>
    <x v="8"/>
    <s v="Eco Storage 936"/>
    <x v="3"/>
    <s v="Standard Class"/>
    <n v="6"/>
    <n v="1673.8"/>
    <n v="0.05"/>
    <n v="9540.66"/>
    <n v="5561.49"/>
    <n v="3979.17"/>
    <s v="Paid"/>
    <x v="0"/>
    <m/>
    <m/>
    <m/>
    <m/>
    <m/>
    <x v="1"/>
    <m/>
    <m/>
  </r>
  <r>
    <s v="ORD-2024-10102"/>
    <x v="42"/>
    <s v="26-06-2024"/>
    <s v="Invalid"/>
    <s v=""/>
    <s v="CUST-7909"/>
    <s v="Rohan Mehta"/>
    <s v="Rohan Mehta"/>
    <s v="Home Office"/>
    <x v="3"/>
    <x v="1"/>
    <s v="Bihar"/>
    <s v="Patna"/>
    <s v="Furniture"/>
    <x v="1"/>
    <x v="3"/>
    <s v="Classic Furnishings 682"/>
    <x v="2"/>
    <s v="First Class"/>
    <n v="5"/>
    <n v="4396.5200000000004"/>
    <n v="0.25"/>
    <n v="16486.95"/>
    <n v="12054.14"/>
    <n v="4432.8100000000004"/>
    <s v="Paid"/>
    <x v="0"/>
    <m/>
    <m/>
    <m/>
    <m/>
    <m/>
    <x v="1"/>
    <m/>
    <m/>
  </r>
  <r>
    <s v="ORD-2025-10103"/>
    <x v="97"/>
    <s v="2025-07-16"/>
    <n v="4"/>
    <n v="4"/>
    <s v="CUST-9603"/>
    <s v="Vikram Iyer"/>
    <s v="Vikram Iyer"/>
    <s v="Consumer"/>
    <x v="0"/>
    <x v="2"/>
    <s v="Karnataka"/>
    <s v="Bengaluru"/>
    <s v="Furniture"/>
    <x v="1"/>
    <x v="4"/>
    <s v="Classic Chairs 604"/>
    <x v="2"/>
    <s v="First Class"/>
    <n v="4"/>
    <n v="2865.71"/>
    <n v="0"/>
    <n v="11462.84"/>
    <n v="8979.7800000000007"/>
    <n v="2483.06"/>
    <s v="Refunded"/>
    <x v="1"/>
    <m/>
    <m/>
    <m/>
    <m/>
    <m/>
    <x v="1"/>
    <m/>
    <m/>
  </r>
  <r>
    <s v="ORD-2025-10104"/>
    <x v="98"/>
    <s v="05/10/2025"/>
    <n v="242"/>
    <n v="242"/>
    <s v="CUST-6263"/>
    <s v="Kabir Singh"/>
    <s v="Kabir Singh"/>
    <s v="Corporate"/>
    <x v="2"/>
    <x v="3"/>
    <s v="Maharashtra"/>
    <s v="Mumbai"/>
    <s v="Furniture"/>
    <x v="1"/>
    <x v="1"/>
    <s v="Prime Tables 377"/>
    <x v="2"/>
    <s v="First Class"/>
    <n v="4"/>
    <n v="2440.34"/>
    <n v="0.2"/>
    <n v="7809.09"/>
    <n v="6657.75"/>
    <n v="1151.3399999999999"/>
    <s v="Paid"/>
    <x v="0"/>
    <m/>
    <m/>
    <m/>
    <m/>
    <m/>
    <x v="1"/>
    <m/>
    <m/>
  </r>
  <r>
    <s v="ORD-2025-10105"/>
    <x v="99"/>
    <s v="02/08/2025"/>
    <n v="182"/>
    <n v="182"/>
    <s v="CUST-1576"/>
    <s v="Ananya Rao"/>
    <s v="Ananya Rao"/>
    <s v="Consumer"/>
    <x v="0"/>
    <x v="2"/>
    <s v="Karnataka"/>
    <s v="Bengaluru"/>
    <s v="Office Supplies"/>
    <x v="0"/>
    <x v="7"/>
    <s v="Prime Labels 807"/>
    <x v="1"/>
    <s v="Same Day"/>
    <n v="5"/>
    <n v="2112.54"/>
    <n v="0.25"/>
    <n v="8260.4599999999991"/>
    <n v="5619.95"/>
    <n v="2302.08"/>
    <s v="Paid"/>
    <x v="1"/>
    <m/>
    <m/>
    <m/>
    <m/>
    <m/>
    <x v="1"/>
    <m/>
    <m/>
  </r>
  <r>
    <s v="ORD-2024-10106"/>
    <x v="100"/>
    <s v="29-06-2024"/>
    <s v="Invalid"/>
    <s v=""/>
    <s v="CUST-6540"/>
    <s v="Mira Das"/>
    <s v="Mira Das"/>
    <s v="Home Office"/>
    <x v="3"/>
    <x v="1"/>
    <s v="West Bengal"/>
    <s v="Kolkata"/>
    <s v="Furniture"/>
    <x v="1"/>
    <x v="1"/>
    <s v="Eco Tables 575"/>
    <x v="0"/>
    <s v="Second Class"/>
    <n v="2"/>
    <n v="685"/>
    <n v="0.1"/>
    <n v="1233"/>
    <n v="1006.9"/>
    <n v="226.1"/>
    <s v="Paid"/>
    <x v="0"/>
    <m/>
    <m/>
    <m/>
    <m/>
    <m/>
    <x v="1"/>
    <m/>
    <m/>
  </r>
  <r>
    <s v="ORD-2024-10107"/>
    <x v="101"/>
    <s v="28 Feb 2024"/>
    <n v="8"/>
    <n v="8"/>
    <s v="CUST-4008"/>
    <s v="Arjun Bose"/>
    <s v="Arjun Bose"/>
    <s v="Home Office"/>
    <x v="3"/>
    <x v="1"/>
    <s v="West Bengal"/>
    <s v="Kolkata"/>
    <s v="Office Supplies"/>
    <x v="0"/>
    <x v="0"/>
    <s v="Eco Paper 918"/>
    <x v="3"/>
    <s v="Standard Class"/>
    <n v="2"/>
    <n v="4004.04"/>
    <m/>
    <n v="7207.27"/>
    <n v="5709.39"/>
    <n v="1497.88"/>
    <s v="Paid"/>
    <x v="1"/>
    <m/>
    <m/>
    <m/>
    <m/>
    <m/>
    <x v="1"/>
    <m/>
    <m/>
  </r>
  <r>
    <s v="ORD-2024-10108"/>
    <x v="102"/>
    <s v="2024-11-04"/>
    <n v="6"/>
    <n v="6"/>
    <s v="CUST-6604"/>
    <s v="Rohan Mehta"/>
    <s v="Rohan Mehta"/>
    <s v="Home Office"/>
    <x v="3"/>
    <x v="1"/>
    <s v="West Bengal"/>
    <s v="Kolkata"/>
    <s v="Furniture"/>
    <x v="1"/>
    <x v="3"/>
    <s v="Prime Furnishings 952"/>
    <x v="2"/>
    <s v="First Class"/>
    <n v="3"/>
    <n v="4302.8900000000003"/>
    <n v="0.05"/>
    <n v="12263.24"/>
    <n v="8925.57"/>
    <n v="3337.67"/>
    <s v="Paid"/>
    <x v="0"/>
    <m/>
    <m/>
    <m/>
    <m/>
    <m/>
    <x v="1"/>
    <m/>
    <m/>
  </r>
  <r>
    <s v="ORD-2024-10109"/>
    <x v="103"/>
    <s v="08/23/2024"/>
    <s v="Invalid"/>
    <s v=""/>
    <s v="CUST-4337"/>
    <s v="Aditi Sen"/>
    <s v="Aditi Sen"/>
    <s v="Small Business"/>
    <x v="1"/>
    <x v="1"/>
    <s v="Odisha"/>
    <s v="Bhubaneswar"/>
    <s v="Furniture"/>
    <x v="1"/>
    <x v="10"/>
    <s v="Prime Bookcases 631"/>
    <x v="1"/>
    <s v="Same Day"/>
    <n v="2"/>
    <n v="537.54"/>
    <n v="0.25"/>
    <n v="806.31"/>
    <n v="498.5"/>
    <n v="307.81"/>
    <s v="Paid"/>
    <x v="0"/>
    <m/>
    <m/>
    <m/>
    <m/>
    <m/>
    <x v="1"/>
    <m/>
    <m/>
  </r>
  <r>
    <s v="ORD-2025-10110"/>
    <x v="104"/>
    <s v="08/27/2025"/>
    <s v="Invalid"/>
    <s v=""/>
    <s v="CUST-3740"/>
    <s v="Sneha Kapoor"/>
    <s v="Sneha Kapoor"/>
    <s v="Consumer"/>
    <x v="0"/>
    <x v="0"/>
    <s v="Delhi"/>
    <s v="New Delhi"/>
    <s v="Office Supplies"/>
    <x v="0"/>
    <x v="9"/>
    <s v="Classic Binders 660"/>
    <x v="0"/>
    <s v="Second Class"/>
    <n v="1"/>
    <n v="2788.62"/>
    <n v="0.25"/>
    <n v="2091.4699999999998"/>
    <n v="1317.22"/>
    <n v="774.25"/>
    <s v="Paid"/>
    <x v="0"/>
    <m/>
    <m/>
    <m/>
    <m/>
    <m/>
    <x v="1"/>
    <m/>
    <m/>
  </r>
  <r>
    <s v="ORD-2024-10111"/>
    <x v="105"/>
    <s v="2024-10-24"/>
    <s v="Invalid"/>
    <s v=""/>
    <s v="CUST-7128"/>
    <s v="Vikram Iyer"/>
    <s v="Vikram Iyer"/>
    <s v="Corporate"/>
    <x v="2"/>
    <x v="2"/>
    <s v="Kerala"/>
    <s v="Kochi"/>
    <s v="Office Supplies"/>
    <x v="0"/>
    <x v="7"/>
    <s v="Pro Labels 255"/>
    <x v="2"/>
    <s v="First Class"/>
    <n v="2"/>
    <n v="2250.4699999999998"/>
    <n v="0"/>
    <n v="4500.9399999999996"/>
    <n v="2607.73"/>
    <n v="1893.21"/>
    <s v="Refunded"/>
    <x v="1"/>
    <m/>
    <m/>
    <m/>
    <m/>
    <m/>
    <x v="1"/>
    <m/>
    <m/>
  </r>
  <r>
    <s v="ORD-2025-10112"/>
    <x v="106"/>
    <s v="2025-06-30"/>
    <s v="Invalid"/>
    <s v=""/>
    <s v="CUST-4743"/>
    <s v="Neha Gupta"/>
    <s v="Neha Gupta"/>
    <s v="Corporate"/>
    <x v="2"/>
    <x v="1"/>
    <s v="Bihar"/>
    <s v="Patna"/>
    <s v="Technology"/>
    <x v="2"/>
    <x v="5"/>
    <s v="Basic Accessories 187"/>
    <x v="2"/>
    <s v="First Class"/>
    <n v="1"/>
    <n v="1708.44"/>
    <n v="0.05"/>
    <n v="1623.02"/>
    <n v="1077.46"/>
    <n v="545.55999999999995"/>
    <s v="Pending"/>
    <x v="1"/>
    <m/>
    <m/>
    <m/>
    <m/>
    <m/>
    <x v="1"/>
    <m/>
    <m/>
  </r>
  <r>
    <s v="ORD-2024-10113"/>
    <x v="107"/>
    <s v="14-01-2024"/>
    <s v="OK"/>
    <s v="OK"/>
    <s v="CUST-5213"/>
    <s v="Sneha Kapoor"/>
    <s v="Sneha Kapoor"/>
    <s v="Consumer"/>
    <x v="0"/>
    <x v="3"/>
    <s v="Gujarat"/>
    <s v="Ahmedabad"/>
    <s v="Technology"/>
    <x v="2"/>
    <x v="5"/>
    <s v="Max Accessories 451"/>
    <x v="3"/>
    <s v="Standard Class"/>
    <n v="3"/>
    <n v="3829.48"/>
    <n v="0.05"/>
    <n v="10914.02"/>
    <n v="6548.74"/>
    <n v="4365.28"/>
    <s v="Paid"/>
    <x v="0"/>
    <m/>
    <m/>
    <m/>
    <m/>
    <m/>
    <x v="1"/>
    <m/>
    <m/>
  </r>
  <r>
    <s v="ORD-2024-10114"/>
    <x v="108"/>
    <s v="12-02-2024"/>
    <m/>
    <n v="0"/>
    <s v="CUST-4989"/>
    <s v="Isha Nair"/>
    <s v="Isha Nair"/>
    <s v="Home Office"/>
    <x v="3"/>
    <x v="2"/>
    <s v="Tamil Nadu"/>
    <s v="Chennai"/>
    <s v="Furniture"/>
    <x v="1"/>
    <x v="1"/>
    <s v="Classic Tables 752"/>
    <x v="3"/>
    <s v="Standard Class"/>
    <n v="3"/>
    <n v="1089.1500000000001"/>
    <n v="0.25"/>
    <n v="2450.59"/>
    <n v="1639.89"/>
    <n v="810.7"/>
    <s v="Paid"/>
    <x v="0"/>
    <m/>
    <m/>
    <m/>
    <m/>
    <m/>
    <x v="1"/>
    <m/>
    <m/>
  </r>
  <r>
    <s v="ORD-2024-10115"/>
    <x v="109"/>
    <s v="30 Sep 2024"/>
    <m/>
    <n v="0"/>
    <s v="CUST-2927"/>
    <s v="Neha Gupta"/>
    <s v="Neha Gupta"/>
    <s v="Small Business"/>
    <x v="1"/>
    <x v="0"/>
    <s v="Rajasthan"/>
    <s v="Jaipur"/>
    <s v="Technology"/>
    <x v="2"/>
    <x v="5"/>
    <s v="Eco Accessories 452"/>
    <x v="0"/>
    <s v="Second Class"/>
    <n v="1"/>
    <n v="4388.3999999999996"/>
    <n v="0.1"/>
    <n v="3949.56"/>
    <n v="3186.73"/>
    <n v="762.83"/>
    <s v="Pending"/>
    <x v="1"/>
    <m/>
    <m/>
    <m/>
    <m/>
    <m/>
    <x v="1"/>
    <m/>
    <m/>
  </r>
  <r>
    <s v="ORD-2024-10116"/>
    <x v="110"/>
    <s v="01-01-2025"/>
    <m/>
    <n v="0"/>
    <s v="CUST-7764"/>
    <s v="Kabir Singh"/>
    <s v="Kabir Singh"/>
    <s v="Corporate"/>
    <x v="2"/>
    <x v="2"/>
    <s v="Tamil Nadu"/>
    <s v="Chennai"/>
    <s v="Office Supplies"/>
    <x v="0"/>
    <x v="9"/>
    <s v="Classic Binders 203"/>
    <x v="1"/>
    <s v="Same Day"/>
    <n v="2"/>
    <n v="446.34"/>
    <n v="0.15"/>
    <n v="758.78"/>
    <n v="490.74"/>
    <n v="268.04000000000002"/>
    <s v="Paid"/>
    <x v="1"/>
    <m/>
    <m/>
    <m/>
    <m/>
    <m/>
    <x v="1"/>
    <m/>
    <m/>
  </r>
  <r>
    <s v="ORD-2025-10117"/>
    <x v="111"/>
    <s v="19 Feb 2025"/>
    <s v="Invalid"/>
    <s v=""/>
    <s v="CUST-3632"/>
    <s v="Ananya Rao"/>
    <s v="Ananya Rao"/>
    <s v="Small Business"/>
    <x v="1"/>
    <x v="3"/>
    <s v="Madhya Pradesh"/>
    <s v="Indore"/>
    <s v="Office Supplies"/>
    <x v="0"/>
    <x v="9"/>
    <s v="Basic Binders 859"/>
    <x v="2"/>
    <s v="First Class"/>
    <n v="9"/>
    <n v="531.99"/>
    <n v="0.25"/>
    <n v="3590.93"/>
    <n v="3061.39"/>
    <n v="529.54"/>
    <s v="Failed"/>
    <x v="1"/>
    <m/>
    <m/>
    <m/>
    <m/>
    <m/>
    <x v="1"/>
    <m/>
    <m/>
  </r>
  <r>
    <s v="ORD-2024-10118"/>
    <x v="112"/>
    <s v="17 Feb 2024"/>
    <m/>
    <n v="0"/>
    <s v="CUST-9608"/>
    <s v="Mira Das"/>
    <s v="Mira Das"/>
    <s v="Home Office"/>
    <x v="3"/>
    <x v="2"/>
    <s v="Tamil Nadu"/>
    <s v="Chennai"/>
    <s v="Technology"/>
    <x v="2"/>
    <x v="12"/>
    <s v="Elite Machines 705"/>
    <x v="3"/>
    <s v="Standard Class"/>
    <n v="9"/>
    <n v="3324.55"/>
    <s v="70%"/>
    <n v="25432.81"/>
    <n v="20370.16"/>
    <n v="5062.6499999999996"/>
    <s v="Paid"/>
    <x v="0"/>
    <m/>
    <m/>
    <m/>
    <m/>
    <m/>
    <x v="1"/>
    <m/>
    <m/>
  </r>
  <r>
    <s v="ORD-2024-10119"/>
    <x v="113"/>
    <s v="2024-06-18"/>
    <m/>
    <n v="0"/>
    <s v="CUST-9135"/>
    <s v="Vikram  Iyer"/>
    <s v="Vikram Iyer"/>
    <s v="Home Office"/>
    <x v="3"/>
    <x v="2"/>
    <s v="Andhra Pradesh"/>
    <s v="Vijayawada"/>
    <s v="Technology"/>
    <x v="2"/>
    <x v="6"/>
    <s v="Pro Copiers 208"/>
    <x v="1"/>
    <s v="Same Day"/>
    <n v="5"/>
    <n v="1580.27"/>
    <n v="0.2"/>
    <n v="6321.08"/>
    <n v="4407.22"/>
    <n v="1913.86"/>
    <s v="Paid"/>
    <x v="0"/>
    <m/>
    <m/>
    <m/>
    <m/>
    <m/>
    <x v="1"/>
    <m/>
    <m/>
  </r>
  <r>
    <s v="ORD-2024-10120"/>
    <x v="114"/>
    <s v="19 Jun 2024"/>
    <m/>
    <n v="0"/>
    <s v="CUST-7861"/>
    <s v="Aditi Sen"/>
    <s v="Aditi Sen"/>
    <s v="Small Business"/>
    <x v="1"/>
    <x v="2"/>
    <s v="Kerala"/>
    <s v="Kochi"/>
    <s v="Furniture"/>
    <x v="1"/>
    <x v="4"/>
    <s v="Elite Chairs 921"/>
    <x v="3"/>
    <s v="Standard Class"/>
    <n v="8"/>
    <n v="314.05"/>
    <n v="0.25"/>
    <n v="1884.3"/>
    <n v="1517.69"/>
    <n v="366.61"/>
    <s v="Refunded"/>
    <x v="2"/>
    <m/>
    <m/>
    <m/>
    <m/>
    <m/>
    <x v="1"/>
    <m/>
    <m/>
  </r>
  <r>
    <s v="ORD-2024-10121"/>
    <x v="78"/>
    <s v="2024-08-18"/>
    <m/>
    <n v="0"/>
    <s v="CUST-6096"/>
    <s v="Sneha Kapoor"/>
    <s v="Sneha Kapoor"/>
    <s v="Small Business"/>
    <x v="1"/>
    <x v="1"/>
    <s v="Bihar"/>
    <s v="Patna"/>
    <s v="Technology"/>
    <x v="2"/>
    <x v="11"/>
    <s v="Prime Phones 540"/>
    <x v="3"/>
    <s v="Standard Class"/>
    <n v="1"/>
    <n v="1823.67"/>
    <n v="0.2"/>
    <n v="1458.94"/>
    <n v="893.2"/>
    <n v="565.74"/>
    <s v="Paid"/>
    <x v="2"/>
    <m/>
    <m/>
    <m/>
    <m/>
    <m/>
    <x v="1"/>
    <m/>
    <m/>
  </r>
  <r>
    <s v="ORD-2025-10122"/>
    <x v="115"/>
    <s v="08/26/2025"/>
    <m/>
    <n v="0"/>
    <s v="CUST-2044"/>
    <s v="Kabir Singh"/>
    <s v="Kabir Singh"/>
    <s v="Small  Business"/>
    <x v="1"/>
    <x v="2"/>
    <s v="Andhra Pradesh"/>
    <s v="Vijayawada"/>
    <s v="Technology"/>
    <x v="2"/>
    <x v="12"/>
    <s v="Max Machines 948"/>
    <x v="0"/>
    <s v="Second Class"/>
    <n v="5"/>
    <n v="3482.92"/>
    <n v="0"/>
    <n v="17414.599999999999"/>
    <n v="11760.91"/>
    <n v="5653.69"/>
    <s v="Refunded"/>
    <x v="1"/>
    <m/>
    <m/>
    <m/>
    <m/>
    <m/>
    <x v="1"/>
    <m/>
    <m/>
  </r>
  <r>
    <s v="ORD-2024-10123"/>
    <x v="116"/>
    <s v="04-12-2024"/>
    <m/>
    <n v="0"/>
    <s v="CUST-1721"/>
    <s v="Ananya Rao"/>
    <s v="Ananya Rao"/>
    <s v="Small Business"/>
    <x v="1"/>
    <x v="1"/>
    <s v="Assam"/>
    <s v="Guwahati"/>
    <s v="Furniture"/>
    <x v="1"/>
    <x v="4"/>
    <s v="Max Chairs 786"/>
    <x v="0"/>
    <s v="Second Class"/>
    <n v="3"/>
    <n v="170.35"/>
    <n v="0"/>
    <n v="511.05"/>
    <n v="367.18"/>
    <n v="143.87"/>
    <s v="Paid"/>
    <x v="0"/>
    <m/>
    <m/>
    <m/>
    <m/>
    <m/>
    <x v="1"/>
    <m/>
    <m/>
  </r>
  <r>
    <s v="ORD-2024-10124"/>
    <x v="117"/>
    <s v="25 May 2024"/>
    <m/>
    <n v="0"/>
    <s v="CUST-1007"/>
    <s v="Sneha Kapoor"/>
    <s v="Sneha Kapoor"/>
    <s v="Small Business"/>
    <x v="1"/>
    <x v="0"/>
    <s v="Punjab"/>
    <s v="Ludhiana"/>
    <s v="Technology"/>
    <x v="2"/>
    <x v="6"/>
    <s v="Max Copiers 970"/>
    <x v="1"/>
    <s v="Same Day"/>
    <n v="1"/>
    <n v="634.13"/>
    <n v="0"/>
    <n v="634.13"/>
    <n v="453.35"/>
    <n v="180.78"/>
    <s v="Refunded"/>
    <x v="1"/>
    <m/>
    <m/>
    <m/>
    <m/>
    <m/>
    <x v="1"/>
    <m/>
    <m/>
  </r>
  <r>
    <s v="ORD-2024-10125"/>
    <x v="118"/>
    <s v="07/24/2024"/>
    <m/>
    <n v="0"/>
    <s v="CUST-4450"/>
    <s v="Isha Nair"/>
    <s v="Isha Nair"/>
    <s v="Corporate"/>
    <x v="2"/>
    <x v="2"/>
    <s v="Karnataka"/>
    <s v="Bengaluru"/>
    <s v="Technology"/>
    <x v="2"/>
    <x v="6"/>
    <s v="Pro Copiers 769"/>
    <x v="3"/>
    <s v="Standard Class"/>
    <n v="9"/>
    <n v="465.06"/>
    <n v="-0.15"/>
    <n v="4185.54"/>
    <n v="3443.74"/>
    <n v="741.8"/>
    <s v="Paid"/>
    <x v="0"/>
    <m/>
    <m/>
    <m/>
    <m/>
    <m/>
    <x v="1"/>
    <m/>
    <m/>
  </r>
  <r>
    <s v="ORD-2025-10126"/>
    <x v="119"/>
    <s v="18-07-2025"/>
    <m/>
    <n v="0"/>
    <s v="CUST-7924"/>
    <s v="Neha Gupta"/>
    <s v="Neha Gupta"/>
    <s v="Small Business"/>
    <x v="1"/>
    <x v="3"/>
    <s v="Rajasthan"/>
    <s v="Udaipur"/>
    <s v="Furniture"/>
    <x v="1"/>
    <x v="1"/>
    <s v="Basic Tables 753"/>
    <x v="1"/>
    <s v="Same Day"/>
    <n v="6"/>
    <n v="3235.27"/>
    <n v="0.25"/>
    <n v="14558.72"/>
    <n v="9591.48"/>
    <n v="4967.24"/>
    <s v="Refunded"/>
    <x v="2"/>
    <m/>
    <m/>
    <m/>
    <m/>
    <m/>
    <x v="1"/>
    <m/>
    <m/>
  </r>
  <r>
    <s v="ORD-2025-10127"/>
    <x v="120"/>
    <s v="26 Sep 2025"/>
    <m/>
    <n v="0"/>
    <s v="CUST-1715"/>
    <s v="Priya Menon"/>
    <s v="Priya Menon"/>
    <s v="Corporate"/>
    <x v="2"/>
    <x v="0"/>
    <s v="Delhi"/>
    <s v="New Delhi"/>
    <s v="Technology"/>
    <x v="2"/>
    <x v="6"/>
    <s v="Prime Copiers 651"/>
    <x v="3"/>
    <s v="Standard Class"/>
    <n v="3"/>
    <n v="1593.86"/>
    <n v="0.1"/>
    <n v="4303.42"/>
    <n v="2568.5700000000002"/>
    <n v="1734.85"/>
    <s v="Paid"/>
    <x v="0"/>
    <m/>
    <m/>
    <m/>
    <m/>
    <m/>
    <x v="1"/>
    <m/>
    <m/>
  </r>
  <r>
    <s v="ORD-2025-10128"/>
    <x v="121"/>
    <s v="26-01-2025"/>
    <m/>
    <n v="0"/>
    <s v="CUST-6802"/>
    <s v="Priya Menon"/>
    <s v="Priya Menon"/>
    <s v="Corporate"/>
    <x v="2"/>
    <x v="3"/>
    <s v="Madhya Pradesh"/>
    <s v="Indore"/>
    <s v="Office Supplies"/>
    <x v="0"/>
    <x v="8"/>
    <s v="Basic Storage 321"/>
    <x v="0"/>
    <s v="Second Class"/>
    <n v="2"/>
    <n v="3039.3"/>
    <n v="0.05"/>
    <n v="5774.67"/>
    <n v="3518.36"/>
    <n v="2256.31"/>
    <s v="Paid"/>
    <x v="0"/>
    <m/>
    <m/>
    <m/>
    <m/>
    <m/>
    <x v="1"/>
    <m/>
    <m/>
  </r>
  <r>
    <s v="ORD-2024-10129"/>
    <x v="122"/>
    <s v="16 Dec 2024"/>
    <m/>
    <n v="0"/>
    <s v="CUST-9328"/>
    <s v="Neha Gupta"/>
    <s v="Neha Gupta"/>
    <s v="Small Business"/>
    <x v="1"/>
    <x v="1"/>
    <s v="Odisha"/>
    <s v="Bhubaneswar"/>
    <s v="Furniture"/>
    <x v="1"/>
    <x v="3"/>
    <s v="Prime Furnishings 710"/>
    <x v="3"/>
    <s v="Standard Class"/>
    <n v="5"/>
    <n v="923.45"/>
    <n v="0.05"/>
    <n v="4386.3900000000003"/>
    <n v="3366.88"/>
    <n v="1019.51"/>
    <s v="Paid"/>
    <x v="2"/>
    <m/>
    <m/>
    <m/>
    <m/>
    <m/>
    <x v="1"/>
    <m/>
    <m/>
  </r>
  <r>
    <s v="ORD-2024-10130"/>
    <x v="123"/>
    <s v="25-07-2024"/>
    <m/>
    <n v="0"/>
    <s v="CUST-2588"/>
    <s v="Isha Nair"/>
    <s v="Isha Nair"/>
    <s v="Small Business"/>
    <x v="1"/>
    <x v="3"/>
    <s v="Goa"/>
    <s v="Panaji"/>
    <s v="Office Supplies"/>
    <x v="0"/>
    <x v="9"/>
    <s v="Elite Binders 723"/>
    <x v="3"/>
    <s v="Standard Class"/>
    <n v="7"/>
    <n v="2741.29"/>
    <n v="0.05"/>
    <n v="18229.580000000002"/>
    <n v="15139.15"/>
    <n v="3090.43"/>
    <s v="Paid"/>
    <x v="0"/>
    <m/>
    <m/>
    <m/>
    <m/>
    <m/>
    <x v="1"/>
    <m/>
    <m/>
  </r>
  <r>
    <s v="ORD-2024-10131"/>
    <x v="124"/>
    <s v="02 Feb 2024"/>
    <m/>
    <n v="0"/>
    <s v="CUST-5435"/>
    <s v="Arjun Bose"/>
    <s v="Arjun Bose"/>
    <s v="Consumer"/>
    <x v="0"/>
    <x v="3"/>
    <s v="Gujarat"/>
    <s v="Ahmedabad"/>
    <s v="Office Supplies"/>
    <x v="0"/>
    <x v="7"/>
    <s v="Smart Labels 878"/>
    <x v="1"/>
    <s v="Same Day"/>
    <n v="5"/>
    <n v="218.42"/>
    <n v="0.2"/>
    <n v="873.68"/>
    <n v="661.72"/>
    <n v="211.96"/>
    <s v="Pending"/>
    <x v="1"/>
    <m/>
    <m/>
    <m/>
    <m/>
    <m/>
    <x v="1"/>
    <m/>
    <m/>
  </r>
  <r>
    <s v="ORD-2025-10132"/>
    <x v="125"/>
    <s v="2025-10-04"/>
    <m/>
    <n v="0"/>
    <s v="CUST-7637"/>
    <s v="Ananya Rao"/>
    <s v="Ananya Rao"/>
    <s v="Home Office"/>
    <x v="3"/>
    <x v="1"/>
    <s v="Jharkhand"/>
    <s v="Ranchi"/>
    <s v="Office Supplies"/>
    <x v="0"/>
    <x v="0"/>
    <s v="Pro Paper 934"/>
    <x v="1"/>
    <s v="Same Day"/>
    <n v="9"/>
    <n v="373.91"/>
    <n v="0.2"/>
    <n v="2692.15"/>
    <n v="2044.49"/>
    <n v="647.66"/>
    <s v="Paid"/>
    <x v="0"/>
    <m/>
    <m/>
    <m/>
    <m/>
    <m/>
    <x v="1"/>
    <m/>
    <m/>
  </r>
  <r>
    <s v="ORD-2024-10133"/>
    <x v="126"/>
    <s v="04 Nov 2024"/>
    <m/>
    <n v="0"/>
    <s v="CUST-3602"/>
    <s v="Kabir Singh"/>
    <s v="Kabir Singh"/>
    <s v="Corporate"/>
    <x v="2"/>
    <x v="1"/>
    <s v="Assam"/>
    <s v="Guwahati"/>
    <s v="Technology"/>
    <x v="2"/>
    <x v="12"/>
    <s v="Classic Machines 886"/>
    <x v="2"/>
    <s v="First Class"/>
    <n v="2"/>
    <n v="533.08000000000004"/>
    <n v="0"/>
    <n v="1066.1600000000001"/>
    <n v="656.3"/>
    <n v="409.86"/>
    <s v="Failed"/>
    <x v="1"/>
    <m/>
    <m/>
    <m/>
    <m/>
    <m/>
    <x v="1"/>
    <m/>
    <m/>
  </r>
  <r>
    <s v="ORD-2024-10134"/>
    <x v="127"/>
    <s v="12/18/2024"/>
    <m/>
    <n v="0"/>
    <s v="CUST-9441"/>
    <s v="Karan Malhotra"/>
    <s v="Karan Malhotra"/>
    <s v="Consumer"/>
    <x v="0"/>
    <x v="3"/>
    <s v="Goa"/>
    <s v="Panaji"/>
    <s v="Technology"/>
    <x v="2"/>
    <x v="11"/>
    <s v="Prime Phones 419"/>
    <x v="0"/>
    <s v="Second Class"/>
    <n v="8"/>
    <n v="3372.15"/>
    <n v="0.15"/>
    <n v="22930.62"/>
    <n v="16875.55"/>
    <n v="6055.07"/>
    <s v="Paid"/>
    <x v="0"/>
    <m/>
    <m/>
    <m/>
    <m/>
    <m/>
    <x v="1"/>
    <m/>
    <m/>
  </r>
  <r>
    <s v="ORD-2025-10135"/>
    <x v="128"/>
    <s v="2025-07-14"/>
    <m/>
    <n v="0"/>
    <s v="CUST-7361"/>
    <s v="Vikram Iyer"/>
    <s v="Vikram Iyer"/>
    <s v="Home Office"/>
    <x v="3"/>
    <x v="1"/>
    <s v="West Bengal"/>
    <s v="Kolkata"/>
    <s v="Furniture"/>
    <x v="1"/>
    <x v="10"/>
    <s v="Elite Bookcases 266"/>
    <x v="4"/>
    <s v=""/>
    <n v="5"/>
    <n v="383.1"/>
    <n v="0.25"/>
    <n v="1436.62"/>
    <n v="912.52"/>
    <n v="524.1"/>
    <s v="Pending"/>
    <x v="1"/>
    <m/>
    <m/>
    <m/>
    <m/>
    <m/>
    <x v="1"/>
    <m/>
    <m/>
  </r>
  <r>
    <s v="ORD-2025-10136"/>
    <x v="129"/>
    <s v="2025-08-24"/>
    <m/>
    <n v="0"/>
    <s v="CUST-1148"/>
    <s v="Diya Patel"/>
    <s v="Diya Patel"/>
    <s v="Small Business"/>
    <x v="1"/>
    <x v="2"/>
    <s v="Kerala"/>
    <s v="Kochi"/>
    <s v="Furniture"/>
    <x v="1"/>
    <x v="10"/>
    <s v="Prime Bookcases 954"/>
    <x v="3"/>
    <s v="Standard Class"/>
    <n v="1"/>
    <n v="3424.78"/>
    <n v="0"/>
    <n v="3424.78"/>
    <n v="1951.45"/>
    <n v="1473.33"/>
    <s v="Paid"/>
    <x v="0"/>
    <m/>
    <m/>
    <m/>
    <m/>
    <m/>
    <x v="1"/>
    <m/>
    <m/>
  </r>
  <r>
    <s v="ORD-2025-10137"/>
    <x v="130"/>
    <s v="15-02-2025"/>
    <m/>
    <n v="0"/>
    <s v="CUST-3350"/>
    <s v="Mira Das"/>
    <s v="Mira Das"/>
    <s v="Home Office"/>
    <x v="3"/>
    <x v="1"/>
    <s v="Jharkhand"/>
    <s v="Ranchi"/>
    <s v="Office Supplies"/>
    <x v="0"/>
    <x v="9"/>
    <s v="Max Binders 362"/>
    <x v="5"/>
    <s v="Standard Class"/>
    <n v="9"/>
    <n v="4330.33"/>
    <n v="0.2"/>
    <n v="31178.38"/>
    <n v="21421.09"/>
    <n v="9757.2900000000009"/>
    <s v="Paid"/>
    <x v="0"/>
    <m/>
    <m/>
    <m/>
    <m/>
    <m/>
    <x v="1"/>
    <m/>
    <m/>
  </r>
  <r>
    <s v="ORD-2025-10138"/>
    <x v="131"/>
    <s v="2025-01-09"/>
    <m/>
    <n v="0"/>
    <s v="CUST-7932"/>
    <s v="Sneha Kapoor"/>
    <s v="Sneha Kapoor"/>
    <s v="Small Business"/>
    <x v="1"/>
    <x v="0"/>
    <s v="Rajasthan"/>
    <s v="Jaipur"/>
    <s v="Furniture"/>
    <x v="1"/>
    <x v="4"/>
    <s v="Prime Chairs 261"/>
    <x v="1"/>
    <s v="Same Day"/>
    <n v="8"/>
    <n v="2667.07"/>
    <n v="0.1"/>
    <n v="19202.900000000001"/>
    <n v="15526.62"/>
    <n v="3676.28"/>
    <s v="Paid"/>
    <x v="0"/>
    <m/>
    <m/>
    <m/>
    <m/>
    <m/>
    <x v="1"/>
    <m/>
    <m/>
  </r>
  <r>
    <s v="ORD-2024-10139"/>
    <x v="132"/>
    <s v="26-01-2024"/>
    <m/>
    <n v="0"/>
    <s v="CUST-7173"/>
    <s v="Diya Patel"/>
    <s v="Diya Patel"/>
    <s v="Home Office"/>
    <x v="3"/>
    <x v="1"/>
    <s v="Jharkhand"/>
    <s v="Ranchi"/>
    <s v="Technology"/>
    <x v="2"/>
    <x v="12"/>
    <s v="Basic Machines 185"/>
    <x v="3"/>
    <s v="Standard Class"/>
    <n v="8"/>
    <n v="4003.05"/>
    <n v="0.25"/>
    <n v="24018.3"/>
    <n v="14070.78"/>
    <n v="9947.52"/>
    <s v="Paid"/>
    <x v="0"/>
    <m/>
    <m/>
    <m/>
    <m/>
    <m/>
    <x v="1"/>
    <m/>
    <m/>
  </r>
  <r>
    <s v="ORD-2025-10140"/>
    <x v="133"/>
    <s v="07-03-2025"/>
    <m/>
    <n v="0"/>
    <s v="CUST-4225"/>
    <s v="Neha Gupta"/>
    <s v="Neha Gupta"/>
    <s v="Home Office"/>
    <x v="3"/>
    <x v="2"/>
    <s v="Karnataka"/>
    <s v="Bengaluru"/>
    <s v="Office Supplies"/>
    <x v="0"/>
    <x v="7"/>
    <s v="Basic Labels 509"/>
    <x v="3"/>
    <s v="Standard Class"/>
    <n v="8"/>
    <n v="1287.6300000000001"/>
    <n v="0"/>
    <n v="10301.040000000001"/>
    <n v="6564.06"/>
    <n v="3736.98"/>
    <s v="Paid"/>
    <x v="0"/>
    <m/>
    <m/>
    <m/>
    <m/>
    <m/>
    <x v="1"/>
    <m/>
    <m/>
  </r>
  <r>
    <s v="ORD-2024-10141"/>
    <x v="134"/>
    <s v="01 Jun 2024"/>
    <m/>
    <n v="0"/>
    <s v="CUST-2149"/>
    <s v="Mira Das"/>
    <s v="Mira Das"/>
    <s v="Corporate"/>
    <x v="2"/>
    <x v="2"/>
    <s v="Karnataka"/>
    <s v="Bengaluru"/>
    <s v="Furniture"/>
    <x v="1"/>
    <x v="10"/>
    <s v="Elite Bookcases 696"/>
    <x v="1"/>
    <s v="Same Day"/>
    <n v="3"/>
    <n v="2914.55"/>
    <n v="0"/>
    <n v="8743.65"/>
    <n v="6603.76"/>
    <n v="2139.89"/>
    <s v="Paid"/>
    <x v="0"/>
    <m/>
    <m/>
    <m/>
    <m/>
    <m/>
    <x v="1"/>
    <m/>
    <m/>
  </r>
  <r>
    <s v="ORD-2024-10142"/>
    <x v="135"/>
    <s v="2024-03-29"/>
    <m/>
    <n v="0"/>
    <s v="CUST-3314"/>
    <s v="Priya Menon"/>
    <s v="Priya Menon"/>
    <s v="Corporate"/>
    <x v="2"/>
    <x v="0"/>
    <s v="Delhi"/>
    <s v="New Delhi"/>
    <s v="Furniture"/>
    <x v="1"/>
    <x v="10"/>
    <s v="Elite Bookcases 772"/>
    <x v="1"/>
    <s v="Same Day"/>
    <n v="7"/>
    <n v="634.29"/>
    <n v="0.1"/>
    <n v="3996.03"/>
    <n v="2859.51"/>
    <n v="1136.52"/>
    <s v="Paid"/>
    <x v="2"/>
    <m/>
    <m/>
    <m/>
    <m/>
    <m/>
    <x v="1"/>
    <m/>
    <m/>
  </r>
  <r>
    <s v="ORD-2024-10143"/>
    <x v="136"/>
    <s v="26 Mar 2024"/>
    <m/>
    <n v="0"/>
    <s v="CUST-8944"/>
    <s v="Aditi Sen"/>
    <s v="Aditi Sen"/>
    <s v="Home Office"/>
    <x v="3"/>
    <x v="0"/>
    <s v="Rajasthan"/>
    <s v="Jaipur"/>
    <s v="Technology"/>
    <x v="2"/>
    <x v="11"/>
    <s v="Classic Phones 142"/>
    <x v="0"/>
    <s v="Second Class"/>
    <n v="5"/>
    <n v="907.54"/>
    <n v="0.15"/>
    <n v="3857.04"/>
    <n v="2769.26"/>
    <n v="1087.78"/>
    <s v="Paid"/>
    <x v="0"/>
    <m/>
    <m/>
    <m/>
    <m/>
    <m/>
    <x v="1"/>
    <m/>
    <m/>
  </r>
  <r>
    <s v="ORD-2024-10144"/>
    <x v="85"/>
    <s v="2024-03-26"/>
    <m/>
    <n v="0"/>
    <s v="CUST-3144"/>
    <s v="Priya Menon"/>
    <s v="Priya Menon"/>
    <s v="Consumer"/>
    <x v="0"/>
    <x v="3"/>
    <s v="Gujarat"/>
    <s v="Ahmedabad"/>
    <s v="Office Supplies"/>
    <x v="0"/>
    <x v="0"/>
    <s v="Pro Paper 575"/>
    <x v="0"/>
    <s v="Second Class"/>
    <n v="1"/>
    <n v="3409.5"/>
    <n v="0.1"/>
    <n v="3068.55"/>
    <n v="1916.16"/>
    <n v="1152.3900000000001"/>
    <s v="Paid"/>
    <x v="2"/>
    <m/>
    <m/>
    <m/>
    <m/>
    <m/>
    <x v="1"/>
    <m/>
    <m/>
  </r>
  <r>
    <s v="ORD-2024-10145"/>
    <x v="137"/>
    <s v="2024-06-15"/>
    <m/>
    <n v="0"/>
    <s v="CUST-6747"/>
    <s v="Kabir Singh"/>
    <s v="Kabir Singh"/>
    <s v="Small Business"/>
    <x v="1"/>
    <x v="2"/>
    <s v="Telangana"/>
    <s v="Hyderabad"/>
    <s v="Technology"/>
    <x v="2"/>
    <x v="5"/>
    <s v="Elite Accessories 905"/>
    <x v="2"/>
    <s v="First Class"/>
    <n v="7"/>
    <n v="2147.9899999999998"/>
    <n v="0.25"/>
    <n v="11276.95"/>
    <n v="6908.76"/>
    <n v="4368.1899999999996"/>
    <s v="Refunded"/>
    <x v="2"/>
    <m/>
    <m/>
    <m/>
    <m/>
    <m/>
    <x v="1"/>
    <m/>
    <m/>
  </r>
  <r>
    <s v="ORD-2025-10146"/>
    <x v="138"/>
    <s v="04/13/2025"/>
    <m/>
    <n v="0"/>
    <s v="CUST-6161"/>
    <s v="Mira Das"/>
    <s v="Mira Das"/>
    <s v="Small Business"/>
    <x v="1"/>
    <x v="3"/>
    <s v="Goa"/>
    <s v="Panaji"/>
    <s v="Office Supplies"/>
    <x v="0"/>
    <x v="0"/>
    <s v="Smart Paper 899"/>
    <x v="3"/>
    <s v="Standard Class"/>
    <n v="4"/>
    <n v="4182.1499999999996"/>
    <n v="0.1"/>
    <n v="15055.74"/>
    <n v="9808.83"/>
    <n v="5246.91"/>
    <s v="Paid"/>
    <x v="0"/>
    <m/>
    <m/>
    <m/>
    <m/>
    <m/>
    <x v="1"/>
    <m/>
    <m/>
  </r>
  <r>
    <s v="ORD-2025-10147"/>
    <x v="139"/>
    <s v="08/01/2025"/>
    <m/>
    <n v="0"/>
    <s v="CUST-1460"/>
    <s v="Sneha Kapoor"/>
    <s v="Sneha Kapoor"/>
    <s v="Small Business"/>
    <x v="1"/>
    <x v="2"/>
    <s v="Tamil Nadu"/>
    <s v="Chennai"/>
    <s v="Office Supplies"/>
    <x v="0"/>
    <x v="8"/>
    <s v="Classic Storage 423"/>
    <x v="1"/>
    <s v="Same Day"/>
    <n v="9"/>
    <n v="3165.43"/>
    <n v="0.1"/>
    <n v="25639.98"/>
    <n v="21635.08"/>
    <n v="4004.9"/>
    <s v="Paid"/>
    <x v="0"/>
    <m/>
    <m/>
    <m/>
    <m/>
    <m/>
    <x v="1"/>
    <m/>
    <m/>
  </r>
  <r>
    <s v="ORD-2024-10148"/>
    <x v="140"/>
    <s v="2024-12-30"/>
    <m/>
    <n v="0"/>
    <s v="CUST-2692"/>
    <s v="Priya Menon"/>
    <s v="Priya Menon"/>
    <s v="Home Office"/>
    <x v="3"/>
    <x v="3"/>
    <s v="Goa"/>
    <s v="Panaji"/>
    <s v="Furniture"/>
    <x v="1"/>
    <x v="3"/>
    <s v="Classic Furnishings 743"/>
    <x v="2"/>
    <s v="First Class"/>
    <n v="8"/>
    <n v="386.1"/>
    <n v="0.1"/>
    <n v="2779.92"/>
    <n v="1744.05"/>
    <n v="1035.8699999999999"/>
    <s v="Paid"/>
    <x v="0"/>
    <m/>
    <m/>
    <m/>
    <m/>
    <m/>
    <x v="1"/>
    <m/>
    <m/>
  </r>
  <r>
    <s v="ORD-2025-10149"/>
    <x v="141"/>
    <s v="13-02-2025"/>
    <m/>
    <n v="0"/>
    <s v="CUST-2822"/>
    <s v="Mira Das"/>
    <s v="Mira Das"/>
    <s v="Home Office"/>
    <x v="3"/>
    <x v="3"/>
    <s v="Madhya Pradesh"/>
    <s v="Indore"/>
    <s v="Technology"/>
    <x v="2"/>
    <x v="11"/>
    <s v="Smart Phones 336"/>
    <x v="4"/>
    <s v=""/>
    <n v="8"/>
    <n v="1696.07"/>
    <n v="0.25"/>
    <n v="10176.42"/>
    <n v="7604.47"/>
    <n v="2571.9499999999998"/>
    <s v="Paid"/>
    <x v="0"/>
    <m/>
    <m/>
    <m/>
    <m/>
    <m/>
    <x v="1"/>
    <m/>
    <m/>
  </r>
  <r>
    <s v="ORD-2024-10150"/>
    <x v="142"/>
    <s v="30-01-2024"/>
    <m/>
    <n v="0"/>
    <s v="CUST-5876"/>
    <s v="Aarav Sharma"/>
    <s v="Aarav Sharma"/>
    <s v="Small Business"/>
    <x v="1"/>
    <x v="3"/>
    <s v="Rajasthan"/>
    <s v="Udaipur"/>
    <s v="Technology"/>
    <x v="2"/>
    <x v="6"/>
    <s v="Eco Copiers 381"/>
    <x v="1"/>
    <s v="Same Day"/>
    <n v="7"/>
    <n v="2527.61"/>
    <n v="0.25"/>
    <n v="13269.95"/>
    <n v="8977.1"/>
    <n v="4292.8500000000004"/>
    <s v="Paid"/>
    <x v="0"/>
    <m/>
    <m/>
    <m/>
    <m/>
    <m/>
    <x v="1"/>
    <m/>
    <m/>
  </r>
  <r>
    <s v="ORD-2024-10151"/>
    <x v="143"/>
    <s v="2024-03-12"/>
    <s v="OK"/>
    <s v="OK"/>
    <s v="CUST-4661"/>
    <s v="Arjun Bose"/>
    <s v="Arjun Bose"/>
    <s v="Consumer"/>
    <x v="0"/>
    <x v="3"/>
    <s v="Gujarat"/>
    <s v="Ahmedabad"/>
    <s v="Furniture"/>
    <x v="1"/>
    <x v="10"/>
    <s v="Max Bookcases 595"/>
    <x v="2"/>
    <s v="First Class"/>
    <n v="1"/>
    <n v="1554.12"/>
    <n v="0.1"/>
    <n v="1398.71"/>
    <n v="1056.92"/>
    <n v="341.79"/>
    <s v="Paid"/>
    <x v="0"/>
    <m/>
    <m/>
    <m/>
    <m/>
    <m/>
    <x v="1"/>
    <m/>
    <m/>
  </r>
  <r>
    <s v="ORD-2024-10152"/>
    <x v="144"/>
    <s v="06/27/2024"/>
    <s v="OK"/>
    <s v="OK"/>
    <s v="CUST-6011"/>
    <s v="Neha Gupta"/>
    <s v="Neha Gupta"/>
    <s v="Home Office"/>
    <x v="3"/>
    <x v="3"/>
    <s v="Madhya Pradesh"/>
    <s v="Indore"/>
    <s v="Technology"/>
    <x v="2"/>
    <x v="6"/>
    <s v="Max Copiers 992"/>
    <x v="3"/>
    <s v="Standard Class"/>
    <n v="2"/>
    <n v="3859.11"/>
    <n v="0"/>
    <n v="7718.22"/>
    <n v="5355.93"/>
    <n v="2362.29"/>
    <s v="Pending"/>
    <x v="2"/>
    <m/>
    <m/>
    <m/>
    <m/>
    <m/>
    <x v="1"/>
    <m/>
    <m/>
  </r>
  <r>
    <s v="ORD-2024-10153"/>
    <x v="145"/>
    <s v="06/17/2024"/>
    <m/>
    <n v="0"/>
    <s v="CUST-6160"/>
    <s v="Kabir Singh"/>
    <s v="Kabir Singh"/>
    <s v="Small Business"/>
    <x v="1"/>
    <x v="2"/>
    <s v="Kerala"/>
    <s v="Kochi"/>
    <s v="Furniture"/>
    <x v="1"/>
    <x v="1"/>
    <s v="Pro Tables 407"/>
    <x v="0"/>
    <s v="Second Class"/>
    <n v="6"/>
    <n v="1088.04"/>
    <n v="0.1"/>
    <n v="5875.42"/>
    <n v="4380.55"/>
    <n v="1494.87"/>
    <s v="Pending"/>
    <x v="2"/>
    <m/>
    <m/>
    <m/>
    <m/>
    <m/>
    <x v="1"/>
    <m/>
    <m/>
  </r>
  <r>
    <s v="ORD-2025-10154"/>
    <x v="146"/>
    <s v="2025-09-25"/>
    <m/>
    <n v="0"/>
    <s v="CUST-6971"/>
    <s v="Aditi Sen"/>
    <s v="Aditi Sen"/>
    <s v="Consumer"/>
    <x v="0"/>
    <x v="1"/>
    <s v="Odisha"/>
    <s v="Bhubaneswar"/>
    <s v="Office Supplies"/>
    <x v="0"/>
    <x v="7"/>
    <s v="Prime Labels 559"/>
    <x v="3"/>
    <s v="Standard Class"/>
    <n v="7"/>
    <n v="3280.31"/>
    <n v="0"/>
    <n v="22962.17"/>
    <n v="15716.5"/>
    <n v="7245.67"/>
    <s v="Refunded"/>
    <x v="2"/>
    <m/>
    <m/>
    <m/>
    <m/>
    <m/>
    <x v="1"/>
    <m/>
    <m/>
  </r>
  <r>
    <s v="ORD-2024-10155"/>
    <x v="147"/>
    <s v="02/11/2024"/>
    <m/>
    <n v="0"/>
    <s v="CUST-7764"/>
    <s v="Priya Menon"/>
    <s v="Priya Menon"/>
    <s v="Consumer"/>
    <x v="0"/>
    <x v="2"/>
    <s v="Tamil Nadu"/>
    <s v="Chennai"/>
    <s v="Furniture"/>
    <x v="1"/>
    <x v="10"/>
    <s v="Classic Bookcases 847"/>
    <x v="1"/>
    <s v="Same Day"/>
    <n v="1"/>
    <n v="2599.12"/>
    <n v="0.15"/>
    <n v="2209.25"/>
    <n v="1523.78"/>
    <n v="685.47"/>
    <s v="Paid"/>
    <x v="0"/>
    <m/>
    <m/>
    <m/>
    <m/>
    <m/>
    <x v="1"/>
    <m/>
    <m/>
  </r>
  <r>
    <s v="ORD-2025-10156"/>
    <x v="148"/>
    <s v="03 Feb 2025"/>
    <m/>
    <n v="0"/>
    <s v="CUST-8327"/>
    <s v="Karan Malhotra"/>
    <s v="Karan Malhotra"/>
    <s v="Corporate"/>
    <x v="2"/>
    <x v="3"/>
    <s v="Rajasthan"/>
    <s v="Udaipur"/>
    <s v="Furniture"/>
    <x v="1"/>
    <x v="3"/>
    <s v="Classic Furnishings 655"/>
    <x v="1"/>
    <s v="Same Day"/>
    <n v="3"/>
    <n v="2859.32"/>
    <n v="0.1"/>
    <n v="7720.16"/>
    <n v="5881"/>
    <n v="1839.16"/>
    <s v="Refunded"/>
    <x v="2"/>
    <m/>
    <m/>
    <m/>
    <m/>
    <m/>
    <x v="1"/>
    <m/>
    <m/>
  </r>
  <r>
    <s v="ORD-2025-10157"/>
    <x v="149"/>
    <s v="27 Mar 2025"/>
    <m/>
    <n v="0"/>
    <s v="CUST-4058"/>
    <s v="Vikram Iyer"/>
    <s v="Vikram Iyer"/>
    <s v="Small Business"/>
    <x v="1"/>
    <x v="1"/>
    <s v="Bihar"/>
    <s v="Patna"/>
    <s v="Technology"/>
    <x v="2"/>
    <x v="12"/>
    <s v="Eco Machines 657"/>
    <x v="0"/>
    <s v="Second Class"/>
    <n v="7"/>
    <n v="2305.37"/>
    <n v="0.25"/>
    <n v="12103.19"/>
    <n v="6717.87"/>
    <n v="5385.32"/>
    <s v="Paid"/>
    <x v="0"/>
    <m/>
    <m/>
    <m/>
    <m/>
    <m/>
    <x v="1"/>
    <m/>
    <m/>
  </r>
  <r>
    <s v="ORD-2024-10158"/>
    <x v="150"/>
    <s v="24-10-2024"/>
    <m/>
    <n v="0"/>
    <s v="CUST-1142"/>
    <s v="Rohan Mehta"/>
    <s v="Rohan Mehta"/>
    <s v="Small Business"/>
    <x v="1"/>
    <x v="2"/>
    <s v="Andhra Pradesh"/>
    <s v="Vijayawada"/>
    <s v="Furniture"/>
    <x v="1"/>
    <x v="10"/>
    <s v="Pro Bookcases 430"/>
    <x v="3"/>
    <s v="Standard Class"/>
    <n v="3"/>
    <n v="915.84"/>
    <n v="0.15"/>
    <n v="2335.39"/>
    <n v="1466.15"/>
    <n v="869.24"/>
    <s v="Paid"/>
    <x v="0"/>
    <m/>
    <m/>
    <m/>
    <m/>
    <m/>
    <x v="1"/>
    <m/>
    <m/>
  </r>
  <r>
    <s v="ORD-2024-10159"/>
    <x v="151"/>
    <s v="09/11/2024"/>
    <m/>
    <n v="0"/>
    <s v="CUST-2324"/>
    <s v="Neha Gupta"/>
    <s v="Neha Gupta"/>
    <s v="Home Office"/>
    <x v="3"/>
    <x v="2"/>
    <s v="Telangana"/>
    <s v="Hyderabad"/>
    <s v="Furniture"/>
    <x v="1"/>
    <x v="10"/>
    <s v="Max Bookcases 881"/>
    <x v="2"/>
    <s v="First Class"/>
    <n v="1"/>
    <n v="4199.54"/>
    <n v="0.05"/>
    <n v="3989.56"/>
    <n v="2381.38"/>
    <n v="1608.18"/>
    <s v="Paid"/>
    <x v="0"/>
    <m/>
    <m/>
    <m/>
    <m/>
    <m/>
    <x v="1"/>
    <m/>
    <m/>
  </r>
  <r>
    <s v="ORD-2025-10160"/>
    <x v="152"/>
    <s v="04-02-2025"/>
    <m/>
    <n v="0"/>
    <s v="CUST-7717"/>
    <s v="Priya Menon"/>
    <s v="Priya Menon"/>
    <s v="Corporate"/>
    <x v="2"/>
    <x v="0"/>
    <s v="Haryana"/>
    <s v="Gurugram"/>
    <s v="Furniture"/>
    <x v="1"/>
    <x v="4"/>
    <s v="Elite Chairs 998"/>
    <x v="1"/>
    <s v="Same Day"/>
    <n v="9"/>
    <n v="4430.5"/>
    <n v="0.15"/>
    <n v="33893.32"/>
    <n v="25750.35"/>
    <n v="8142.97"/>
    <s v="Pending"/>
    <x v="1"/>
    <m/>
    <m/>
    <m/>
    <m/>
    <m/>
    <x v="1"/>
    <m/>
    <m/>
  </r>
  <r>
    <s v="ORD-2025-10161"/>
    <x v="153"/>
    <s v="10/06/2025"/>
    <m/>
    <n v="0"/>
    <s v="CUST-4932"/>
    <s v="Vikram Iyer"/>
    <s v="Vikram Iyer"/>
    <s v="Small Business"/>
    <x v="1"/>
    <x v="3"/>
    <s v="Maharashtra"/>
    <s v="Mumbai"/>
    <s v="Office Supplies"/>
    <x v="0"/>
    <x v="0"/>
    <s v="Max Paper 113"/>
    <x v="0"/>
    <s v="Second Class"/>
    <n v="4"/>
    <n v="1260.42"/>
    <n v="0.05"/>
    <n v="4789.6000000000004"/>
    <n v="4037.64"/>
    <n v="751.96"/>
    <s v="Pending"/>
    <x v="1"/>
    <m/>
    <m/>
    <m/>
    <m/>
    <m/>
    <x v="1"/>
    <m/>
    <m/>
  </r>
  <r>
    <s v="ORD-2025-10162"/>
    <x v="154"/>
    <s v="30-07-2025"/>
    <m/>
    <n v="0"/>
    <s v="CUST-2367"/>
    <s v="Arjun Bose"/>
    <s v="Arjun Bose"/>
    <s v="Consumer"/>
    <x v="0"/>
    <x v="3"/>
    <s v="Rajasthan"/>
    <s v="Udaipur"/>
    <s v="Office Supplies"/>
    <x v="0"/>
    <x v="9"/>
    <s v="Smart Binders 267"/>
    <x v="3"/>
    <s v="Standard Class"/>
    <n v="1"/>
    <n v="1643.41"/>
    <n v="0"/>
    <n v="1643.41"/>
    <n v="907.4"/>
    <n v="736.01"/>
    <s v="Pending"/>
    <x v="1"/>
    <m/>
    <m/>
    <m/>
    <m/>
    <m/>
    <x v="1"/>
    <m/>
    <m/>
  </r>
  <r>
    <s v="ORD-2024-10163"/>
    <x v="155"/>
    <s v="14 Mar 2024"/>
    <m/>
    <n v="0"/>
    <s v="CUST-4830"/>
    <s v="Neha Gupta"/>
    <s v="Neha Gupta"/>
    <s v="Small Business"/>
    <x v="1"/>
    <x v="3"/>
    <s v="Goa"/>
    <s v="Panaji"/>
    <s v="Furniture"/>
    <x v="1"/>
    <x v="3"/>
    <s v="Pro Furnishings 108"/>
    <x v="0"/>
    <s v="Second Class"/>
    <n v="8"/>
    <n v="4472.84"/>
    <n v="0"/>
    <n v="35997.620000000003"/>
    <n v="26424.41"/>
    <n v="9358.31"/>
    <s v="Pending"/>
    <x v="2"/>
    <m/>
    <m/>
    <m/>
    <m/>
    <m/>
    <x v="1"/>
    <m/>
    <m/>
  </r>
  <r>
    <s v="ORD-2025-10164"/>
    <x v="156"/>
    <s v="26 Sep 2025"/>
    <m/>
    <n v="0"/>
    <s v="CUST-2548"/>
    <s v="Rohan Mehta"/>
    <s v="Rohan Mehta"/>
    <s v="Home Office"/>
    <x v="3"/>
    <x v="3"/>
    <s v="Gujarat"/>
    <s v="Ahmedabad"/>
    <s v="Furniture"/>
    <x v="1"/>
    <x v="1"/>
    <s v="Elite Tables 389"/>
    <x v="4"/>
    <s v=""/>
    <n v="6"/>
    <n v="2903.58"/>
    <n v="0.1"/>
    <n v="15679.33"/>
    <n v="12477.82"/>
    <n v="3201.51"/>
    <s v="Pending"/>
    <x v="2"/>
    <m/>
    <m/>
    <m/>
    <m/>
    <m/>
    <x v="1"/>
    <m/>
    <m/>
  </r>
  <r>
    <s v="ORD-2025-10165"/>
    <x v="157"/>
    <s v="09/14/2025"/>
    <m/>
    <n v="0"/>
    <s v="CUST-3833"/>
    <s v="Rahul Verma"/>
    <s v="Rahul Verma"/>
    <s v="Small Business"/>
    <x v="1"/>
    <x v="1"/>
    <s v="West Bengal"/>
    <s v="Kolkata"/>
    <s v="Furniture"/>
    <x v="1"/>
    <x v="10"/>
    <s v="Pro Bookcases 595"/>
    <x v="0"/>
    <s v="Second Class"/>
    <n v="1"/>
    <n v="3154.42"/>
    <n v="0.25"/>
    <n v="2365.8200000000002"/>
    <n v="1547.99"/>
    <n v="817.83"/>
    <s v="Paid"/>
    <x v="0"/>
    <m/>
    <m/>
    <m/>
    <m/>
    <m/>
    <x v="1"/>
    <m/>
    <m/>
  </r>
  <r>
    <s v="ORD-2024-10166"/>
    <x v="158"/>
    <s v="29-11-2024"/>
    <m/>
    <n v="0"/>
    <s v="CUST-4598"/>
    <s v="Mira Das"/>
    <s v="Mira Das"/>
    <s v="Home Office"/>
    <x v="3"/>
    <x v="1"/>
    <s v="Bihar"/>
    <s v="Patna"/>
    <s v="Furniture"/>
    <x v="1"/>
    <x v="4"/>
    <s v="Max Chairs 148"/>
    <x v="3"/>
    <s v="Standard Class"/>
    <n v="4"/>
    <n v="3422.99"/>
    <n v="0.25"/>
    <n v="10268.969999999999"/>
    <n v="6470.92"/>
    <n v="3798.05"/>
    <s v="Paid"/>
    <x v="0"/>
    <m/>
    <m/>
    <m/>
    <m/>
    <m/>
    <x v="1"/>
    <m/>
    <m/>
  </r>
  <r>
    <s v="ORD-2025-10167"/>
    <x v="159"/>
    <s v="26-02-2025"/>
    <m/>
    <n v="0"/>
    <s v="CUST-7215"/>
    <s v="Karan Malhotra"/>
    <s v="Karan Malhotra"/>
    <s v="Small Business"/>
    <x v="1"/>
    <x v="3"/>
    <s v="Gujarat"/>
    <s v="Ahmedabad"/>
    <s v="Office Supplies"/>
    <x v="0"/>
    <x v="7"/>
    <s v="Basic Labels 671"/>
    <x v="2"/>
    <s v="First Class"/>
    <n v="1"/>
    <n v="2557.85"/>
    <n v="0.2"/>
    <n v="2046.28"/>
    <n v="1449.54"/>
    <n v="596.74"/>
    <s v="Paid"/>
    <x v="0"/>
    <m/>
    <m/>
    <m/>
    <m/>
    <m/>
    <x v="1"/>
    <m/>
    <m/>
  </r>
  <r>
    <s v="ORD-2025-10168"/>
    <x v="160"/>
    <s v="08/18/2025"/>
    <m/>
    <n v="0"/>
    <s v="CUST-7770"/>
    <s v="Arjun Bose"/>
    <s v="Arjun Bose"/>
    <s v="Home Office"/>
    <x v="3"/>
    <x v="2"/>
    <s v="Karnataka"/>
    <s v="Bengaluru"/>
    <s v="Office Supplies"/>
    <x v="0"/>
    <x v="8"/>
    <s v="Elite Storage 628"/>
    <x v="2"/>
    <s v="First Class"/>
    <n v="9"/>
    <n v="3030.93"/>
    <n v="0.15"/>
    <n v="23186.61"/>
    <n v="17906.54"/>
    <n v="5280.07"/>
    <s v="Paid"/>
    <x v="2"/>
    <m/>
    <m/>
    <m/>
    <m/>
    <m/>
    <x v="1"/>
    <m/>
    <m/>
  </r>
  <r>
    <s v="ORD-2025-10169"/>
    <x v="161"/>
    <s v="23 Jan 2025"/>
    <m/>
    <n v="0"/>
    <s v="CUST-9756"/>
    <s v="Kabir Singh"/>
    <s v="Kabir Singh"/>
    <s v="Consumer"/>
    <x v="0"/>
    <x v="3"/>
    <s v="Maharashtra"/>
    <s v="Mumbai"/>
    <s v="Technology"/>
    <x v="2"/>
    <x v="5"/>
    <s v="Eco Accessories 590"/>
    <x v="1"/>
    <s v="Same Day"/>
    <n v="5"/>
    <n v="639.27"/>
    <n v="0.2"/>
    <n v="2557.08"/>
    <n v="2025.69"/>
    <n v="531.39"/>
    <s v="Paid"/>
    <x v="1"/>
    <m/>
    <m/>
    <m/>
    <m/>
    <m/>
    <x v="1"/>
    <m/>
    <m/>
  </r>
  <r>
    <s v="ORD-2025-10170"/>
    <x v="162"/>
    <s v="09/13/2025"/>
    <m/>
    <n v="0"/>
    <s v="CUST-2261"/>
    <s v="Diya Patel"/>
    <s v="Diya Patel"/>
    <s v="Consumer"/>
    <x v="0"/>
    <x v="1"/>
    <s v="Assam"/>
    <s v="Guwahati"/>
    <s v="Office Supplies"/>
    <x v="0"/>
    <x v="2"/>
    <s v="Pro Art 734"/>
    <x v="3"/>
    <s v="Standard Class"/>
    <n v="8"/>
    <n v="733.9"/>
    <n v="0.05"/>
    <n v="5577.64"/>
    <n v="3541.29"/>
    <n v="2036.35"/>
    <s v="Pending"/>
    <x v="2"/>
    <m/>
    <m/>
    <m/>
    <m/>
    <m/>
    <x v="1"/>
    <m/>
    <m/>
  </r>
  <r>
    <s v="ORD-2025-10171"/>
    <x v="9"/>
    <s v="09/15/2025"/>
    <m/>
    <n v="0"/>
    <s v="CUST-3734"/>
    <s v="Rohan Mehta"/>
    <s v="Rohan Mehta"/>
    <s v="Corporate"/>
    <x v="2"/>
    <x v="1"/>
    <s v="Bihar"/>
    <s v="Patna"/>
    <s v="Technology"/>
    <x v="2"/>
    <x v="6"/>
    <s v="Eco Copiers 102"/>
    <x v="3"/>
    <s v="Standard Class"/>
    <n v="3"/>
    <n v="1711.32"/>
    <n v="0"/>
    <n v="5133.96"/>
    <n v="3930"/>
    <n v="1203.96"/>
    <s v="Paid"/>
    <x v="0"/>
    <m/>
    <m/>
    <m/>
    <m/>
    <m/>
    <x v="1"/>
    <m/>
    <m/>
  </r>
  <r>
    <s v="ORD-2025-10172"/>
    <x v="7"/>
    <s v="02/25/2025"/>
    <m/>
    <n v="0"/>
    <s v="CUST-3436"/>
    <s v="Karan Malhotra"/>
    <s v="Karan Malhotra"/>
    <s v="Corporate"/>
    <x v="2"/>
    <x v="1"/>
    <s v="Bihar"/>
    <s v="Patna"/>
    <s v="Office Supplies"/>
    <x v="0"/>
    <x v="7"/>
    <s v="Basic Labels 876"/>
    <x v="1"/>
    <s v="Same Day"/>
    <n v="5"/>
    <n v="4246.2700000000004"/>
    <n v="0.25"/>
    <n v="15923.51"/>
    <n v="11291.8"/>
    <n v="4631.71"/>
    <s v="Paid"/>
    <x v="0"/>
    <m/>
    <m/>
    <m/>
    <m/>
    <m/>
    <x v="1"/>
    <m/>
    <m/>
  </r>
  <r>
    <s v="ORD-2025-10173"/>
    <x v="163"/>
    <s v="10-08-2025"/>
    <m/>
    <n v="0"/>
    <s v="CUST-4845"/>
    <s v="Karan Malhotra"/>
    <s v="Karan Malhotra"/>
    <s v="Corporate"/>
    <x v="2"/>
    <x v="0"/>
    <s v="Delhi"/>
    <s v="New Delhi"/>
    <s v="Furniture"/>
    <x v="1"/>
    <x v="3"/>
    <s v="Prime Furnishings 381"/>
    <x v="1"/>
    <s v="Same Day"/>
    <n v="9"/>
    <n v="2962.62"/>
    <n v="0.1"/>
    <n v="23997.22"/>
    <n v="16134.63"/>
    <n v="7862.59"/>
    <s v="Refunded"/>
    <x v="2"/>
    <m/>
    <m/>
    <m/>
    <m/>
    <m/>
    <x v="1"/>
    <m/>
    <m/>
  </r>
  <r>
    <s v="ORD-2024-10174"/>
    <x v="164"/>
    <s v="08 May 2024"/>
    <m/>
    <n v="0"/>
    <s v="CUST-6153"/>
    <s v="Priya Menon"/>
    <s v="Priya Menon"/>
    <s v="Home Office"/>
    <x v="3"/>
    <x v="0"/>
    <s v="Punjab"/>
    <s v="Ludhiana"/>
    <s v="Technology"/>
    <x v="2"/>
    <x v="6"/>
    <s v="Prime Copiers 440"/>
    <x v="0"/>
    <s v="Second Class"/>
    <n v="1"/>
    <n v="2312.25"/>
    <n v="0.25"/>
    <n v="1734.19"/>
    <n v="1386.07"/>
    <n v="348.12"/>
    <s v="Paid"/>
    <x v="0"/>
    <m/>
    <m/>
    <m/>
    <m/>
    <m/>
    <x v="1"/>
    <m/>
    <m/>
  </r>
  <r>
    <s v="ORD-2025-10175"/>
    <x v="165"/>
    <s v="04-10-2025"/>
    <m/>
    <n v="0"/>
    <s v="CUST-5475"/>
    <s v="Karan Malhotra"/>
    <s v="Karan Malhotra"/>
    <s v="Small Business"/>
    <x v="1"/>
    <x v="2"/>
    <s v="Karnataka"/>
    <s v="Bengaluru"/>
    <s v="Furniture"/>
    <x v="1"/>
    <x v="10"/>
    <s v="Pro Bookcases 319"/>
    <x v="2"/>
    <s v="First Class"/>
    <n v="6"/>
    <n v="1620.53"/>
    <n v="0.15"/>
    <n v="8264.7000000000007"/>
    <n v="4768.75"/>
    <n v="3495.95"/>
    <s v="Pending"/>
    <x v="2"/>
    <m/>
    <m/>
    <m/>
    <m/>
    <m/>
    <x v="1"/>
    <m/>
    <m/>
  </r>
  <r>
    <s v="ORD-2024-10176"/>
    <x v="124"/>
    <s v="2024-02-03"/>
    <m/>
    <n v="0"/>
    <s v="CUST-5580"/>
    <s v="Arjun Bose"/>
    <s v="Arjun Bose"/>
    <s v="Small Business"/>
    <x v="1"/>
    <x v="1"/>
    <s v="Bihar"/>
    <s v="Patna"/>
    <s v="Technology"/>
    <x v="2"/>
    <x v="12"/>
    <s v="Basic Machines 584"/>
    <x v="1"/>
    <s v="Same Day"/>
    <n v="7"/>
    <n v="2673.42"/>
    <n v="0.15"/>
    <n v="15906.85"/>
    <n v="11014.46"/>
    <n v="4892.3900000000003"/>
    <s v="Paid"/>
    <x v="2"/>
    <m/>
    <m/>
    <m/>
    <m/>
    <m/>
    <x v="1"/>
    <m/>
    <m/>
  </r>
  <r>
    <s v="ORD-2025-10177"/>
    <x v="166"/>
    <s v="03/26/2025"/>
    <m/>
    <n v="0"/>
    <s v="CUST-3027"/>
    <s v="Vikram Iyer"/>
    <s v="Vikram Iyer"/>
    <s v="Corporate"/>
    <x v="2"/>
    <x v="1"/>
    <s v="Jharkhand"/>
    <s v="Ranchi"/>
    <s v="Furniture"/>
    <x v="1"/>
    <x v="10"/>
    <s v="Pro Bookcases 612"/>
    <x v="3"/>
    <s v="Standard Class"/>
    <n v="8"/>
    <n v="3563.09"/>
    <n v="0.15"/>
    <n v="24229.01"/>
    <n v="13910.64"/>
    <n v="10318.370000000001"/>
    <s v="Paid"/>
    <x v="0"/>
    <m/>
    <m/>
    <m/>
    <m/>
    <m/>
    <x v="1"/>
    <m/>
    <m/>
  </r>
  <r>
    <s v="ORD-2024-10178"/>
    <x v="167"/>
    <s v="06/03/2024"/>
    <s v="Invalid"/>
    <s v=""/>
    <s v="CUST-4399"/>
    <s v="Sneha Kapoor"/>
    <s v="Sneha Kapoor"/>
    <s v="Home Office"/>
    <x v="3"/>
    <x v="1"/>
    <s v="Bihar"/>
    <s v="Patna"/>
    <s v="Office Supplies"/>
    <x v="0"/>
    <x v="2"/>
    <s v="Classic Art 573"/>
    <x v="1"/>
    <s v="Same Day"/>
    <n v="8"/>
    <n v="3879.95"/>
    <n v="0"/>
    <n v="31039.599999999999"/>
    <n v="20866.72"/>
    <n v="10172.879999999999"/>
    <s v="Paid"/>
    <x v="0"/>
    <m/>
    <m/>
    <m/>
    <m/>
    <m/>
    <x v="1"/>
    <m/>
    <m/>
  </r>
  <r>
    <s v="ORD-2024-10179"/>
    <x v="168"/>
    <s v="2024-09-30"/>
    <m/>
    <n v="0"/>
    <s v="CUST-3092"/>
    <s v="Isha Nair"/>
    <s v="Isha Nair"/>
    <s v="Corporate"/>
    <x v="2"/>
    <x v="2"/>
    <s v="Telangana"/>
    <s v="Hyderabad"/>
    <s v="Office Supplies"/>
    <x v="0"/>
    <x v="2"/>
    <s v="Eco Art 854"/>
    <x v="3"/>
    <s v="Standard Class"/>
    <n v="4"/>
    <n v="3281.74"/>
    <n v="0"/>
    <n v="13126.96"/>
    <n v="10732.44"/>
    <n v="2394.52"/>
    <s v="Paid"/>
    <x v="0"/>
    <m/>
    <m/>
    <m/>
    <m/>
    <m/>
    <x v="1"/>
    <m/>
    <m/>
  </r>
  <r>
    <s v="ORD-2024-10180"/>
    <x v="169"/>
    <s v="03/19/2024"/>
    <m/>
    <n v="0"/>
    <s v="CUST-1778"/>
    <s v="Ananya Rao"/>
    <s v="Ananya Rao"/>
    <s v="Small Business"/>
    <x v="1"/>
    <x v="2"/>
    <s v="Tamil Nadu"/>
    <s v="Chennai"/>
    <s v="Furniture"/>
    <x v="1"/>
    <x v="3"/>
    <s v="Classic Furnishings 996"/>
    <x v="3"/>
    <s v="Standard Class"/>
    <n v="4"/>
    <n v="3186.3"/>
    <n v="0.25"/>
    <n v="9558.9"/>
    <n v="5516.76"/>
    <n v="4042.14"/>
    <s v="Refunded"/>
    <x v="2"/>
    <m/>
    <m/>
    <m/>
    <m/>
    <m/>
    <x v="1"/>
    <m/>
    <m/>
  </r>
  <r>
    <s v="ORD-2024-10181"/>
    <x v="170"/>
    <s v="26-08-2024"/>
    <m/>
    <n v="0"/>
    <s v="CUST-3787"/>
    <s v="Mira Das"/>
    <s v="Mira Das"/>
    <s v="Home Office"/>
    <x v="3"/>
    <x v="0"/>
    <s v="Uttar Pradesh"/>
    <s v="Noida"/>
    <s v="Office Supplies"/>
    <x v="0"/>
    <x v="9"/>
    <s v="Prime Binders 735"/>
    <x v="2"/>
    <s v="First Class"/>
    <n v="7"/>
    <n v="844.59"/>
    <n v="0.1"/>
    <n v="5320.92"/>
    <n v="3041.5"/>
    <n v="2279.42"/>
    <s v="Paid"/>
    <x v="0"/>
    <m/>
    <m/>
    <m/>
    <m/>
    <m/>
    <x v="1"/>
    <m/>
    <m/>
  </r>
  <r>
    <s v="ORD-2025-10182"/>
    <x v="171"/>
    <s v="10-09-2025"/>
    <m/>
    <n v="0"/>
    <s v="CUST-5119"/>
    <s v="Priya Menon"/>
    <s v="Priya Menon"/>
    <s v="Home Office"/>
    <x v="3"/>
    <x v="2"/>
    <s v="Tamil Nadu"/>
    <s v="Chennai"/>
    <s v="Office Supplies"/>
    <x v="0"/>
    <x v="2"/>
    <s v="Pro Art 587"/>
    <x v="0"/>
    <s v="Second Class"/>
    <n v="4"/>
    <n v="2551.4499999999998"/>
    <n v="0"/>
    <n v="10205.799999999999"/>
    <n v="5986.31"/>
    <n v="4219.49"/>
    <s v="Paid"/>
    <x v="0"/>
    <m/>
    <m/>
    <m/>
    <m/>
    <m/>
    <x v="1"/>
    <m/>
    <m/>
  </r>
  <r>
    <s v="ORD-2024-10183"/>
    <x v="172"/>
    <s v="16 Oct 2024"/>
    <m/>
    <n v="0"/>
    <s v="CUST-4121"/>
    <s v="Ananya Rao"/>
    <s v="Ananya Rao"/>
    <s v="Home Office"/>
    <x v="3"/>
    <x v="1"/>
    <s v="Bihar"/>
    <s v="Patna"/>
    <s v="Technology"/>
    <x v="2"/>
    <x v="12"/>
    <s v="Basic Machines 575"/>
    <x v="3"/>
    <s v="Standard Class"/>
    <n v="7"/>
    <n v="775.77"/>
    <n v="0"/>
    <n v="5430.39"/>
    <n v="3707.66"/>
    <n v="1722.73"/>
    <s v="Paid"/>
    <x v="0"/>
    <m/>
    <m/>
    <m/>
    <m/>
    <m/>
    <x v="1"/>
    <m/>
    <m/>
  </r>
  <r>
    <s v="ORD-2025-10184"/>
    <x v="173"/>
    <s v="27-06-2025"/>
    <m/>
    <n v="0"/>
    <s v="CUST-3366"/>
    <s v="Vikram Iyer"/>
    <s v="Vikram Iyer"/>
    <s v="Home Office"/>
    <x v="3"/>
    <x v="2"/>
    <s v="Telangana"/>
    <s v="Hyderabad"/>
    <s v="Technology"/>
    <x v="2"/>
    <x v="6"/>
    <s v="Elite Copiers 788"/>
    <x v="3"/>
    <s v="Standard Class"/>
    <n v="7"/>
    <n v="2304.86"/>
    <n v="0.2"/>
    <n v="12907.22"/>
    <n v="8327.89"/>
    <n v="4579.33"/>
    <s v="Paid"/>
    <x v="2"/>
    <m/>
    <m/>
    <m/>
    <m/>
    <m/>
    <x v="1"/>
    <m/>
    <m/>
  </r>
  <r>
    <s v="ORD-2024-10185"/>
    <x v="174"/>
    <s v="2024-04-06"/>
    <m/>
    <n v="0"/>
    <s v="CUST-1358"/>
    <s v="Vikram Iyer"/>
    <s v="Vikram Iyer"/>
    <s v="Corporate"/>
    <x v="2"/>
    <x v="3"/>
    <s v="Madhya Pradesh"/>
    <s v="Indore"/>
    <s v="Furniture"/>
    <x v="1"/>
    <x v="10"/>
    <s v="Max Bookcases 472"/>
    <x v="3"/>
    <s v="Standard Class"/>
    <n v="2"/>
    <n v="888.98"/>
    <n v="0"/>
    <n v="1777.96"/>
    <n v="1021.16"/>
    <n v="756.8"/>
    <s v="Refunded"/>
    <x v="2"/>
    <m/>
    <m/>
    <m/>
    <m/>
    <m/>
    <x v="1"/>
    <m/>
    <m/>
  </r>
  <r>
    <s v="ORD-2024-10186"/>
    <x v="8"/>
    <s v="2024-11-13"/>
    <s v="Invalid"/>
    <s v=""/>
    <s v="CUST-4968"/>
    <s v="Arjun Bose"/>
    <s v="Arjun Bose"/>
    <s v="Consumer"/>
    <x v="0"/>
    <x v="0"/>
    <s v="Punjab"/>
    <s v="Ludhiana"/>
    <s v="Office Supplies"/>
    <x v="0"/>
    <x v="7"/>
    <s v="Smart Labels 475"/>
    <x v="0"/>
    <s v="Second Class"/>
    <n v="2"/>
    <n v="1003.17"/>
    <n v="0.2"/>
    <n v="1605.07"/>
    <n v="1337.28"/>
    <n v="267.79000000000002"/>
    <s v="Paid"/>
    <x v="0"/>
    <m/>
    <m/>
    <m/>
    <m/>
    <m/>
    <x v="1"/>
    <m/>
    <m/>
  </r>
  <r>
    <s v="ORD-2024-10187"/>
    <x v="44"/>
    <s v="20 Jul 2024"/>
    <m/>
    <n v="0"/>
    <s v="CUST-2778"/>
    <s v="Vikram Iyer"/>
    <s v="Vikram Iyer"/>
    <s v="Consumer"/>
    <x v="0"/>
    <x v="2"/>
    <s v="Tamil Nadu"/>
    <s v="Chennai"/>
    <s v="Furniture"/>
    <x v="1"/>
    <x v="1"/>
    <s v="Basic Tables 417"/>
    <x v="2"/>
    <s v="First Class"/>
    <n v="7"/>
    <n v="3608.43"/>
    <n v="0.05"/>
    <n v="23996.06"/>
    <n v="20167.28"/>
    <n v="3828.78"/>
    <s v="Paid"/>
    <x v="0"/>
    <m/>
    <m/>
    <m/>
    <m/>
    <m/>
    <x v="1"/>
    <m/>
    <m/>
  </r>
  <r>
    <s v="ORD-2025-10188"/>
    <x v="175"/>
    <s v="02 May 2025"/>
    <m/>
    <n v="0"/>
    <s v="CUST-3109"/>
    <s v="Mira Das"/>
    <s v="Mira Das"/>
    <s v="Consumer"/>
    <x v="0"/>
    <x v="3"/>
    <s v="Madhya Pradesh"/>
    <s v="Indore"/>
    <s v="Furniture"/>
    <x v="1"/>
    <x v="4"/>
    <s v="Pro Chairs 844"/>
    <x v="1"/>
    <s v="Same Day"/>
    <n v="3"/>
    <n v="2905.74"/>
    <n v="0"/>
    <n v="8717.2199999999993"/>
    <n v="6215.96"/>
    <n v="2501.2600000000002"/>
    <s v="Paid"/>
    <x v="2"/>
    <m/>
    <m/>
    <m/>
    <m/>
    <m/>
    <x v="1"/>
    <m/>
    <m/>
  </r>
  <r>
    <s v="ORD-2025-10189"/>
    <x v="176"/>
    <s v="28 May 2025"/>
    <m/>
    <n v="0"/>
    <s v="CUST-3422"/>
    <s v="Priya Menon"/>
    <s v="Priya Menon"/>
    <s v="Corporate"/>
    <x v="2"/>
    <x v="1"/>
    <s v="West Bengal"/>
    <s v="Kolkata"/>
    <s v="Furniture"/>
    <x v="1"/>
    <x v="10"/>
    <s v="Elite Bookcases 883"/>
    <x v="1"/>
    <s v="Same Day"/>
    <n v="2"/>
    <n v="3559.57"/>
    <n v="0.1"/>
    <n v="6553.95"/>
    <n v="4923.09"/>
    <n v="1484.14"/>
    <s v="Paid"/>
    <x v="0"/>
    <m/>
    <m/>
    <m/>
    <m/>
    <m/>
    <x v="1"/>
    <m/>
    <m/>
  </r>
  <r>
    <s v="ORD-2025-10190"/>
    <x v="177"/>
    <s v="07 May 2025"/>
    <m/>
    <n v="0"/>
    <s v="CUST-3375"/>
    <s v="Arjun Bose"/>
    <s v="Arjun Bose"/>
    <s v="Consumer"/>
    <x v="0"/>
    <x v="3"/>
    <s v="Rajasthan"/>
    <s v="Udaipur"/>
    <s v="Furniture"/>
    <x v="1"/>
    <x v="10"/>
    <s v="Basic Bookcases 754"/>
    <x v="2"/>
    <s v="First Class"/>
    <n v="9"/>
    <n v="3318.24"/>
    <m/>
    <n v="25384.54"/>
    <n v="16872.39"/>
    <n v="8512.15"/>
    <s v="Paid"/>
    <x v="0"/>
    <m/>
    <m/>
    <m/>
    <m/>
    <m/>
    <x v="1"/>
    <m/>
    <m/>
  </r>
  <r>
    <s v="ORD-2025-10191"/>
    <x v="178"/>
    <s v="04/21/2025"/>
    <m/>
    <n v="0"/>
    <s v="CUST-5138"/>
    <s v="Aditi Sen"/>
    <s v="Aditi Sen"/>
    <s v="Consumer"/>
    <x v="0"/>
    <x v="2"/>
    <s v="Tamil Nadu"/>
    <s v="Chennai"/>
    <s v="Office Supplies"/>
    <x v="0"/>
    <x v="8"/>
    <s v="Eco Storage 158"/>
    <x v="2"/>
    <s v="First Class"/>
    <n v="3"/>
    <n v="540.09"/>
    <n v="0.1"/>
    <n v="1458.24"/>
    <n v="943.32"/>
    <n v="514.91999999999996"/>
    <s v="Paid"/>
    <x v="0"/>
    <m/>
    <m/>
    <m/>
    <m/>
    <m/>
    <x v="1"/>
    <m/>
    <m/>
  </r>
  <r>
    <s v="ORD-2024-10192"/>
    <x v="179"/>
    <s v="2024-10-24"/>
    <m/>
    <n v="0"/>
    <s v="CUST-7410"/>
    <s v="Sneha Kapoor"/>
    <s v="Sneha Kapoor"/>
    <s v="Small Business"/>
    <x v="1"/>
    <x v="2"/>
    <s v="Tamil Nadu"/>
    <s v="Chennai"/>
    <s v="Furniture"/>
    <x v="1"/>
    <x v="10"/>
    <s v="Prime Bookcases 602"/>
    <x v="0"/>
    <s v="Second Class"/>
    <n v="6"/>
    <n v="4308.3999999999996"/>
    <n v="0.65"/>
    <n v="25850.400000000001"/>
    <n v="19397.68"/>
    <n v="6452.72"/>
    <s v="Paid"/>
    <x v="0"/>
    <m/>
    <m/>
    <m/>
    <m/>
    <m/>
    <x v="1"/>
    <m/>
    <m/>
  </r>
  <r>
    <s v="ORD-2024-10193"/>
    <x v="180"/>
    <s v="12/16/2024"/>
    <m/>
    <n v="0"/>
    <s v="CUST-7115"/>
    <s v="Isha Nair"/>
    <s v="Isha Nair"/>
    <s v="Home Office"/>
    <x v="3"/>
    <x v="3"/>
    <s v="Gujarat"/>
    <s v="Ahmedabad"/>
    <s v="Furniture"/>
    <x v="1"/>
    <x v="4"/>
    <s v="Eco Chairs 438"/>
    <x v="2"/>
    <s v="First Class"/>
    <n v="4"/>
    <n v="2191.0300000000002"/>
    <n v="0"/>
    <n v="8764.1200000000008"/>
    <n v="7220.05"/>
    <n v="1544.07"/>
    <s v="Paid"/>
    <x v="0"/>
    <m/>
    <m/>
    <m/>
    <m/>
    <m/>
    <x v="1"/>
    <m/>
    <m/>
  </r>
  <r>
    <s v="ORD-2024-10194"/>
    <x v="181"/>
    <s v="28-06-2024"/>
    <m/>
    <n v="0"/>
    <s v="CUST-9853"/>
    <s v="Priya Menon"/>
    <s v="Priya Menon"/>
    <s v="Small Business"/>
    <x v="1"/>
    <x v="0"/>
    <s v="Punjab"/>
    <s v="Ludhiana"/>
    <s v="Technology"/>
    <x v="2"/>
    <x v="6"/>
    <s v="Prime Copiers 142"/>
    <x v="1"/>
    <s v="Same Day"/>
    <n v="6"/>
    <n v="1956.63"/>
    <n v="0.2"/>
    <n v="9391.82"/>
    <n v="6013.22"/>
    <n v="3378.6"/>
    <s v="Refunded"/>
    <x v="2"/>
    <m/>
    <m/>
    <m/>
    <m/>
    <m/>
    <x v="1"/>
    <m/>
    <m/>
  </r>
  <r>
    <s v="ORD-2025-10195"/>
    <x v="182"/>
    <s v="01/31/2025"/>
    <m/>
    <n v="0"/>
    <s v="CUST-3637"/>
    <s v="Priya Menon"/>
    <s v="Priya Menon"/>
    <s v="Consumer"/>
    <x v="0"/>
    <x v="3"/>
    <s v="Maharashtra"/>
    <s v="Mumbai"/>
    <s v="Furniture"/>
    <x v="1"/>
    <x v="3"/>
    <s v="Prime Furnishings 433"/>
    <x v="2"/>
    <s v="First Class"/>
    <n v="9"/>
    <n v="858.39"/>
    <n v="0.05"/>
    <n v="7339.23"/>
    <n v="5434.12"/>
    <n v="1905.11"/>
    <s v="Pending"/>
    <x v="2"/>
    <m/>
    <m/>
    <m/>
    <m/>
    <m/>
    <x v="1"/>
    <m/>
    <m/>
  </r>
  <r>
    <s v="ORD-2025-10196"/>
    <x v="183"/>
    <s v="07/24/2025"/>
    <m/>
    <n v="0"/>
    <s v="CUST-4328"/>
    <s v="Neha Gupta"/>
    <s v="Neha Gupta"/>
    <s v="Home Office"/>
    <x v="3"/>
    <x v="2"/>
    <s v="Andhra Pradesh"/>
    <s v="Vijayawada"/>
    <s v="Furniture"/>
    <x v="1"/>
    <x v="3"/>
    <s v="Smart Furnishings 685"/>
    <x v="1"/>
    <s v="Same Day"/>
    <n v="5"/>
    <n v="1922.83"/>
    <n v="0"/>
    <n v="9614.15"/>
    <n v="7576.84"/>
    <n v="2037.31"/>
    <s v="Paid"/>
    <x v="0"/>
    <m/>
    <m/>
    <m/>
    <m/>
    <m/>
    <x v="1"/>
    <m/>
    <m/>
  </r>
  <r>
    <s v="ORD-2024-10197"/>
    <x v="184"/>
    <s v="25 Jan 2024"/>
    <m/>
    <n v="0"/>
    <s v="CUST-8028"/>
    <s v="Kabir Singh"/>
    <s v="Kabir Singh"/>
    <s v="Home Office"/>
    <x v="3"/>
    <x v="0"/>
    <s v="Uttar Pradesh"/>
    <s v="Noida"/>
    <s v="Office Supplies"/>
    <x v="0"/>
    <x v="8"/>
    <s v="Elite Storage 915"/>
    <x v="2"/>
    <s v="First Class"/>
    <n v="3"/>
    <n v="1212.03"/>
    <n v="0.1"/>
    <n v="3272.48"/>
    <n v="2517.44"/>
    <n v="755.04"/>
    <s v="Paid"/>
    <x v="0"/>
    <m/>
    <m/>
    <m/>
    <m/>
    <m/>
    <x v="1"/>
    <m/>
    <m/>
  </r>
  <r>
    <s v="ORD-2025-10198"/>
    <x v="51"/>
    <s v="07-04-2025"/>
    <m/>
    <n v="0"/>
    <s v="CUST-6106"/>
    <s v="Rahul Verma"/>
    <s v="Rahul Verma"/>
    <s v="Small  Business"/>
    <x v="1"/>
    <x v="1"/>
    <s v="Bihar"/>
    <s v="Patna"/>
    <s v="Office Supplies"/>
    <x v="0"/>
    <x v="8"/>
    <s v="Basic Storage 961"/>
    <x v="0"/>
    <s v="Second Class"/>
    <n v="5"/>
    <n v="4096.4399999999996"/>
    <n v="0.15"/>
    <n v="17409.87"/>
    <n v="14076.25"/>
    <n v="3333.62"/>
    <s v="Paid"/>
    <x v="0"/>
    <m/>
    <m/>
    <m/>
    <m/>
    <m/>
    <x v="1"/>
    <m/>
    <m/>
  </r>
  <r>
    <s v="ORD-2024-10199"/>
    <x v="185"/>
    <s v="06/06/2024"/>
    <m/>
    <n v="0"/>
    <s v="CUST-7820"/>
    <s v="Sneha Kapoor"/>
    <s v="Sneha Kapoor"/>
    <s v="Consumer"/>
    <x v="0"/>
    <x v="3"/>
    <s v="Gujarat"/>
    <s v="Ahmedabad"/>
    <s v="Office Supplies"/>
    <x v="0"/>
    <x v="2"/>
    <s v="Classic Art 968"/>
    <x v="0"/>
    <s v="Second Class"/>
    <n v="1"/>
    <n v="1184.58"/>
    <n v="0.05"/>
    <n v="1125.3499999999999"/>
    <n v="676.97"/>
    <n v="448.38"/>
    <s v="Failed"/>
    <x v="1"/>
    <m/>
    <m/>
    <m/>
    <m/>
    <m/>
    <x v="1"/>
    <m/>
    <m/>
  </r>
  <r>
    <s v="ORD-2024-10200"/>
    <x v="39"/>
    <s v="12-03-2024"/>
    <m/>
    <n v="0"/>
    <s v="CUST-4536"/>
    <s v="Rahul Verma"/>
    <s v="Rahul Verma"/>
    <s v="Home Office"/>
    <x v="3"/>
    <x v="1"/>
    <s v="Bihar"/>
    <s v="Patna"/>
    <s v="Technology"/>
    <x v="2"/>
    <x v="12"/>
    <s v="Prime Machines 806"/>
    <x v="4"/>
    <s v=""/>
    <n v="6"/>
    <n v="2185.58"/>
    <n v="0.25"/>
    <n v="9835.11"/>
    <n v="5437.64"/>
    <n v="4397.47"/>
    <s v="Paid"/>
    <x v="0"/>
    <m/>
    <m/>
    <m/>
    <m/>
    <m/>
    <x v="1"/>
    <m/>
    <m/>
  </r>
  <r>
    <s v="ORD-2025-10201"/>
    <x v="186"/>
    <s v="05 Jul 2025"/>
    <m/>
    <n v="0"/>
    <s v="CUST-7047"/>
    <s v="Priya Menon"/>
    <s v="Priya Menon"/>
    <s v="Small Business"/>
    <x v="1"/>
    <x v="0"/>
    <s v="Rajasthan"/>
    <s v="Jaipur"/>
    <s v="Technology"/>
    <x v="2"/>
    <x v="6"/>
    <s v="Classic Copiers 479"/>
    <x v="2"/>
    <s v="First Class"/>
    <n v="5"/>
    <n v="2868.44"/>
    <n v="0.1"/>
    <n v="12907.98"/>
    <n v="9197.08"/>
    <n v="3710.9"/>
    <s v="Pending"/>
    <x v="1"/>
    <m/>
    <m/>
    <m/>
    <m/>
    <m/>
    <x v="1"/>
    <m/>
    <m/>
  </r>
  <r>
    <s v="ORD-2025-10202"/>
    <x v="187"/>
    <s v="08/03/2025"/>
    <m/>
    <n v="0"/>
    <s v="CUST-8005"/>
    <s v="Vikram Iyer"/>
    <s v="Vikram Iyer"/>
    <s v="Consumer"/>
    <x v="0"/>
    <x v="3"/>
    <s v="Madhya Pradesh"/>
    <s v="Indore"/>
    <s v="Office Supplies"/>
    <x v="0"/>
    <x v="7"/>
    <s v="Basic Labels 511"/>
    <x v="0"/>
    <s v="Second Class"/>
    <n v="2"/>
    <n v="2503.5300000000002"/>
    <n v="-0.16"/>
    <n v="4756.71"/>
    <n v="2954.86"/>
    <n v="1801.85"/>
    <s v="Refunded"/>
    <x v="1"/>
    <m/>
    <m/>
    <m/>
    <m/>
    <m/>
    <x v="1"/>
    <m/>
    <m/>
  </r>
  <r>
    <s v="ORD-2025-10203"/>
    <x v="188"/>
    <s v="28 Mar 2025"/>
    <m/>
    <n v="0"/>
    <s v="CUST-9378"/>
    <s v="Sneha Kapoor"/>
    <s v="Sneha Kapoor"/>
    <s v="Corporate"/>
    <x v="2"/>
    <x v="3"/>
    <s v="Goa"/>
    <s v="Panaji"/>
    <s v="Technology"/>
    <x v="2"/>
    <x v="5"/>
    <s v="Prime Accessories 733"/>
    <x v="3"/>
    <s v="Standard Class"/>
    <n v="8"/>
    <n v="1740.94"/>
    <n v="0.05"/>
    <n v="13231.14"/>
    <n v="11290.06"/>
    <n v="1941.08"/>
    <s v="Paid"/>
    <x v="0"/>
    <m/>
    <m/>
    <m/>
    <m/>
    <m/>
    <x v="1"/>
    <m/>
    <m/>
  </r>
  <r>
    <s v="ORD-2024-10204"/>
    <x v="189"/>
    <s v="2024-03-30"/>
    <m/>
    <n v="0"/>
    <s v="CUST-3384"/>
    <s v="Sneha Kapoor"/>
    <s v="Sneha Kapoor"/>
    <s v="Corporate"/>
    <x v="2"/>
    <x v="3"/>
    <s v="Rajasthan"/>
    <s v="Udaipur"/>
    <s v="Technology"/>
    <x v="2"/>
    <x v="5"/>
    <s v="Max Accessories 186"/>
    <x v="0"/>
    <s v="Second Class"/>
    <n v="1"/>
    <n v="570.34"/>
    <n v="0.15"/>
    <n v="484.79"/>
    <n v="333.54"/>
    <n v="151.25"/>
    <s v="Paid"/>
    <x v="0"/>
    <m/>
    <m/>
    <m/>
    <m/>
    <m/>
    <x v="1"/>
    <m/>
    <m/>
  </r>
  <r>
    <s v="ORD-2025-10205"/>
    <x v="190"/>
    <s v="2025-07-23"/>
    <m/>
    <n v="0"/>
    <s v="CUST-1986"/>
    <s v="Mira Das"/>
    <s v="Mira Das"/>
    <s v="Home Office"/>
    <x v="3"/>
    <x v="1"/>
    <s v="West Bengal"/>
    <s v="Kolkata"/>
    <s v="Furniture"/>
    <x v="1"/>
    <x v="1"/>
    <s v="Elite Tables 318"/>
    <x v="0"/>
    <s v="Second Class"/>
    <n v="4"/>
    <n v="477.69"/>
    <n v="0.15"/>
    <n v="1624.15"/>
    <n v="1217.99"/>
    <n v="406.16"/>
    <s v="Paid"/>
    <x v="0"/>
    <m/>
    <m/>
    <m/>
    <m/>
    <m/>
    <x v="1"/>
    <m/>
    <m/>
  </r>
  <r>
    <s v="ORD-2025-10206"/>
    <x v="191"/>
    <s v="04/26/2025"/>
    <m/>
    <n v="0"/>
    <s v="CUST-3338"/>
    <s v="Ananya Rao"/>
    <s v="Ananya Rao"/>
    <s v="Consumer"/>
    <x v="0"/>
    <x v="3"/>
    <s v="Maharashtra"/>
    <s v="Mumbai"/>
    <s v="Office Supplies"/>
    <x v="0"/>
    <x v="7"/>
    <s v="Smart Labels 354"/>
    <x v="1"/>
    <s v="Same Day"/>
    <n v="6"/>
    <n v="873.59"/>
    <n v="0.2"/>
    <n v="4193.2299999999996"/>
    <n v="3329.99"/>
    <n v="863.24"/>
    <s v="Paid"/>
    <x v="0"/>
    <m/>
    <m/>
    <m/>
    <m/>
    <m/>
    <x v="1"/>
    <m/>
    <m/>
  </r>
  <r>
    <s v="ORD-2025-10207"/>
    <x v="192"/>
    <s v="20 May 2025"/>
    <m/>
    <n v="0"/>
    <s v="CUST-2343"/>
    <s v="Diya Patel"/>
    <s v="Diya Patel"/>
    <s v="Small Business"/>
    <x v="1"/>
    <x v="0"/>
    <s v="Uttar Pradesh"/>
    <s v="Noida"/>
    <s v="Furniture"/>
    <x v="1"/>
    <x v="3"/>
    <s v="Pro Furnishings 981"/>
    <x v="2"/>
    <s v="First Class"/>
    <n v="2"/>
    <n v="215.13"/>
    <n v="0"/>
    <n v="430.26"/>
    <n v="286.38"/>
    <n v="143.88"/>
    <s v="Paid"/>
    <x v="0"/>
    <m/>
    <m/>
    <m/>
    <m/>
    <m/>
    <x v="1"/>
    <m/>
    <m/>
  </r>
  <r>
    <s v="ORD-2024-10208"/>
    <x v="193"/>
    <s v="2024-07-16"/>
    <m/>
    <n v="0"/>
    <s v="CUST-3362"/>
    <s v="Aarav Sharma"/>
    <s v="Aarav Sharma"/>
    <s v="Home Office"/>
    <x v="3"/>
    <x v="3"/>
    <s v="Goa"/>
    <s v="Panaji"/>
    <s v="Furniture"/>
    <x v="1"/>
    <x v="10"/>
    <s v="Eco Bookcases 671"/>
    <x v="0"/>
    <s v="Second Class"/>
    <n v="2"/>
    <n v="1095.45"/>
    <n v="0.2"/>
    <n v="1752.72"/>
    <n v="996.41"/>
    <n v="756.31"/>
    <s v="Paid"/>
    <x v="0"/>
    <m/>
    <m/>
    <m/>
    <m/>
    <m/>
    <x v="1"/>
    <m/>
    <m/>
  </r>
  <r>
    <s v="ORD-2025-10209"/>
    <x v="194"/>
    <s v="05-07-2025"/>
    <m/>
    <n v="0"/>
    <s v="CUST-3662"/>
    <s v="Diya Patel"/>
    <s v="Diya Patel"/>
    <s v="Consumer"/>
    <x v="0"/>
    <x v="0"/>
    <s v="Punjab"/>
    <s v="Ludhiana"/>
    <s v="Furniture"/>
    <x v="1"/>
    <x v="4"/>
    <s v="Max Chairs 151"/>
    <x v="1"/>
    <s v="Same Day"/>
    <n v="1"/>
    <n v="999.83"/>
    <n v="0"/>
    <n v="999.83"/>
    <n v="634.91"/>
    <n v="364.92"/>
    <s v="Paid"/>
    <x v="0"/>
    <m/>
    <m/>
    <m/>
    <m/>
    <m/>
    <x v="1"/>
    <m/>
    <m/>
  </r>
  <r>
    <s v="ORD-2025-10210"/>
    <x v="195"/>
    <s v="08/14/2025"/>
    <m/>
    <n v="0"/>
    <s v="CUST-4947"/>
    <s v="Rohan Mehta"/>
    <s v="Rohan Mehta"/>
    <s v="Small Business"/>
    <x v="1"/>
    <x v="2"/>
    <s v="Andhra Pradesh"/>
    <s v="Vijayawada"/>
    <s v="Office Supplies"/>
    <x v="0"/>
    <x v="0"/>
    <s v="Prime Paper 903"/>
    <x v="2"/>
    <s v="First Class"/>
    <n v="9"/>
    <n v="864.98"/>
    <n v="0.1"/>
    <n v="7006.34"/>
    <n v="4640.88"/>
    <n v="2365.46"/>
    <s v="Paid"/>
    <x v="0"/>
    <m/>
    <m/>
    <m/>
    <m/>
    <m/>
    <x v="1"/>
    <m/>
    <m/>
  </r>
  <r>
    <s v="ORD-2024-10211"/>
    <x v="196"/>
    <s v="18-03-2024"/>
    <m/>
    <n v="0"/>
    <s v="CUST-3076"/>
    <s v="Kabir Singh"/>
    <s v="Kabir Singh"/>
    <s v="Home Office"/>
    <x v="3"/>
    <x v="2"/>
    <s v="Karnataka"/>
    <s v="Bengaluru"/>
    <s v="Technology"/>
    <x v="2"/>
    <x v="12"/>
    <s v="Classic Machines 944"/>
    <x v="0"/>
    <s v="Second Class"/>
    <n v="1"/>
    <n v="4131.3599999999997"/>
    <n v="0"/>
    <n v="4131.3599999999997"/>
    <n v="2937.07"/>
    <n v="1194.29"/>
    <s v="Failed"/>
    <x v="2"/>
    <m/>
    <m/>
    <m/>
    <m/>
    <m/>
    <x v="1"/>
    <m/>
    <m/>
  </r>
  <r>
    <s v="ORD-2024-10212"/>
    <x v="197"/>
    <s v="05/17/2024"/>
    <m/>
    <n v="0"/>
    <s v="CUST-2222"/>
    <s v="Rohan Mehta"/>
    <s v="Rohan Mehta"/>
    <s v="Corporate"/>
    <x v="2"/>
    <x v="1"/>
    <s v="West Bengal"/>
    <s v="Kolkata"/>
    <s v="Technology"/>
    <x v="2"/>
    <x v="6"/>
    <s v="Basic Copiers 222"/>
    <x v="0"/>
    <s v="Second Class"/>
    <n v="8"/>
    <n v="4221.95"/>
    <n v="0.2"/>
    <n v="27020.48"/>
    <n v="22885.24"/>
    <n v="4135.24"/>
    <s v="Paid"/>
    <x v="0"/>
    <m/>
    <m/>
    <m/>
    <m/>
    <m/>
    <x v="1"/>
    <m/>
    <m/>
  </r>
  <r>
    <s v="ORD-2024-10213"/>
    <x v="198"/>
    <s v="2024-09-21"/>
    <m/>
    <n v="0"/>
    <s v="CUST-3610"/>
    <s v="Ananya Rao"/>
    <s v="Ananya Rao"/>
    <s v="Small Business"/>
    <x v="1"/>
    <x v="1"/>
    <s v="Odisha"/>
    <s v="Bhubaneswar"/>
    <s v="Technology"/>
    <x v="2"/>
    <x v="11"/>
    <s v="Max Phones 329"/>
    <x v="1"/>
    <s v="Same Day"/>
    <n v="2"/>
    <n v="214.5"/>
    <n v="0.15"/>
    <n v="364.65"/>
    <n v="280.74"/>
    <n v="83.91"/>
    <s v="Paid"/>
    <x v="0"/>
    <m/>
    <m/>
    <m/>
    <m/>
    <m/>
    <x v="1"/>
    <m/>
    <m/>
  </r>
  <r>
    <s v="ORD-2024-10214"/>
    <x v="199"/>
    <s v="21-05-2024"/>
    <m/>
    <n v="0"/>
    <s v="CUST-9136"/>
    <s v="Isha Nair"/>
    <s v="Isha Nair"/>
    <s v="Small Business"/>
    <x v="1"/>
    <x v="1"/>
    <s v="Bihar"/>
    <s v="Patna"/>
    <s v="Technology"/>
    <x v="2"/>
    <x v="5"/>
    <s v="Classic Accessories 840"/>
    <x v="0"/>
    <s v="Second Class"/>
    <n v="4"/>
    <n v="4332.7299999999996"/>
    <n v="0.2"/>
    <n v="13864.74"/>
    <n v="11294.06"/>
    <n v="2570.6799999999998"/>
    <s v="Paid"/>
    <x v="0"/>
    <m/>
    <m/>
    <m/>
    <m/>
    <m/>
    <x v="1"/>
    <m/>
    <m/>
  </r>
  <r>
    <s v="ORD-2024-10215"/>
    <x v="200"/>
    <s v="23-03-2024"/>
    <m/>
    <n v="0"/>
    <s v="CUST-1301"/>
    <s v="Rahul Verma"/>
    <s v="Rahul Verma"/>
    <s v="Consumer"/>
    <x v="0"/>
    <x v="0"/>
    <s v="Haryana"/>
    <s v="Gurugram"/>
    <s v="Technology"/>
    <x v="2"/>
    <x v="5"/>
    <s v="Classic Accessories 757"/>
    <x v="2"/>
    <s v="First Class"/>
    <n v="3"/>
    <n v="248.18"/>
    <n v="0.05"/>
    <n v="707.31"/>
    <n v="569"/>
    <n v="138.31"/>
    <s v="Paid"/>
    <x v="0"/>
    <m/>
    <m/>
    <m/>
    <m/>
    <m/>
    <x v="1"/>
    <m/>
    <m/>
  </r>
  <r>
    <s v="ORD-2024-10216"/>
    <x v="201"/>
    <s v="2024-03-04"/>
    <m/>
    <n v="0"/>
    <s v="CUST-8603"/>
    <s v="Mira Das"/>
    <s v="Mira Das"/>
    <s v="Consumer"/>
    <x v="0"/>
    <x v="3"/>
    <s v="Madhya Pradesh"/>
    <s v="Indore"/>
    <s v="Office Supplies"/>
    <x v="0"/>
    <x v="0"/>
    <s v="Prime Paper 286"/>
    <x v="2"/>
    <s v="First Class"/>
    <n v="8"/>
    <n v="3202.4"/>
    <n v="0.25"/>
    <n v="19214.400000000001"/>
    <n v="10916.01"/>
    <n v="8298.39"/>
    <s v="Paid"/>
    <x v="0"/>
    <m/>
    <m/>
    <m/>
    <m/>
    <m/>
    <x v="1"/>
    <m/>
    <m/>
  </r>
  <r>
    <s v="ORD-2025-10217"/>
    <x v="6"/>
    <s v="15 Apr 2025"/>
    <m/>
    <n v="0"/>
    <s v="CUST-4330"/>
    <s v="Isha Nair"/>
    <s v="Isha Nair"/>
    <s v="Consumer"/>
    <x v="0"/>
    <x v="3"/>
    <s v="Gujarat"/>
    <s v="Ahmedabad"/>
    <s v="Furniture"/>
    <x v="1"/>
    <x v="1"/>
    <s v="Basic Tables 400"/>
    <x v="3"/>
    <s v="Standard Class"/>
    <n v="8"/>
    <n v="1839.87"/>
    <n v="0.25"/>
    <n v="11039.22"/>
    <n v="7642.91"/>
    <n v="3396.31"/>
    <s v="Failed"/>
    <x v="2"/>
    <m/>
    <m/>
    <m/>
    <m/>
    <m/>
    <x v="1"/>
    <m/>
    <m/>
  </r>
  <r>
    <s v="ORD-2025-10218"/>
    <x v="202"/>
    <s v="04/08/2025"/>
    <m/>
    <n v="0"/>
    <s v="CUST-4533"/>
    <s v="Aditi Sen"/>
    <s v="Aditi Sen"/>
    <s v="Consumer"/>
    <x v="0"/>
    <x v="1"/>
    <s v="Odisha"/>
    <s v="Bhubaneswar"/>
    <s v="Furniture"/>
    <x v="1"/>
    <x v="10"/>
    <s v="Basic Bookcases 405"/>
    <x v="0"/>
    <s v="Second Class"/>
    <n v="5"/>
    <n v="1021.28"/>
    <n v="0.1"/>
    <n v="4595.76"/>
    <n v="3396.8"/>
    <n v="1198.96"/>
    <s v="Refunded"/>
    <x v="1"/>
    <m/>
    <m/>
    <m/>
    <m/>
    <m/>
    <x v="1"/>
    <m/>
    <m/>
  </r>
  <r>
    <s v="ORD-2025-10219"/>
    <x v="203"/>
    <s v="27-02-2025"/>
    <m/>
    <n v="0"/>
    <s v="CUST-8270"/>
    <s v="Priya Menon"/>
    <s v="Priya Menon"/>
    <s v="Corporate"/>
    <x v="2"/>
    <x v="3"/>
    <s v="Gujarat"/>
    <s v="Ahmedabad"/>
    <s v="Furniture"/>
    <x v="1"/>
    <x v="10"/>
    <s v="Classic Bookcases 139"/>
    <x v="3"/>
    <s v="Standard Class"/>
    <n v="5"/>
    <n v="258.27999999999997"/>
    <n v="0"/>
    <n v="1291.4000000000001"/>
    <n v="756.93"/>
    <n v="534.47"/>
    <s v="Paid"/>
    <x v="0"/>
    <m/>
    <m/>
    <m/>
    <m/>
    <m/>
    <x v="1"/>
    <m/>
    <m/>
  </r>
  <r>
    <s v="ORD-2024-10220"/>
    <x v="204"/>
    <s v="06/19/2024"/>
    <m/>
    <n v="0"/>
    <s v="CUST-1472"/>
    <s v="Rahul Verma"/>
    <s v="Rahul Verma"/>
    <s v="Consumer"/>
    <x v="0"/>
    <x v="1"/>
    <s v="Bihar"/>
    <s v="Patna"/>
    <s v="Technology"/>
    <x v="2"/>
    <x v="12"/>
    <s v="Elite Machines 290"/>
    <x v="2"/>
    <s v="First Class"/>
    <n v="2"/>
    <n v="121.49"/>
    <s v="85%"/>
    <n v="242.98"/>
    <n v="161.41999999999999"/>
    <n v="81.56"/>
    <s v="Paid"/>
    <x v="0"/>
    <m/>
    <m/>
    <m/>
    <m/>
    <m/>
    <x v="1"/>
    <m/>
    <m/>
  </r>
  <r>
    <s v="ORD-2024-10221"/>
    <x v="205"/>
    <s v="09/03/2024"/>
    <m/>
    <n v="0"/>
    <s v="CUST-1031"/>
    <s v="Sneha Kapoor"/>
    <s v="Sneha Kapoor"/>
    <s v="Consumer"/>
    <x v="0"/>
    <x v="2"/>
    <s v="Kerala"/>
    <s v="Kochi"/>
    <s v="Office Supplies"/>
    <x v="0"/>
    <x v="8"/>
    <s v="Elite Storage 925"/>
    <x v="2"/>
    <s v="First Class"/>
    <n v="4"/>
    <n v="2810.17"/>
    <n v="0.15"/>
    <n v="9554.58"/>
    <n v="6068.47"/>
    <n v="3486.11"/>
    <s v="Refunded"/>
    <x v="1"/>
    <m/>
    <m/>
    <m/>
    <m/>
    <m/>
    <x v="1"/>
    <m/>
    <m/>
  </r>
  <r>
    <s v="ORD-2025-10222"/>
    <x v="206"/>
    <s v="2025-01-15"/>
    <m/>
    <n v="0"/>
    <s v="CUST-2495"/>
    <s v="Mira Das"/>
    <s v="Mira Das"/>
    <s v="Corporate"/>
    <x v="2"/>
    <x v="2"/>
    <s v="Karnataka"/>
    <s v="Bengaluru"/>
    <s v="Furniture"/>
    <x v="1"/>
    <x v="4"/>
    <s v="Classic Chairs 231"/>
    <x v="1"/>
    <s v="Same Day"/>
    <n v="4"/>
    <n v="1531.53"/>
    <n v="0.2"/>
    <n v="4900.8999999999996"/>
    <n v="3552.69"/>
    <n v="1348.21"/>
    <s v="Paid"/>
    <x v="0"/>
    <m/>
    <m/>
    <m/>
    <m/>
    <m/>
    <x v="1"/>
    <m/>
    <m/>
  </r>
  <r>
    <s v="ORD-2025-10223"/>
    <x v="207"/>
    <s v="02 May 2025"/>
    <m/>
    <n v="0"/>
    <s v="CUST-4583"/>
    <s v="Vikram Iyer"/>
    <s v="Vikram Iyer"/>
    <s v="Small Business"/>
    <x v="1"/>
    <x v="3"/>
    <s v="Goa"/>
    <s v="Panaji"/>
    <s v="Office Supplies"/>
    <x v="0"/>
    <x v="8"/>
    <s v="Prime Storage 818"/>
    <x v="2"/>
    <s v="First Class"/>
    <n v="6"/>
    <n v="4308.09"/>
    <n v="0"/>
    <n v="25848.54"/>
    <n v="17729.09"/>
    <n v="8119.45"/>
    <s v="Paid"/>
    <x v="0"/>
    <m/>
    <m/>
    <m/>
    <m/>
    <m/>
    <x v="1"/>
    <m/>
    <m/>
  </r>
  <r>
    <s v="ORD-2025-10224"/>
    <x v="208"/>
    <s v="02/26/2025"/>
    <m/>
    <n v="0"/>
    <s v="CUST-5319"/>
    <s v="Mira Das"/>
    <s v="Mira Das"/>
    <s v="Corporate"/>
    <x v="2"/>
    <x v="3"/>
    <s v="Maharashtra"/>
    <s v="Mumbai"/>
    <s v="Furniture"/>
    <x v="1"/>
    <x v="3"/>
    <s v="Elite Furnishings 449"/>
    <x v="2"/>
    <s v="First Class"/>
    <n v="3"/>
    <n v="490.3"/>
    <n v="0.2"/>
    <n v="1176.72"/>
    <n v="654.33000000000004"/>
    <n v="522.39"/>
    <s v="Pending"/>
    <x v="2"/>
    <m/>
    <m/>
    <m/>
    <m/>
    <m/>
    <x v="1"/>
    <m/>
    <m/>
  </r>
  <r>
    <s v="ORD-2025-10225"/>
    <x v="209"/>
    <s v="08 Oct 2025"/>
    <m/>
    <n v="0"/>
    <s v="CUST-9871"/>
    <s v="Isha Nair"/>
    <s v="Isha Nair"/>
    <s v="Small Business"/>
    <x v="1"/>
    <x v="0"/>
    <s v="Punjab"/>
    <s v="Ludhiana"/>
    <s v="Furniture"/>
    <x v="1"/>
    <x v="3"/>
    <s v="Classic Furnishings 109"/>
    <x v="3"/>
    <s v="Standard Class"/>
    <n v="4"/>
    <n v="3944.64"/>
    <n v="0.25"/>
    <n v="11833.92"/>
    <n v="6682.92"/>
    <n v="5151"/>
    <s v="Paid"/>
    <x v="1"/>
    <m/>
    <m/>
    <m/>
    <m/>
    <m/>
    <x v="1"/>
    <m/>
    <m/>
  </r>
  <r>
    <s v="ORD-2024-10226"/>
    <x v="210"/>
    <s v="2024-09-10"/>
    <m/>
    <n v="0"/>
    <s v="CUST-1266"/>
    <s v="Mira Das"/>
    <s v="Mira Das"/>
    <s v="Corporate"/>
    <x v="2"/>
    <x v="3"/>
    <s v="Goa"/>
    <s v="Panaji"/>
    <s v="Technology"/>
    <x v="2"/>
    <x v="11"/>
    <s v="Classic Phones 548"/>
    <x v="3"/>
    <s v="Standard Class"/>
    <n v="6"/>
    <n v="1032.47"/>
    <n v="0.15"/>
    <n v="5265.6"/>
    <n v="4293.1099999999997"/>
    <n v="787.57"/>
    <s v="Paid"/>
    <x v="0"/>
    <m/>
    <m/>
    <m/>
    <m/>
    <m/>
    <x v="1"/>
    <m/>
    <m/>
  </r>
  <r>
    <s v="ORD-2025-10227"/>
    <x v="211"/>
    <s v="15 Apr 2025"/>
    <s v="OK"/>
    <s v="OK"/>
    <s v="CUST-2545"/>
    <s v="Diya Patel"/>
    <s v="Diya Patel"/>
    <s v="Home Office"/>
    <x v="3"/>
    <x v="2"/>
    <s v="Kerala"/>
    <s v="Kochi"/>
    <s v="Technology"/>
    <x v="2"/>
    <x v="6"/>
    <s v="Max Copiers 363"/>
    <x v="1"/>
    <s v="Same Day"/>
    <n v="1"/>
    <n v="2208.27"/>
    <n v="0.1"/>
    <n v="1987.44"/>
    <n v="1110.23"/>
    <n v="877.21"/>
    <s v="Paid"/>
    <x v="0"/>
    <m/>
    <m/>
    <m/>
    <m/>
    <m/>
    <x v="1"/>
    <m/>
    <m/>
  </r>
  <r>
    <s v="ORD-2024-10228"/>
    <x v="212"/>
    <s v="12 Jul 2024"/>
    <m/>
    <n v="0"/>
    <s v="CUST-2819"/>
    <s v="Ananya Rao"/>
    <s v="Ananya Rao"/>
    <s v="Small Business"/>
    <x v="1"/>
    <x v="3"/>
    <s v="Goa"/>
    <s v="Panaji"/>
    <s v="Office Supplies"/>
    <x v="0"/>
    <x v="9"/>
    <s v="Prime Binders 507"/>
    <x v="2"/>
    <s v="First Class"/>
    <n v="3"/>
    <n v="577.75"/>
    <n v="0.15"/>
    <n v="1473.26"/>
    <n v="899.86"/>
    <n v="573.4"/>
    <s v="Paid"/>
    <x v="0"/>
    <m/>
    <m/>
    <m/>
    <m/>
    <m/>
    <x v="1"/>
    <m/>
    <m/>
  </r>
  <r>
    <s v="ORD-2024-10229"/>
    <x v="213"/>
    <s v="28 Apr 2024"/>
    <m/>
    <n v="0"/>
    <s v="CUST-1076"/>
    <s v="Karan Malhotra"/>
    <s v="Karan Malhotra"/>
    <s v="Small Business"/>
    <x v="1"/>
    <x v="2"/>
    <s v="Telangana"/>
    <s v="Hyderabad"/>
    <s v="Office Supplies"/>
    <x v="0"/>
    <x v="7"/>
    <s v="Smart Labels 914"/>
    <x v="0"/>
    <s v="Second Class"/>
    <n v="1"/>
    <n v="3194.37"/>
    <n v="0.15"/>
    <n v="2715.21"/>
    <n v="1551.55"/>
    <n v="1163.6600000000001"/>
    <s v="Paid"/>
    <x v="0"/>
    <m/>
    <m/>
    <m/>
    <m/>
    <m/>
    <x v="1"/>
    <m/>
    <m/>
  </r>
  <r>
    <s v="ORD-2025-10230"/>
    <x v="214"/>
    <s v="07/04/2025"/>
    <m/>
    <n v="0"/>
    <s v="CUST-1943"/>
    <s v="Rohan Mehta"/>
    <s v="Rohan Mehta"/>
    <s v="Consumer"/>
    <x v="0"/>
    <x v="2"/>
    <s v="Telangana"/>
    <s v="Hyderabad"/>
    <s v="Furniture"/>
    <x v="1"/>
    <x v="10"/>
    <s v="Smart Bookcases 662"/>
    <x v="2"/>
    <s v="First Class"/>
    <n v="3"/>
    <n v="2886.23"/>
    <n v="0"/>
    <n v="8658.69"/>
    <n v="5535.94"/>
    <n v="3122.75"/>
    <s v="Refunded"/>
    <x v="2"/>
    <m/>
    <m/>
    <m/>
    <m/>
    <m/>
    <x v="1"/>
    <m/>
    <m/>
  </r>
  <r>
    <s v="ORD-2024-10231"/>
    <x v="215"/>
    <s v="03-06-2024"/>
    <m/>
    <n v="0"/>
    <s v="CUST-3434"/>
    <s v="Neha Gupta"/>
    <s v="Neha Gupta"/>
    <s v="Small Business"/>
    <x v="1"/>
    <x v="0"/>
    <s v="Rajasthan"/>
    <s v="Jaipur"/>
    <s v="Office Supplies"/>
    <x v="0"/>
    <x v="0"/>
    <s v="Eco Paper 937"/>
    <x v="3"/>
    <s v="Standard Class"/>
    <n v="8"/>
    <n v="1540.33"/>
    <n v="0.1"/>
    <n v="11090.38"/>
    <n v="8840.9500000000007"/>
    <n v="2249.4299999999998"/>
    <s v="Paid"/>
    <x v="0"/>
    <m/>
    <m/>
    <m/>
    <m/>
    <m/>
    <x v="1"/>
    <m/>
    <m/>
  </r>
  <r>
    <s v="ORD-2024-10232"/>
    <x v="216"/>
    <s v="05/02/2024"/>
    <m/>
    <n v="0"/>
    <s v="CUST-9139"/>
    <s v="Ananya Rao"/>
    <s v="Ananya Rao"/>
    <s v="Corporate"/>
    <x v="2"/>
    <x v="0"/>
    <s v="Rajasthan"/>
    <s v="Jaipur"/>
    <s v="Office  Supplies"/>
    <x v="0"/>
    <x v="7"/>
    <s v="Max Labels 370"/>
    <x v="2"/>
    <s v="First Class"/>
    <n v="7"/>
    <n v="2183.38"/>
    <n v="0.25"/>
    <n v="11462.74"/>
    <n v="7163.54"/>
    <n v="4299.2"/>
    <s v="Refunded"/>
    <x v="1"/>
    <m/>
    <m/>
    <m/>
    <m/>
    <m/>
    <x v="1"/>
    <m/>
    <m/>
  </r>
  <r>
    <s v="ORD-2025-10233"/>
    <x v="217"/>
    <s v="2025-06-10"/>
    <m/>
    <n v="0"/>
    <s v="CUST-5341"/>
    <s v="Rahul Verma"/>
    <s v="Rahul Verma"/>
    <s v="Consumer"/>
    <x v="0"/>
    <x v="2"/>
    <s v="Andhra Pradesh"/>
    <s v="Vijayawada"/>
    <s v="Technology"/>
    <x v="2"/>
    <x v="11"/>
    <s v="Classic Phones 530"/>
    <x v="3"/>
    <s v="Standard Class"/>
    <n v="4"/>
    <n v="223.37"/>
    <n v="0.25"/>
    <n v="670.11"/>
    <n v="559.57000000000005"/>
    <n v="110.54"/>
    <s v="Paid"/>
    <x v="0"/>
    <m/>
    <m/>
    <m/>
    <m/>
    <m/>
    <x v="1"/>
    <m/>
    <m/>
  </r>
  <r>
    <s v="ORD-2024-10234"/>
    <x v="218"/>
    <s v="10/14/2024"/>
    <m/>
    <n v="0"/>
    <s v="CUST-3710"/>
    <s v="Vikram Iyer"/>
    <s v="Vikram Iyer"/>
    <s v="Corporate"/>
    <x v="2"/>
    <x v="2"/>
    <s v="Karnataka"/>
    <s v="Bengaluru"/>
    <s v="Furniture"/>
    <x v="1"/>
    <x v="10"/>
    <s v="Smart Bookcases 328"/>
    <x v="4"/>
    <s v=""/>
    <n v="8"/>
    <n v="3904.59"/>
    <n v="0"/>
    <n v="31236.720000000001"/>
    <n v="26377.7"/>
    <n v="4859.0200000000004"/>
    <s v="Paid"/>
    <x v="0"/>
    <m/>
    <m/>
    <m/>
    <m/>
    <m/>
    <x v="1"/>
    <m/>
    <m/>
  </r>
  <r>
    <s v="ORD-2024-10235"/>
    <x v="219"/>
    <s v="03 Sep 2024"/>
    <m/>
    <n v="0"/>
    <s v="CUST-9754"/>
    <s v="Kabir Singh"/>
    <s v="Kabir Singh"/>
    <s v="Home Office"/>
    <x v="3"/>
    <x v="0"/>
    <s v="Delhi"/>
    <s v="New Delhi"/>
    <s v="Furniture"/>
    <x v="1"/>
    <x v="3"/>
    <s v="Eco Furnishings 981"/>
    <x v="2"/>
    <s v="First Class"/>
    <n v="9"/>
    <n v="1353.61"/>
    <n v="0.1"/>
    <n v="10964.24"/>
    <n v="9262.4699999999993"/>
    <n v="1701.77"/>
    <s v="Paid"/>
    <x v="0"/>
    <m/>
    <m/>
    <m/>
    <m/>
    <m/>
    <x v="1"/>
    <m/>
    <m/>
  </r>
  <r>
    <s v="ORD-2024-10236"/>
    <x v="220"/>
    <s v="11/03/2024"/>
    <m/>
    <n v="0"/>
    <s v="CUST-6256"/>
    <s v="Rahul Verma"/>
    <s v="Rahul Verma"/>
    <s v="Small Business"/>
    <x v="1"/>
    <x v="3"/>
    <s v="Rajasthan"/>
    <s v="Udaipur"/>
    <s v="Office Supplies"/>
    <x v="0"/>
    <x v="8"/>
    <s v="Basic Storage 195"/>
    <x v="3"/>
    <s v="Standard Class"/>
    <n v="6"/>
    <n v="2671.29"/>
    <n v="0.05"/>
    <n v="15226.35"/>
    <n v="11145.28"/>
    <n v="4081.07"/>
    <s v="Paid"/>
    <x v="0"/>
    <m/>
    <m/>
    <m/>
    <m/>
    <m/>
    <x v="1"/>
    <m/>
    <m/>
  </r>
  <r>
    <s v="ORD-2024-10237"/>
    <x v="221"/>
    <s v="21 Oct 2024"/>
    <m/>
    <n v="0"/>
    <s v="CUST-7113"/>
    <s v="Priya Menon"/>
    <s v="Priya Menon"/>
    <s v="Corporate"/>
    <x v="2"/>
    <x v="0"/>
    <s v="Uttar Pradesh"/>
    <s v="Noida"/>
    <s v="Furniture"/>
    <x v="1"/>
    <x v="10"/>
    <s v="Elite Bookcases 907"/>
    <x v="2"/>
    <s v="First Class"/>
    <n v="6"/>
    <n v="4062.78"/>
    <n v="0"/>
    <n v="24376.68"/>
    <n v="18533.39"/>
    <n v="5843.29"/>
    <s v="Paid"/>
    <x v="0"/>
    <m/>
    <m/>
    <m/>
    <m/>
    <m/>
    <x v="1"/>
    <m/>
    <m/>
  </r>
  <r>
    <s v="ORD-2024-10238"/>
    <x v="222"/>
    <s v="2024-08-27"/>
    <m/>
    <n v="0"/>
    <s v="CUST-3827"/>
    <s v="Mira Das"/>
    <s v="Mira Das"/>
    <s v="Consumer"/>
    <x v="0"/>
    <x v="0"/>
    <s v="Haryana"/>
    <s v="Gurugram"/>
    <s v="Technology"/>
    <x v="2"/>
    <x v="6"/>
    <s v="Smart Copiers 471"/>
    <x v="3"/>
    <s v="Standard Class"/>
    <n v="9"/>
    <n v="2330.3000000000002"/>
    <n v="0"/>
    <n v="20972.7"/>
    <n v="13504.88"/>
    <n v="7467.82"/>
    <s v="Paid"/>
    <x v="0"/>
    <m/>
    <m/>
    <m/>
    <m/>
    <m/>
    <x v="1"/>
    <m/>
    <m/>
  </r>
  <r>
    <s v="ORD-2024-10239"/>
    <x v="223"/>
    <s v="01/17/2024"/>
    <m/>
    <n v="0"/>
    <s v="CUST-2375"/>
    <s v="Arjun Bose"/>
    <s v="Arjun Bose"/>
    <s v="Consumer"/>
    <x v="0"/>
    <x v="2"/>
    <s v="Andhra Pradesh"/>
    <s v="Vijayawada"/>
    <s v="Office Supplies"/>
    <x v="0"/>
    <x v="8"/>
    <s v="Prime Storage 625"/>
    <x v="2"/>
    <s v="First Class"/>
    <n v="7"/>
    <n v="4005.05"/>
    <n v="0.55000000000000004"/>
    <n v="26633.58"/>
    <n v="18838.75"/>
    <n v="7794.83"/>
    <s v="Paid"/>
    <x v="0"/>
    <m/>
    <m/>
    <m/>
    <m/>
    <m/>
    <x v="1"/>
    <m/>
    <m/>
  </r>
  <r>
    <s v="ORD-2024-10240"/>
    <x v="224"/>
    <s v="09/21/2024"/>
    <m/>
    <n v="0"/>
    <s v="CUST-2233"/>
    <s v="Kabir Singh"/>
    <s v="Kabir Singh"/>
    <s v="Corporate"/>
    <x v="2"/>
    <x v="2"/>
    <s v="Karnataka"/>
    <s v="Bengaluru"/>
    <s v="Technology"/>
    <x v="2"/>
    <x v="12"/>
    <s v="Smart Machines 801"/>
    <x v="2"/>
    <s v="First Class"/>
    <n v="2"/>
    <n v="1960.06"/>
    <n v="0.2"/>
    <n v="3136.1"/>
    <n v="2279.4899999999998"/>
    <n v="856.61"/>
    <s v="Paid"/>
    <x v="0"/>
    <m/>
    <m/>
    <m/>
    <m/>
    <m/>
    <x v="1"/>
    <m/>
    <m/>
  </r>
  <r>
    <s v="ORD-2024-10241"/>
    <x v="225"/>
    <s v="23-12-2024"/>
    <m/>
    <n v="0"/>
    <s v="CUST-9778"/>
    <s v="Aarav Sharma"/>
    <s v="Aarav Sharma"/>
    <s v="Corporate"/>
    <x v="2"/>
    <x v="2"/>
    <s v="Telangana"/>
    <s v="Hyderabad"/>
    <s v="Office Supplies"/>
    <x v="0"/>
    <x v="9"/>
    <s v="Max Binders 170"/>
    <x v="2"/>
    <s v="First Class"/>
    <n v="9"/>
    <n v="2315.1"/>
    <n v="0"/>
    <n v="20835.900000000001"/>
    <n v="13928.19"/>
    <n v="6907.71"/>
    <s v="Paid"/>
    <x v="0"/>
    <m/>
    <m/>
    <m/>
    <m/>
    <m/>
    <x v="1"/>
    <m/>
    <m/>
  </r>
  <r>
    <s v="ORD-2025-10242"/>
    <x v="226"/>
    <s v="06-07-2025"/>
    <m/>
    <n v="0"/>
    <s v="CUST-6949"/>
    <s v="Sneha Kapoor"/>
    <s v="Sneha Kapoor"/>
    <s v="Corporate"/>
    <x v="2"/>
    <x v="0"/>
    <s v="Haryana"/>
    <s v="Gurugram"/>
    <s v="Office Supplies"/>
    <x v="0"/>
    <x v="8"/>
    <s v="Basic Storage 737"/>
    <x v="3"/>
    <s v="Standard Class"/>
    <n v="1"/>
    <n v="1617.2"/>
    <n v="0.25"/>
    <n v="1212.9000000000001"/>
    <n v="690.52"/>
    <n v="522.38"/>
    <s v="Pending"/>
    <x v="2"/>
    <m/>
    <m/>
    <m/>
    <m/>
    <m/>
    <x v="1"/>
    <m/>
    <m/>
  </r>
  <r>
    <s v="ORD-2025-10243"/>
    <x v="227"/>
    <s v="2025-02-07"/>
    <m/>
    <n v="0"/>
    <s v="CUST-3430"/>
    <s v="Arjun Bose"/>
    <s v="Arjun Bose"/>
    <s v="Consumer"/>
    <x v="0"/>
    <x v="0"/>
    <s v="Uttar Pradesh"/>
    <s v="Noida"/>
    <s v="Office Supplies"/>
    <x v="0"/>
    <x v="2"/>
    <s v="Classic Art 126"/>
    <x v="0"/>
    <s v="Second Class"/>
    <n v="3"/>
    <n v="1999.24"/>
    <n v="0.05"/>
    <n v="5697.83"/>
    <n v="4251.5"/>
    <n v="1446.33"/>
    <s v="Paid"/>
    <x v="0"/>
    <m/>
    <m/>
    <m/>
    <m/>
    <m/>
    <x v="1"/>
    <m/>
    <m/>
  </r>
  <r>
    <s v="ORD-2025-10244"/>
    <x v="35"/>
    <s v="02 Aug 2025"/>
    <s v="OK"/>
    <s v="OK"/>
    <s v="CUST-6310"/>
    <s v="Sneha Kapoor"/>
    <s v="Sneha Kapoor"/>
    <s v="Small Business"/>
    <x v="1"/>
    <x v="3"/>
    <s v="Madhya Pradesh"/>
    <s v="Indore"/>
    <s v="Technology"/>
    <x v="2"/>
    <x v="5"/>
    <s v="Prime Accessories 243"/>
    <x v="2"/>
    <s v="First Class"/>
    <n v="1"/>
    <n v="4499.46"/>
    <n v="0.1"/>
    <n v="4049.51"/>
    <n v="2509.1999999999998"/>
    <n v="1540.31"/>
    <s v="Paid"/>
    <x v="0"/>
    <m/>
    <m/>
    <m/>
    <m/>
    <m/>
    <x v="1"/>
    <m/>
    <m/>
  </r>
  <r>
    <s v="ORD-2024-10245"/>
    <x v="228"/>
    <s v="2024-08-24"/>
    <m/>
    <n v="0"/>
    <s v="CUST-6008"/>
    <s v="Neha Gupta"/>
    <s v="Neha Gupta"/>
    <s v="Consumer"/>
    <x v="0"/>
    <x v="2"/>
    <s v="Telangana"/>
    <s v="Hyderabad"/>
    <s v="Furniture"/>
    <x v="1"/>
    <x v="10"/>
    <s v="Eco Bookcases 768"/>
    <x v="1"/>
    <s v="Same Day"/>
    <n v="6"/>
    <n v="1021.89"/>
    <n v="0"/>
    <n v="6131.34"/>
    <n v="4060.88"/>
    <n v="2070.46"/>
    <s v="Paid"/>
    <x v="0"/>
    <m/>
    <m/>
    <m/>
    <m/>
    <m/>
    <x v="1"/>
    <m/>
    <m/>
  </r>
  <r>
    <s v="ORD-2024-10246"/>
    <x v="105"/>
    <s v="24-10-2024"/>
    <m/>
    <n v="0"/>
    <s v="CUST-1704"/>
    <s v="Neha Gupta"/>
    <s v="Neha Gupta"/>
    <s v="Home Office"/>
    <x v="3"/>
    <x v="2"/>
    <s v="Kerala"/>
    <s v="Kochi"/>
    <s v="Furniture"/>
    <x v="1"/>
    <x v="4"/>
    <s v="Pro Chairs 316"/>
    <x v="0"/>
    <s v="Second Class"/>
    <n v="3"/>
    <n v="3275.93"/>
    <n v="0"/>
    <n v="9827.7900000000009"/>
    <n v="5478.28"/>
    <n v="4349.51"/>
    <s v="Paid"/>
    <x v="0"/>
    <m/>
    <m/>
    <m/>
    <m/>
    <m/>
    <x v="1"/>
    <m/>
    <m/>
  </r>
  <r>
    <s v="ORD-2024-10247"/>
    <x v="229"/>
    <s v="09 May 2024"/>
    <m/>
    <n v="0"/>
    <s v="CUST-1827"/>
    <s v="Ananya Rao"/>
    <s v="Ananya Rao"/>
    <s v="Corporate"/>
    <x v="2"/>
    <x v="0"/>
    <s v="Punjab"/>
    <s v="Ludhiana"/>
    <s v="Technology"/>
    <x v="2"/>
    <x v="12"/>
    <s v="Classic Machines 819"/>
    <x v="1"/>
    <s v="Same Day"/>
    <n v="3"/>
    <n v="231.95"/>
    <n v="0.25"/>
    <n v="521.89"/>
    <n v="444.52"/>
    <n v="77.37"/>
    <s v="Refunded"/>
    <x v="1"/>
    <m/>
    <m/>
    <m/>
    <m/>
    <m/>
    <x v="1"/>
    <m/>
    <m/>
  </r>
  <r>
    <s v="ORD-2024-10248"/>
    <x v="230"/>
    <s v="01 Aug 2024"/>
    <m/>
    <n v="0"/>
    <s v="CUST-6663"/>
    <s v="Rahul Verma"/>
    <s v="Rahul Verma"/>
    <s v="Corporate"/>
    <x v="2"/>
    <x v="0"/>
    <s v="Rajasthan"/>
    <s v="Jaipur"/>
    <s v="Technology"/>
    <x v="2"/>
    <x v="5"/>
    <s v="Smart Accessories 572"/>
    <x v="0"/>
    <s v="Second Class"/>
    <n v="8"/>
    <n v="2493.4"/>
    <n v="0.25"/>
    <n v="14960.4"/>
    <n v="12500.84"/>
    <n v="2459.56"/>
    <s v="Paid"/>
    <x v="0"/>
    <m/>
    <m/>
    <m/>
    <m/>
    <m/>
    <x v="1"/>
    <m/>
    <m/>
  </r>
  <r>
    <s v="ORD-2024-10249"/>
    <x v="231"/>
    <s v="07-06-2024"/>
    <m/>
    <n v="0"/>
    <s v="CUST-6278"/>
    <s v="Rohan Mehta"/>
    <s v="Rohan Mehta"/>
    <s v="Home Office"/>
    <x v="3"/>
    <x v="1"/>
    <s v="Odisha"/>
    <s v="Bhubaneswar"/>
    <s v="Office Supplies"/>
    <x v="0"/>
    <x v="7"/>
    <s v="Basic Labels 432"/>
    <x v="0"/>
    <s v="Second Class"/>
    <n v="9"/>
    <n v="787.91"/>
    <n v="0.15"/>
    <n v="6027.51"/>
    <n v="4883.82"/>
    <n v="1143.69"/>
    <s v="Paid"/>
    <x v="0"/>
    <m/>
    <m/>
    <m/>
    <m/>
    <m/>
    <x v="1"/>
    <m/>
    <m/>
  </r>
  <r>
    <s v="ORD-2025-10250"/>
    <x v="232"/>
    <s v="08/02/2025"/>
    <m/>
    <n v="0"/>
    <s v="CUST-2305"/>
    <s v="Mira Das"/>
    <s v="Mira Das"/>
    <s v="Corporate"/>
    <x v="2"/>
    <x v="0"/>
    <s v="Rajasthan"/>
    <s v="Jaipur"/>
    <s v="Furniture"/>
    <x v="1"/>
    <x v="3"/>
    <s v="Classic Furnishings 378"/>
    <x v="2"/>
    <s v="First Class"/>
    <n v="4"/>
    <n v="2790.29"/>
    <n v="0.2"/>
    <n v="8928.93"/>
    <n v="5634.38"/>
    <n v="3294.55"/>
    <s v="Paid"/>
    <x v="0"/>
    <m/>
    <m/>
    <m/>
    <m/>
    <m/>
    <x v="1"/>
    <m/>
    <m/>
  </r>
  <r>
    <s v="ORD-2024-10251"/>
    <x v="233"/>
    <s v="02/27/2024"/>
    <m/>
    <n v="0"/>
    <s v="CUST-5351"/>
    <s v="Arjun Bose"/>
    <s v="Arjun Bose"/>
    <s v="Small Business"/>
    <x v="1"/>
    <x v="1"/>
    <s v="West Bengal"/>
    <s v="Kolkata"/>
    <s v="Furniture"/>
    <x v="1"/>
    <x v="3"/>
    <s v="Prime Furnishings 781"/>
    <x v="3"/>
    <s v="Standard Class"/>
    <n v="5"/>
    <n v="3373.86"/>
    <n v="0.15"/>
    <n v="14338.9"/>
    <n v="11897.65"/>
    <n v="2441.25"/>
    <s v="Pending"/>
    <x v="2"/>
    <m/>
    <m/>
    <m/>
    <m/>
    <m/>
    <x v="1"/>
    <m/>
    <m/>
  </r>
  <r>
    <s v="ORD-2025-10252"/>
    <x v="234"/>
    <s v="04/10/2025"/>
    <m/>
    <n v="0"/>
    <s v="CUST-6268"/>
    <s v="Ananya Rao"/>
    <s v="Ananya Rao"/>
    <s v="Corporate"/>
    <x v="2"/>
    <x v="3"/>
    <s v="Gujarat"/>
    <s v="Ahmedabad"/>
    <s v="Furniture"/>
    <x v="1"/>
    <x v="1"/>
    <s v="Prime Tables 263"/>
    <x v="0"/>
    <s v="Second Class"/>
    <n v="6"/>
    <n v="1022.16"/>
    <n v="0"/>
    <n v="6132.96"/>
    <n v="4881.1000000000004"/>
    <n v="1251.8599999999999"/>
    <s v="Paid"/>
    <x v="0"/>
    <m/>
    <m/>
    <m/>
    <m/>
    <m/>
    <x v="1"/>
    <m/>
    <m/>
  </r>
  <r>
    <s v="ORD-2025-10253"/>
    <x v="235"/>
    <s v="2025-06-28"/>
    <m/>
    <n v="0"/>
    <s v="CUST-2103"/>
    <s v="Arjun Bose"/>
    <s v="Arjun Bose"/>
    <s v="Corporate"/>
    <x v="2"/>
    <x v="0"/>
    <s v="Haryana"/>
    <s v="Gurugram"/>
    <s v="Office Supplies"/>
    <x v="0"/>
    <x v="8"/>
    <s v="Basic Storage 269"/>
    <x v="2"/>
    <s v="First Class"/>
    <n v="2"/>
    <n v="1455.92"/>
    <n v="0.2"/>
    <n v="2329.4699999999998"/>
    <n v="1603.62"/>
    <n v="725.85"/>
    <s v="Pending"/>
    <x v="2"/>
    <m/>
    <m/>
    <m/>
    <m/>
    <m/>
    <x v="1"/>
    <m/>
    <m/>
  </r>
  <r>
    <s v="ORD-2024-10254"/>
    <x v="236"/>
    <s v="09/13/2024"/>
    <m/>
    <n v="0"/>
    <s v="CUST-5394"/>
    <s v="Priya Menon"/>
    <s v="Priya Menon"/>
    <s v="Small Business"/>
    <x v="1"/>
    <x v="0"/>
    <s v="Rajasthan"/>
    <s v="Jaipur"/>
    <s v="Technology"/>
    <x v="2"/>
    <x v="11"/>
    <s v="Classic Phones 442"/>
    <x v="1"/>
    <s v="Same Day"/>
    <n v="6"/>
    <n v="832.79"/>
    <n v="0.05"/>
    <n v="4746.8999999999996"/>
    <n v="2825.38"/>
    <n v="1472.89"/>
    <s v="Refunded"/>
    <x v="1"/>
    <m/>
    <m/>
    <m/>
    <m/>
    <m/>
    <x v="1"/>
    <m/>
    <m/>
  </r>
  <r>
    <s v="ORD-2025-10255"/>
    <x v="237"/>
    <s v="03-01-2025"/>
    <m/>
    <n v="0"/>
    <s v="CUST-6853"/>
    <s v="Ananya Rao"/>
    <s v="Ananya Rao"/>
    <s v="Consumer"/>
    <x v="0"/>
    <x v="3"/>
    <s v="Madhya Pradesh"/>
    <s v="Indore"/>
    <s v="Technology"/>
    <x v="2"/>
    <x v="5"/>
    <s v="Elite Accessories 978"/>
    <x v="1"/>
    <s v="Same Day"/>
    <n v="7"/>
    <n v="1000.55"/>
    <n v="0.2"/>
    <n v="5603.08"/>
    <n v="3132.52"/>
    <n v="2470.56"/>
    <s v="Paid"/>
    <x v="2"/>
    <m/>
    <m/>
    <m/>
    <m/>
    <m/>
    <x v="1"/>
    <m/>
    <m/>
  </r>
  <r>
    <s v="ORD-2025-10256"/>
    <x v="238"/>
    <s v="02/10/2025"/>
    <m/>
    <n v="0"/>
    <s v="CUST-1549"/>
    <s v="Isha Nair"/>
    <s v="Isha Nair"/>
    <s v="Corporate"/>
    <x v="2"/>
    <x v="3"/>
    <s v="Maharashtra"/>
    <s v="Mumbai"/>
    <s v="Technology"/>
    <x v="2"/>
    <x v="11"/>
    <s v="Eco Phones 132"/>
    <x v="2"/>
    <s v="First Class"/>
    <n v="7"/>
    <n v="1830"/>
    <n v="0"/>
    <n v="12810"/>
    <n v="9334.1200000000008"/>
    <n v="3475.88"/>
    <s v="Paid"/>
    <x v="0"/>
    <m/>
    <m/>
    <m/>
    <m/>
    <m/>
    <x v="1"/>
    <m/>
    <m/>
  </r>
  <r>
    <s v="ORD-2024-10257"/>
    <x v="239"/>
    <s v="03 Nov 2024"/>
    <m/>
    <n v="0"/>
    <s v="CUST-8411"/>
    <s v="Ananya Rao"/>
    <s v="Ananya Rao"/>
    <s v="Consumer"/>
    <x v="0"/>
    <x v="1"/>
    <s v="West Bengal"/>
    <s v="Kolkata"/>
    <s v="Furniture"/>
    <x v="1"/>
    <x v="1"/>
    <s v="Prime Tables 481"/>
    <x v="2"/>
    <s v="First Class"/>
    <n v="9"/>
    <n v="2260.61"/>
    <n v="0.05"/>
    <n v="19328.22"/>
    <n v="12039.5"/>
    <n v="7288.72"/>
    <s v="Paid"/>
    <x v="0"/>
    <m/>
    <m/>
    <m/>
    <m/>
    <m/>
    <x v="1"/>
    <m/>
    <m/>
  </r>
  <r>
    <s v="ORD-2025-10258"/>
    <x v="240"/>
    <s v="2025-08-12"/>
    <m/>
    <n v="0"/>
    <s v="CUST-5615"/>
    <s v="Diya Patel"/>
    <s v="Diya Patel"/>
    <s v="Corporate"/>
    <x v="2"/>
    <x v="2"/>
    <s v="Karnataka"/>
    <s v="Bengaluru"/>
    <s v="Technology"/>
    <x v="2"/>
    <x v="5"/>
    <s v="Smart Accessories 180"/>
    <x v="0"/>
    <s v="Second Class"/>
    <n v="2"/>
    <n v="3237.27"/>
    <n v="0"/>
    <n v="6474.54"/>
    <n v="5095.91"/>
    <n v="1378.63"/>
    <s v="Paid"/>
    <x v="1"/>
    <m/>
    <m/>
    <m/>
    <m/>
    <m/>
    <x v="1"/>
    <m/>
    <m/>
  </r>
  <r>
    <s v="ORD-2024-10259"/>
    <x v="241"/>
    <s v="2025-01-04"/>
    <m/>
    <n v="0"/>
    <s v="CUST-8467"/>
    <s v="Sneha Kapoor"/>
    <s v="Sneha Kapoor"/>
    <s v="Corporate"/>
    <x v="2"/>
    <x v="2"/>
    <s v="Tamil Nadu"/>
    <s v="Chennai"/>
    <s v="Furniture"/>
    <x v="1"/>
    <x v="1"/>
    <s v="Smart Tables 774"/>
    <x v="1"/>
    <s v="Same Day"/>
    <n v="2"/>
    <n v="3720.07"/>
    <n v="0.25"/>
    <n v="5580.11"/>
    <n v="4307.01"/>
    <n v="1273.0999999999999"/>
    <s v="Paid"/>
    <x v="0"/>
    <m/>
    <m/>
    <m/>
    <m/>
    <m/>
    <x v="1"/>
    <m/>
    <m/>
  </r>
  <r>
    <s v="ORD-2024-10260"/>
    <x v="242"/>
    <s v="29 Jun 2024"/>
    <m/>
    <n v="0"/>
    <s v="CUST-5174"/>
    <s v="Neha Gupta"/>
    <s v="Neha Gupta"/>
    <s v="Consumer"/>
    <x v="0"/>
    <x v="2"/>
    <s v="Tamil Nadu"/>
    <s v="Chennai"/>
    <s v="Technology"/>
    <x v="2"/>
    <x v="12"/>
    <s v="Prime Machines 793"/>
    <x v="3"/>
    <s v="Standard Class"/>
    <n v="8"/>
    <n v="2853.92"/>
    <n v="0.2"/>
    <n v="18265.09"/>
    <n v="10437.14"/>
    <n v="7827.95"/>
    <s v="Paid"/>
    <x v="0"/>
    <m/>
    <m/>
    <m/>
    <m/>
    <m/>
    <x v="1"/>
    <m/>
    <m/>
  </r>
  <r>
    <s v="ORD-2025-10261"/>
    <x v="243"/>
    <s v="09/27/2025"/>
    <m/>
    <n v="0"/>
    <s v="CUST-3543"/>
    <s v="Aditi Sen"/>
    <s v="Aditi Sen"/>
    <s v="Corporate"/>
    <x v="2"/>
    <x v="1"/>
    <s v="West Bengal"/>
    <s v="Kolkata"/>
    <s v="Office Supplies"/>
    <x v="0"/>
    <x v="9"/>
    <s v="Elite Binders 827"/>
    <x v="1"/>
    <s v="Same Day"/>
    <n v="7"/>
    <n v="2897.12"/>
    <n v="0.25"/>
    <n v="15209.88"/>
    <n v="10891.15"/>
    <n v="4318.7299999999996"/>
    <s v="Failed"/>
    <x v="2"/>
    <m/>
    <m/>
    <m/>
    <m/>
    <m/>
    <x v="1"/>
    <m/>
    <m/>
  </r>
  <r>
    <s v="ORD-2025-10262"/>
    <x v="244"/>
    <s v="06/24/2025"/>
    <m/>
    <n v="0"/>
    <s v="CUST-7623"/>
    <s v="Sneha Kapoor"/>
    <s v="Sneha Kapoor"/>
    <s v="Corporate"/>
    <x v="2"/>
    <x v="0"/>
    <s v="Rajasthan"/>
    <s v="Jaipur"/>
    <s v="Office Supplies"/>
    <x v="0"/>
    <x v="7"/>
    <s v="Prime Labels 326"/>
    <x v="3"/>
    <s v="Standard Class"/>
    <n v="3"/>
    <n v="686.74"/>
    <n v="0.2"/>
    <n v="1648.18"/>
    <n v="987.91"/>
    <n v="660.27"/>
    <s v="Failed"/>
    <x v="1"/>
    <m/>
    <m/>
    <m/>
    <m/>
    <m/>
    <x v="1"/>
    <m/>
    <m/>
  </r>
  <r>
    <s v="ORD-2025-10263"/>
    <x v="245"/>
    <s v="01 Jun 2025"/>
    <m/>
    <n v="0"/>
    <s v="CUST-6153"/>
    <s v="Arjun Bose"/>
    <s v="Arjun Bose"/>
    <s v="Small Business"/>
    <x v="1"/>
    <x v="0"/>
    <s v="Delhi"/>
    <s v="New Delhi"/>
    <s v="Technology"/>
    <x v="2"/>
    <x v="11"/>
    <s v="Eco Phones 245"/>
    <x v="1"/>
    <s v="Same Day"/>
    <n v="4"/>
    <n v="3349.86"/>
    <n v="0"/>
    <n v="13399.44"/>
    <n v="8581.35"/>
    <n v="4818.09"/>
    <s v="Pending"/>
    <x v="2"/>
    <m/>
    <m/>
    <m/>
    <m/>
    <m/>
    <x v="1"/>
    <m/>
    <m/>
  </r>
  <r>
    <s v="ORD-2025-10264"/>
    <x v="246"/>
    <s v="10-08-2025"/>
    <m/>
    <n v="0"/>
    <s v="CUST-8265"/>
    <s v="Rohan Mehta"/>
    <s v="Rohan Mehta"/>
    <s v="Small Business"/>
    <x v="1"/>
    <x v="0"/>
    <s v="Delhi"/>
    <s v="New Delhi"/>
    <s v="Office Supplies"/>
    <x v="0"/>
    <x v="9"/>
    <s v="Smart Binders 905"/>
    <x v="0"/>
    <s v="Second Class"/>
    <n v="9"/>
    <n v="4042.45"/>
    <n v="0.1"/>
    <n v="32743.84"/>
    <n v="22452.05"/>
    <n v="10291.790000000001"/>
    <s v="Pending"/>
    <x v="2"/>
    <m/>
    <m/>
    <m/>
    <m/>
    <m/>
    <x v="1"/>
    <m/>
    <m/>
  </r>
  <r>
    <s v="ORD-2024-10265"/>
    <x v="247"/>
    <s v="05/21/2024"/>
    <m/>
    <n v="0"/>
    <s v="CUST-4750"/>
    <s v="Diya Patel"/>
    <s v="Diya Patel"/>
    <s v="Small Business"/>
    <x v="1"/>
    <x v="1"/>
    <s v="Bihar"/>
    <s v="Patna"/>
    <s v="Technology"/>
    <x v="2"/>
    <x v="6"/>
    <s v="Pro Copiers 599"/>
    <x v="3"/>
    <s v="Standard Class"/>
    <n v="4"/>
    <n v="1503.07"/>
    <n v="0"/>
    <n v="6012.28"/>
    <n v="3927.64"/>
    <n v="2084.64"/>
    <s v="Paid"/>
    <x v="0"/>
    <m/>
    <m/>
    <m/>
    <m/>
    <m/>
    <x v="1"/>
    <m/>
    <m/>
  </r>
  <r>
    <s v="ORD-2024-10266"/>
    <x v="248"/>
    <s v="11/22/2024"/>
    <m/>
    <n v="0"/>
    <s v="CUST-3974"/>
    <s v="Priya Menon"/>
    <s v="Priya Menon"/>
    <s v="Corporate"/>
    <x v="2"/>
    <x v="1"/>
    <s v="Bihar"/>
    <s v="Patna"/>
    <s v="Furniture"/>
    <x v="1"/>
    <x v="10"/>
    <s v="Basic Bookcases 570"/>
    <x v="1"/>
    <s v="Same Day"/>
    <n v="1"/>
    <n v="582.37"/>
    <n v="0.15"/>
    <n v="495.01"/>
    <n v="285.13"/>
    <n v="209.88"/>
    <s v="Refunded"/>
    <x v="1"/>
    <m/>
    <m/>
    <m/>
    <m/>
    <m/>
    <x v="1"/>
    <m/>
    <m/>
  </r>
  <r>
    <s v="ORD-2025-10267"/>
    <x v="249"/>
    <s v="2025-05-10"/>
    <m/>
    <n v="0"/>
    <s v="CUST-7114"/>
    <s v="Neha Gupta"/>
    <s v="Neha Gupta"/>
    <s v="Home Office"/>
    <x v="3"/>
    <x v="3"/>
    <s v="Maharashtra"/>
    <s v="Mumbai"/>
    <s v="Office Supplies"/>
    <x v="0"/>
    <x v="8"/>
    <s v="Classic Storage 926"/>
    <x v="0"/>
    <s v="Second Class"/>
    <n v="3"/>
    <n v="4339.24"/>
    <n v="0"/>
    <n v="13017.72"/>
    <n v="10170.57"/>
    <n v="2847.15"/>
    <s v="Paid"/>
    <x v="0"/>
    <m/>
    <m/>
    <m/>
    <m/>
    <m/>
    <x v="1"/>
    <m/>
    <m/>
  </r>
  <r>
    <s v="ORD-2025-10268"/>
    <x v="250"/>
    <s v="04-06-2025"/>
    <m/>
    <n v="0"/>
    <s v="CUST-4431"/>
    <s v="Diya Patel"/>
    <s v="Diya Patel"/>
    <s v="Corporate"/>
    <x v="2"/>
    <x v="1"/>
    <s v="Jharkhand"/>
    <s v="Ranchi"/>
    <s v="Furniture"/>
    <x v="1"/>
    <x v="3"/>
    <s v="Basic Furnishings 372"/>
    <x v="2"/>
    <s v="First Class"/>
    <n v="4"/>
    <n v="261.8"/>
    <n v="0.25"/>
    <n v="785.4"/>
    <n v="557.22"/>
    <n v="228.18"/>
    <s v="Paid"/>
    <x v="0"/>
    <m/>
    <m/>
    <m/>
    <m/>
    <m/>
    <x v="1"/>
    <m/>
    <m/>
  </r>
  <r>
    <s v="ORD-2025-10269"/>
    <x v="251"/>
    <s v="08/17/2025"/>
    <m/>
    <n v="0"/>
    <s v="CUST-1488"/>
    <s v="Aarav Sharma"/>
    <s v="Aarav Sharma"/>
    <s v="Home Office"/>
    <x v="3"/>
    <x v="0"/>
    <s v="Punjab"/>
    <s v="Ludhiana"/>
    <s v="Technology"/>
    <x v="2"/>
    <x v="5"/>
    <s v="Prime Accessories 367"/>
    <x v="2"/>
    <s v="First Class"/>
    <n v="7"/>
    <n v="632.20000000000005"/>
    <n v="0.25"/>
    <n v="3319.05"/>
    <n v="2124.6"/>
    <n v="1194.45"/>
    <s v="Paid"/>
    <x v="0"/>
    <m/>
    <m/>
    <m/>
    <m/>
    <m/>
    <x v="1"/>
    <m/>
    <m/>
  </r>
  <r>
    <s v="ORD-2025-10270"/>
    <x v="252"/>
    <s v="02/12/2025"/>
    <m/>
    <n v="0"/>
    <s v="CUST-1586"/>
    <s v="Rahul Verma"/>
    <s v="Rahul Verma"/>
    <s v="Small Business"/>
    <x v="1"/>
    <x v="3"/>
    <s v="Rajasthan"/>
    <s v="Udaipur"/>
    <s v="Furniture"/>
    <x v="1"/>
    <x v="1"/>
    <s v="Max Tables 526"/>
    <x v="1"/>
    <s v="Same Day"/>
    <n v="1"/>
    <n v="1925.86"/>
    <n v="0"/>
    <n v="1925.86"/>
    <n v="1321.89"/>
    <n v="603.97"/>
    <s v="Paid"/>
    <x v="0"/>
    <m/>
    <m/>
    <m/>
    <m/>
    <m/>
    <x v="1"/>
    <m/>
    <m/>
  </r>
  <r>
    <s v="ORD-2024-10271"/>
    <x v="223"/>
    <s v="13-01-2024"/>
    <m/>
    <n v="0"/>
    <s v="CUST-2487"/>
    <s v="Aditi Sen"/>
    <s v="Aditi Sen"/>
    <s v="Corporate"/>
    <x v="2"/>
    <x v="0"/>
    <s v="Uttar Pradesh"/>
    <s v="Noida"/>
    <s v="Technology"/>
    <x v="2"/>
    <x v="12"/>
    <s v="Prime Machines 794"/>
    <x v="1"/>
    <s v="Same Day"/>
    <n v="3"/>
    <n v="827.44"/>
    <n v="0"/>
    <n v="2482.3200000000002"/>
    <n v="1520.21"/>
    <n v="962.11"/>
    <s v="Paid"/>
    <x v="0"/>
    <m/>
    <m/>
    <m/>
    <m/>
    <m/>
    <x v="1"/>
    <m/>
    <m/>
  </r>
  <r>
    <s v="ORD-2024-10272"/>
    <x v="253"/>
    <s v="25 Dec 2024"/>
    <m/>
    <n v="0"/>
    <s v="CUST-8009"/>
    <s v="Aditi Sen"/>
    <s v="Aditi Sen"/>
    <s v="Consumer"/>
    <x v="0"/>
    <x v="2"/>
    <s v="Telangana"/>
    <s v="Hyderabad"/>
    <s v="Office Supplies"/>
    <x v="0"/>
    <x v="9"/>
    <s v="Max Binders 927"/>
    <x v="3"/>
    <s v="Standard Class"/>
    <n v="7"/>
    <n v="1667.75"/>
    <n v="0"/>
    <n v="11674.25"/>
    <n v="9621.19"/>
    <n v="2053.06"/>
    <s v="Failed"/>
    <x v="1"/>
    <m/>
    <m/>
    <m/>
    <m/>
    <m/>
    <x v="1"/>
    <m/>
    <m/>
  </r>
  <r>
    <s v="ORD-2024-10273"/>
    <x v="254"/>
    <s v="24 Aug 2024"/>
    <m/>
    <n v="0"/>
    <s v="CUST-7389"/>
    <s v="Arjun Bose"/>
    <s v="Arjun Bose"/>
    <s v="Consumer"/>
    <x v="0"/>
    <x v="2"/>
    <s v="Andhra Pradesh"/>
    <s v="Vijayawada"/>
    <s v="Furniture"/>
    <x v="1"/>
    <x v="4"/>
    <s v="Eco Chairs 314"/>
    <x v="2"/>
    <s v="First Class"/>
    <n v="7"/>
    <n v="557.21"/>
    <n v="0.1"/>
    <n v="3510.42"/>
    <n v="2191.5"/>
    <n v="1213.48"/>
    <s v="Paid"/>
    <x v="0"/>
    <m/>
    <m/>
    <m/>
    <m/>
    <m/>
    <x v="1"/>
    <m/>
    <m/>
  </r>
  <r>
    <s v="ORD-2025-10274"/>
    <x v="255"/>
    <s v="13 Feb 2025"/>
    <m/>
    <n v="0"/>
    <s v="CUST-8249"/>
    <s v="Isha Nair"/>
    <s v="Isha Nair"/>
    <s v="Consumer"/>
    <x v="0"/>
    <x v="1"/>
    <s v="Bihar"/>
    <s v="Patna"/>
    <s v="Office Supplies"/>
    <x v="0"/>
    <x v="0"/>
    <s v="Basic Paper 657"/>
    <x v="0"/>
    <s v="Second Class"/>
    <n v="9"/>
    <n v="2521.63"/>
    <n v="0"/>
    <n v="22694.67"/>
    <n v="15405.36"/>
    <n v="7289.31"/>
    <s v="Paid"/>
    <x v="2"/>
    <m/>
    <m/>
    <m/>
    <m/>
    <m/>
    <x v="1"/>
    <m/>
    <m/>
  </r>
  <r>
    <s v="ORD-2024-10275"/>
    <x v="256"/>
    <s v="14-04-2024"/>
    <m/>
    <n v="0"/>
    <s v="CUST-4202"/>
    <s v="Rohan Mehta"/>
    <s v="Rohan Mehta"/>
    <s v="Consumer"/>
    <x v="0"/>
    <x v="2"/>
    <s v="Kerala"/>
    <s v="Kochi"/>
    <s v="Technology"/>
    <x v="2"/>
    <x v="6"/>
    <s v="Pro Copiers 406"/>
    <x v="3"/>
    <s v="Standard Class"/>
    <n v="6"/>
    <n v="4246.71"/>
    <n v="0.15"/>
    <n v="21658.22"/>
    <n v="15490.69"/>
    <n v="6167.53"/>
    <s v="Failed"/>
    <x v="2"/>
    <m/>
    <m/>
    <m/>
    <m/>
    <m/>
    <x v="1"/>
    <m/>
    <m/>
  </r>
  <r>
    <s v="ORD-2024-10276"/>
    <x v="112"/>
    <s v="02/22/2024"/>
    <m/>
    <n v="0"/>
    <s v="CUST-2875"/>
    <s v="Priya Menon"/>
    <s v="Priya Menon"/>
    <s v="Small Business"/>
    <x v="1"/>
    <x v="1"/>
    <s v="West Bengal"/>
    <s v="Kolkata"/>
    <s v="Furniture"/>
    <x v="1"/>
    <x v="3"/>
    <s v="Eco Furnishings 678"/>
    <x v="1"/>
    <s v="Same Day"/>
    <n v="1"/>
    <n v="980.51"/>
    <n v="0"/>
    <n v="980.51"/>
    <n v="660.92"/>
    <n v="319.58999999999997"/>
    <s v="Paid"/>
    <x v="0"/>
    <m/>
    <m/>
    <m/>
    <m/>
    <m/>
    <x v="1"/>
    <m/>
    <m/>
  </r>
  <r>
    <s v="ORD-2024-10277"/>
    <x v="184"/>
    <s v="23-01-2024"/>
    <s v="OK"/>
    <s v="OK"/>
    <s v="CUST-7039"/>
    <s v="Aarav Sharma"/>
    <s v="Aarav Sharma"/>
    <s v="Small Business"/>
    <x v="1"/>
    <x v="1"/>
    <s v="Assam"/>
    <s v="Guwahati"/>
    <s v="Furniture"/>
    <x v="1"/>
    <x v="4"/>
    <s v="Basic Chairs 141"/>
    <x v="0"/>
    <s v="Second Class"/>
    <n v="6"/>
    <n v="3391.53"/>
    <n v="-0.14000000000000001"/>
    <n v="15261.89"/>
    <n v="8413.5300000000007"/>
    <n v="6848.36"/>
    <s v="Paid"/>
    <x v="0"/>
    <m/>
    <m/>
    <m/>
    <m/>
    <m/>
    <x v="1"/>
    <m/>
    <m/>
  </r>
  <r>
    <s v="ORD-2025-10278"/>
    <x v="257"/>
    <s v="04 Jun 2025"/>
    <m/>
    <n v="0"/>
    <s v="CUST-2819"/>
    <s v="Isha Nair"/>
    <s v="Isha Nair"/>
    <s v="Corporate"/>
    <x v="2"/>
    <x v="0"/>
    <s v="Haryana"/>
    <s v="Gurugram"/>
    <s v="Technology"/>
    <x v="2"/>
    <x v="5"/>
    <s v="Elite Accessories 291"/>
    <x v="0"/>
    <s v="Second Class"/>
    <n v="1"/>
    <n v="2133.73"/>
    <n v="0.15"/>
    <n v="2008.39"/>
    <n v="1002.57"/>
    <n v="811.1"/>
    <s v="Pending"/>
    <x v="1"/>
    <m/>
    <m/>
    <m/>
    <m/>
    <m/>
    <x v="1"/>
    <m/>
    <m/>
  </r>
  <r>
    <s v="ORD-2025-10279"/>
    <x v="258"/>
    <s v="2025-03-14"/>
    <m/>
    <n v="0"/>
    <s v="CUST-8242"/>
    <s v="Priya Menon"/>
    <s v="Priya Menon"/>
    <s v="Small Business"/>
    <x v="1"/>
    <x v="0"/>
    <s v="Delhi"/>
    <s v="New Delhi"/>
    <s v="Technology"/>
    <x v="2"/>
    <x v="5"/>
    <s v="Pro Accessories 207"/>
    <x v="1"/>
    <s v="Same Day"/>
    <n v="1"/>
    <n v="3979.64"/>
    <n v="0.05"/>
    <n v="3780.66"/>
    <n v="2148.31"/>
    <n v="1632.35"/>
    <s v="Paid"/>
    <x v="2"/>
    <m/>
    <m/>
    <m/>
    <m/>
    <m/>
    <x v="1"/>
    <m/>
    <m/>
  </r>
  <r>
    <s v="ORD-2024-10280"/>
    <x v="259"/>
    <s v="10 Apr 2024"/>
    <m/>
    <n v="0"/>
    <s v="CUST-4571"/>
    <s v="Rohan Mehta"/>
    <s v="Rohan Mehta"/>
    <s v="Small Business"/>
    <x v="1"/>
    <x v="3"/>
    <s v="Maharashtra"/>
    <s v="Mumbai"/>
    <s v="Office Supplies"/>
    <x v="0"/>
    <x v="8"/>
    <s v="Max Storage 564"/>
    <x v="2"/>
    <s v="First Class"/>
    <n v="1"/>
    <n v="4359.12"/>
    <n v="0.05"/>
    <n v="4141.16"/>
    <n v="2754.17"/>
    <n v="1386.99"/>
    <s v="Paid"/>
    <x v="0"/>
    <m/>
    <m/>
    <m/>
    <m/>
    <m/>
    <x v="1"/>
    <m/>
    <m/>
  </r>
  <r>
    <s v="ORD-2024-10281"/>
    <x v="260"/>
    <s v="26-12-2024"/>
    <m/>
    <n v="0"/>
    <s v="CUST-4098"/>
    <s v="Aditi Sen"/>
    <s v="Aditi Sen"/>
    <s v="Consumer"/>
    <x v="0"/>
    <x v="2"/>
    <s v="Karnataka"/>
    <s v="Bengaluru"/>
    <s v="Technology"/>
    <x v="2"/>
    <x v="6"/>
    <s v="Prime Copiers 961"/>
    <x v="3"/>
    <s v="Standard Class"/>
    <n v="9"/>
    <n v="993.67"/>
    <n v="0"/>
    <n v="8943.0300000000007"/>
    <n v="5165.38"/>
    <n v="3777.65"/>
    <s v="Paid"/>
    <x v="0"/>
    <m/>
    <m/>
    <m/>
    <m/>
    <m/>
    <x v="1"/>
    <m/>
    <m/>
  </r>
  <r>
    <s v="ORD-2025-10282"/>
    <x v="261"/>
    <s v="07/27/2025"/>
    <m/>
    <n v="0"/>
    <s v="CUST-2052"/>
    <s v="Kabir Singh"/>
    <s v="Kabir Singh"/>
    <s v="Consumer"/>
    <x v="0"/>
    <x v="1"/>
    <s v="Jharkhand"/>
    <s v="Ranchi"/>
    <s v="Office Supplies"/>
    <x v="0"/>
    <x v="9"/>
    <s v="Basic Binders 637"/>
    <x v="0"/>
    <s v="Second Class"/>
    <n v="6"/>
    <n v="3438.38"/>
    <n v="0.2"/>
    <n v="16504.22"/>
    <n v="11262.71"/>
    <n v="5241.51"/>
    <s v="Paid"/>
    <x v="0"/>
    <m/>
    <m/>
    <m/>
    <m/>
    <m/>
    <x v="1"/>
    <m/>
    <m/>
  </r>
  <r>
    <s v="ORD-2024-10283"/>
    <x v="262"/>
    <s v="10/02/2024"/>
    <m/>
    <n v="0"/>
    <s v="CUST-9445"/>
    <s v="Karan Malhotra"/>
    <s v="Karan Malhotra"/>
    <s v="Home Office"/>
    <x v="3"/>
    <x v="1"/>
    <s v="Assam"/>
    <s v="Guwahati"/>
    <s v="Furniture"/>
    <x v="1"/>
    <x v="1"/>
    <s v="Classic Tables 811"/>
    <x v="0"/>
    <s v="Second Class"/>
    <n v="2"/>
    <n v="2298"/>
    <n v="0"/>
    <n v="4596"/>
    <n v="3220.33"/>
    <n v="1375.67"/>
    <s v="Paid"/>
    <x v="0"/>
    <m/>
    <m/>
    <m/>
    <m/>
    <m/>
    <x v="1"/>
    <m/>
    <m/>
  </r>
  <r>
    <s v="ORD-2025-10284"/>
    <x v="263"/>
    <s v="20-03-2025"/>
    <m/>
    <n v="0"/>
    <s v="CUST-6568"/>
    <s v="Vikram Iyer"/>
    <s v="Vikram Iyer"/>
    <s v="Consumer"/>
    <x v="0"/>
    <x v="3"/>
    <s v="Maharashtra"/>
    <s v="Mumbai"/>
    <s v="Furniture"/>
    <x v="1"/>
    <x v="3"/>
    <s v="Classic Furnishings 819"/>
    <x v="2"/>
    <s v="First Class"/>
    <n v="1"/>
    <n v="1814.01"/>
    <n v="0"/>
    <n v="1814.01"/>
    <n v="1033.47"/>
    <n v="780.54"/>
    <s v="Paid"/>
    <x v="0"/>
    <m/>
    <m/>
    <m/>
    <m/>
    <m/>
    <x v="1"/>
    <m/>
    <m/>
  </r>
  <r>
    <s v="ORD-2024-10285"/>
    <x v="264"/>
    <s v="12/14/2024"/>
    <m/>
    <n v="0"/>
    <s v="CUST-2076"/>
    <s v="Karan Malhotra"/>
    <s v="Karan Malhotra"/>
    <s v="Consumer"/>
    <x v="0"/>
    <x v="1"/>
    <s v="Odisha"/>
    <s v="Bhubaneswar"/>
    <s v="Furniture"/>
    <x v="1"/>
    <x v="1"/>
    <s v="Prime Tables 542"/>
    <x v="1"/>
    <s v="Same Day"/>
    <n v="3"/>
    <n v="1576.92"/>
    <n v="0"/>
    <n v="4730.76"/>
    <n v="3139.73"/>
    <n v="1591.03"/>
    <s v="Paid"/>
    <x v="2"/>
    <m/>
    <m/>
    <m/>
    <m/>
    <m/>
    <x v="1"/>
    <m/>
    <m/>
  </r>
  <r>
    <s v="ORD-2025-10286"/>
    <x v="265"/>
    <s v="2025-08-20"/>
    <m/>
    <n v="0"/>
    <s v="CUST-5610"/>
    <s v="Neha Gupta"/>
    <s v="Neha Gupta"/>
    <s v="Home Office"/>
    <x v="3"/>
    <x v="0"/>
    <s v="Rajasthan"/>
    <s v="Jaipur"/>
    <s v="Office Supplies"/>
    <x v="0"/>
    <x v="8"/>
    <s v="Basic Storage 771"/>
    <x v="3"/>
    <s v="Standard Class"/>
    <n v="9"/>
    <n v="4081.77"/>
    <n v="0"/>
    <n v="36735.93"/>
    <n v="30820.84"/>
    <n v="5915.09"/>
    <s v="Paid"/>
    <x v="0"/>
    <m/>
    <m/>
    <m/>
    <m/>
    <m/>
    <x v="1"/>
    <m/>
    <m/>
  </r>
  <r>
    <s v="ORD-2024-10287"/>
    <x v="266"/>
    <s v="03/02/2024"/>
    <m/>
    <n v="0"/>
    <s v="CUST-5823"/>
    <s v="Priya Menon"/>
    <s v="Priya Menon"/>
    <s v="Small Business"/>
    <x v="1"/>
    <x v="0"/>
    <s v="Delhi"/>
    <s v="New Delhi"/>
    <s v="Furniture"/>
    <x v="1"/>
    <x v="3"/>
    <s v="Pro Furnishings 848"/>
    <x v="2"/>
    <s v="First Class"/>
    <n v="7"/>
    <n v="701.8"/>
    <n v="0.1"/>
    <n v="4421.34"/>
    <n v="2489.98"/>
    <n v="1931.36"/>
    <s v="Pending"/>
    <x v="2"/>
    <m/>
    <m/>
    <m/>
    <m/>
    <m/>
    <x v="1"/>
    <m/>
    <m/>
  </r>
  <r>
    <s v="ORD-2024-10288"/>
    <x v="267"/>
    <s v="07-09-2024"/>
    <m/>
    <n v="0"/>
    <s v="CUST-7095"/>
    <s v="Neha Gupta"/>
    <s v="Neha Gupta"/>
    <s v="Small Business"/>
    <x v="1"/>
    <x v="2"/>
    <s v="Tamil Nadu"/>
    <s v="Chennai"/>
    <s v="Technology"/>
    <x v="2"/>
    <x v="6"/>
    <s v="Prime Copiers 924"/>
    <x v="3"/>
    <s v="Standard Class"/>
    <n v="3"/>
    <n v="2555.66"/>
    <n v="0.15"/>
    <n v="6516.93"/>
    <n v="4511.54"/>
    <n v="2005.39"/>
    <s v="Paid"/>
    <x v="1"/>
    <m/>
    <m/>
    <m/>
    <m/>
    <m/>
    <x v="1"/>
    <m/>
    <m/>
  </r>
  <r>
    <s v="ORD-2024-10289"/>
    <x v="268"/>
    <s v="2024-06-24"/>
    <m/>
    <n v="0"/>
    <s v="CUST-4805"/>
    <s v="Rohan Mehta"/>
    <s v="Rohan Mehta"/>
    <s v="Small Business"/>
    <x v="1"/>
    <x v="1"/>
    <s v="Bihar"/>
    <s v="Patna"/>
    <s v="Office Supplies"/>
    <x v="0"/>
    <x v="9"/>
    <s v="Classic Binders 721"/>
    <x v="1"/>
    <s v="Same Day"/>
    <n v="2"/>
    <n v="4359.8999999999996"/>
    <n v="0.15"/>
    <n v="7411.83"/>
    <n v="4904.63"/>
    <n v="2507.1999999999998"/>
    <s v="Paid"/>
    <x v="0"/>
    <m/>
    <m/>
    <m/>
    <m/>
    <m/>
    <x v="1"/>
    <m/>
    <m/>
  </r>
  <r>
    <s v="ORD-2025-10290"/>
    <x v="269"/>
    <s v="06/27/2025"/>
    <m/>
    <n v="0"/>
    <s v="CUST-9114"/>
    <s v="Karan Malhotra"/>
    <s v="Karan Malhotra"/>
    <s v="Home Office"/>
    <x v="3"/>
    <x v="2"/>
    <s v="Tamil Nadu"/>
    <s v="Chennai"/>
    <s v="Furniture"/>
    <x v="1"/>
    <x v="10"/>
    <s v="Basic Bookcases 823"/>
    <x v="2"/>
    <s v="First Class"/>
    <n v="2"/>
    <n v="4346.6899999999996"/>
    <n v="0.05"/>
    <n v="8258.7099999999991"/>
    <n v="7018.97"/>
    <n v="1239.74"/>
    <s v="Paid"/>
    <x v="0"/>
    <m/>
    <m/>
    <m/>
    <m/>
    <m/>
    <x v="1"/>
    <m/>
    <m/>
  </r>
  <r>
    <s v="ORD-2025-10291"/>
    <x v="270"/>
    <s v="2025-08-26"/>
    <m/>
    <n v="0"/>
    <s v="CUST-8557"/>
    <s v="Diya Patel"/>
    <s v="Diya Patel"/>
    <s v="Home Office"/>
    <x v="3"/>
    <x v="1"/>
    <s v="Jharkhand"/>
    <s v="Ranchi"/>
    <s v="Furniture"/>
    <x v="1"/>
    <x v="1"/>
    <s v="Classic Tables 178"/>
    <x v="3"/>
    <s v="Standard Class"/>
    <n v="1"/>
    <n v="1842.63"/>
    <n v="0.1"/>
    <n v="1658.37"/>
    <n v="971.12"/>
    <n v="687.25"/>
    <s v="Paid"/>
    <x v="0"/>
    <m/>
    <m/>
    <m/>
    <m/>
    <m/>
    <x v="1"/>
    <m/>
    <m/>
  </r>
  <r>
    <s v="ORD-2024-10292"/>
    <x v="271"/>
    <s v="2024-04-10"/>
    <m/>
    <n v="0"/>
    <s v="CUST-2860"/>
    <s v="Priya Menon"/>
    <s v="Priya Menon"/>
    <s v="Home Office"/>
    <x v="3"/>
    <x v="0"/>
    <s v="Rajasthan"/>
    <s v="Jaipur"/>
    <s v="Office Supplies"/>
    <x v="0"/>
    <x v="9"/>
    <s v="Eco Binders 153"/>
    <x v="3"/>
    <s v="Standard Class"/>
    <n v="4"/>
    <n v="3228.66"/>
    <n v="0.25"/>
    <n v="9685.98"/>
    <n v="7730.04"/>
    <n v="1955.94"/>
    <s v="Paid"/>
    <x v="0"/>
    <m/>
    <m/>
    <m/>
    <m/>
    <m/>
    <x v="1"/>
    <m/>
    <m/>
  </r>
  <r>
    <s v="ORD-2025-10293"/>
    <x v="272"/>
    <s v="03-03-2025"/>
    <m/>
    <n v="0"/>
    <s v="CUST-7837"/>
    <s v="Kabir Singh"/>
    <s v="Kabir Singh"/>
    <s v="Home Office"/>
    <x v="3"/>
    <x v="0"/>
    <s v="Haryana"/>
    <s v="Gurugram"/>
    <s v="Office Supplies"/>
    <x v="0"/>
    <x v="2"/>
    <s v="Classic Art 183"/>
    <x v="1"/>
    <s v="Same Day"/>
    <n v="9"/>
    <n v="3748.95"/>
    <n v="0"/>
    <n v="33740.550000000003"/>
    <n v="24621.89"/>
    <n v="9118.66"/>
    <s v="Pending"/>
    <x v="1"/>
    <m/>
    <m/>
    <m/>
    <m/>
    <m/>
    <x v="1"/>
    <m/>
    <m/>
  </r>
  <r>
    <s v="ORD-2024-10294"/>
    <x v="273"/>
    <s v="11-03-2024"/>
    <m/>
    <n v="0"/>
    <s v="CUST-7010"/>
    <s v="Arjun Bose"/>
    <s v="Arjun Bose"/>
    <s v="Home Office"/>
    <x v="3"/>
    <x v="2"/>
    <s v="Telangana"/>
    <s v="Hyderabad"/>
    <s v="Technology"/>
    <x v="2"/>
    <x v="11"/>
    <s v="Pro Phones 455"/>
    <x v="2"/>
    <s v="First Class"/>
    <n v="2"/>
    <n v="4401.51"/>
    <n v="0.65"/>
    <n v="8362.8700000000008"/>
    <n v="6541.04"/>
    <n v="1821.83"/>
    <s v="Paid"/>
    <x v="0"/>
    <m/>
    <m/>
    <m/>
    <m/>
    <m/>
    <x v="1"/>
    <m/>
    <m/>
  </r>
  <r>
    <s v="ORD-2025-10295"/>
    <x v="274"/>
    <s v="07/22/2025"/>
    <m/>
    <n v="0"/>
    <s v="CUST-4755"/>
    <s v="Priya Menon"/>
    <s v="Priya Menon"/>
    <s v="Consumer"/>
    <x v="0"/>
    <x v="1"/>
    <s v="Odisha"/>
    <s v="Bhubaneswar"/>
    <s v="Technology"/>
    <x v="2"/>
    <x v="11"/>
    <s v="Basic Phones 326"/>
    <x v="0"/>
    <s v="Second Class"/>
    <n v="6"/>
    <n v="4159.33"/>
    <n v="0.25"/>
    <n v="18716.990000000002"/>
    <n v="12282.43"/>
    <n v="6434.56"/>
    <s v="Paid"/>
    <x v="2"/>
    <m/>
    <m/>
    <m/>
    <m/>
    <m/>
    <x v="1"/>
    <m/>
    <m/>
  </r>
  <r>
    <s v="ORD-2025-10296"/>
    <x v="275"/>
    <s v="28 Jun 2025"/>
    <m/>
    <n v="0"/>
    <s v="CUST-6778"/>
    <s v="Aditi Sen"/>
    <s v="Aditi Sen"/>
    <s v="Small Business"/>
    <x v="1"/>
    <x v="1"/>
    <s v="Assam"/>
    <s v="Guwahati"/>
    <s v="Office Supplies"/>
    <x v="0"/>
    <x v="9"/>
    <s v="Max Binders 587"/>
    <x v="3"/>
    <s v="Standard Class"/>
    <n v="3"/>
    <n v="3476.05"/>
    <n v="0.1"/>
    <n v="9385.34"/>
    <n v="5828.54"/>
    <n v="3556.8"/>
    <s v="Paid"/>
    <x v="0"/>
    <m/>
    <m/>
    <m/>
    <m/>
    <m/>
    <x v="1"/>
    <m/>
    <m/>
  </r>
  <r>
    <s v="ORD-2025-10297"/>
    <x v="276"/>
    <s v="05/26/2025"/>
    <m/>
    <n v="0"/>
    <s v="CUST-7629"/>
    <s v="Aditi Sen"/>
    <s v="Aditi Sen"/>
    <s v="Home Office"/>
    <x v="3"/>
    <x v="0"/>
    <s v="Haryana"/>
    <s v="Gurugram"/>
    <s v="Furniture"/>
    <x v="1"/>
    <x v="3"/>
    <s v="Basic Furnishings 617"/>
    <x v="1"/>
    <s v="Same Day"/>
    <n v="6"/>
    <n v="3495.41"/>
    <n v="0.15"/>
    <n v="17826.59"/>
    <n v="10855.35"/>
    <n v="6971.24"/>
    <s v="Paid"/>
    <x v="0"/>
    <m/>
    <m/>
    <m/>
    <m/>
    <m/>
    <x v="1"/>
    <m/>
    <m/>
  </r>
  <r>
    <s v="ORD-2024-10298"/>
    <x v="277"/>
    <s v="06-11-2024"/>
    <m/>
    <n v="0"/>
    <s v="CUST-6724"/>
    <s v="Sneha Kapoor"/>
    <s v="Sneha Kapoor"/>
    <s v="Corporate"/>
    <x v="2"/>
    <x v="2"/>
    <s v="Tamil Nadu"/>
    <s v="Chennai"/>
    <s v="Technology"/>
    <x v="2"/>
    <x v="6"/>
    <s v="Prime Copiers 669"/>
    <x v="1"/>
    <s v="Same Day"/>
    <n v="6"/>
    <n v="1169.92"/>
    <n v="0.15"/>
    <n v="5966.59"/>
    <n v="3994.72"/>
    <n v="1971.87"/>
    <s v="Paid"/>
    <x v="0"/>
    <m/>
    <m/>
    <m/>
    <m/>
    <m/>
    <x v="1"/>
    <m/>
    <m/>
  </r>
  <r>
    <s v="ORD-2025-10299"/>
    <x v="278"/>
    <s v="2025-01-26"/>
    <m/>
    <n v="0"/>
    <s v="CUST-2141"/>
    <s v="Isha Nair"/>
    <s v="Isha Nair"/>
    <s v="Consumer"/>
    <x v="0"/>
    <x v="2"/>
    <s v="Kerala"/>
    <s v="Kochi"/>
    <s v="Technology"/>
    <x v="2"/>
    <x v="6"/>
    <s v="Eco Copiers 894"/>
    <x v="2"/>
    <s v="First Class"/>
    <n v="7"/>
    <n v="348.49"/>
    <n v="0.2"/>
    <n v="1951.54"/>
    <n v="1609.95"/>
    <n v="341.59"/>
    <s v="Failed"/>
    <x v="2"/>
    <m/>
    <m/>
    <m/>
    <m/>
    <m/>
    <x v="1"/>
    <m/>
    <m/>
  </r>
  <r>
    <s v="ORD-2024-10300"/>
    <x v="279"/>
    <s v="2024-11-12"/>
    <m/>
    <n v="0"/>
    <s v="CUST-7264"/>
    <s v="Rahul Verma"/>
    <s v="Rahul Verma"/>
    <s v="Small Business"/>
    <x v="1"/>
    <x v="3"/>
    <s v="Gujarat"/>
    <s v="Ahmedabad"/>
    <s v="Technology"/>
    <x v="2"/>
    <x v="5"/>
    <s v="Max Accessories 145"/>
    <x v="3"/>
    <s v="Standard Class"/>
    <n v="7"/>
    <n v="1719.05"/>
    <n v="0.1"/>
    <n v="10830.02"/>
    <n v="7055.31"/>
    <n v="3774.71"/>
    <s v="Paid"/>
    <x v="0"/>
    <m/>
    <m/>
    <m/>
    <m/>
    <m/>
    <x v="1"/>
    <m/>
    <m/>
  </r>
  <r>
    <s v="ORD-2024-10301"/>
    <x v="280"/>
    <s v="04/23/2024"/>
    <m/>
    <n v="0"/>
    <s v="CUST-2668"/>
    <s v="Diya Patel"/>
    <s v="Diya Patel"/>
    <s v="Small Business"/>
    <x v="1"/>
    <x v="0"/>
    <s v="Punjab"/>
    <s v="Ludhiana"/>
    <s v="Technology"/>
    <x v="2"/>
    <x v="5"/>
    <s v="Classic Accessories 126"/>
    <x v="0"/>
    <s v="Second Class"/>
    <n v="9"/>
    <n v="3893.74"/>
    <n v="0.1"/>
    <n v="31539.29"/>
    <n v="22100.14"/>
    <n v="9439.15"/>
    <s v="Paid"/>
    <x v="0"/>
    <m/>
    <m/>
    <m/>
    <m/>
    <m/>
    <x v="1"/>
    <m/>
    <m/>
  </r>
  <r>
    <s v="ORD-2025-10302"/>
    <x v="250"/>
    <s v="01-06-2025"/>
    <m/>
    <n v="0"/>
    <s v="CUST-5599"/>
    <s v="Isha Nair"/>
    <s v="Isha Nair"/>
    <s v="Home Office"/>
    <x v="3"/>
    <x v="1"/>
    <s v="Bihar"/>
    <s v="Patna"/>
    <s v="Technology"/>
    <x v="2"/>
    <x v="11"/>
    <s v="Elite Phones 202"/>
    <x v="1"/>
    <s v="Same Day"/>
    <n v="4"/>
    <n v="1654.11"/>
    <n v="0.05"/>
    <n v="6285.62"/>
    <n v="3705.38"/>
    <n v="2580.2399999999998"/>
    <s v="Paid"/>
    <x v="0"/>
    <m/>
    <m/>
    <m/>
    <m/>
    <m/>
    <x v="1"/>
    <m/>
    <m/>
  </r>
  <r>
    <s v="ORD-2025-10303"/>
    <x v="281"/>
    <s v="2025-06-12"/>
    <m/>
    <n v="0"/>
    <s v="CUST-1623"/>
    <s v="Neha Gupta"/>
    <s v="Neha Gupta"/>
    <s v="Consumer"/>
    <x v="0"/>
    <x v="3"/>
    <s v="Goa"/>
    <s v="Panaji"/>
    <s v="Office Supplies"/>
    <x v="0"/>
    <x v="8"/>
    <s v="Elite Storage 535"/>
    <x v="1"/>
    <s v="Same Day"/>
    <n v="2"/>
    <n v="2703.28"/>
    <n v="0.25"/>
    <n v="4054.92"/>
    <n v="2424.83"/>
    <n v="1630.09"/>
    <s v="Paid"/>
    <x v="0"/>
    <m/>
    <m/>
    <m/>
    <m/>
    <m/>
    <x v="1"/>
    <m/>
    <m/>
  </r>
  <r>
    <s v="ORD-2024-10304"/>
    <x v="282"/>
    <s v="28-06-2024"/>
    <m/>
    <n v="0"/>
    <s v="CUST-9035"/>
    <s v="Diya Patel"/>
    <s v="Diya Patel"/>
    <s v="Home Office"/>
    <x v="3"/>
    <x v="3"/>
    <s v="Gujarat"/>
    <s v="Ahmedabad"/>
    <s v="Furniture"/>
    <x v="1"/>
    <x v="4"/>
    <s v="Elite Chairs 107"/>
    <x v="3"/>
    <s v="Standard Class"/>
    <n v="2"/>
    <n v="1313.14"/>
    <n v="0.1"/>
    <n v="2363.65"/>
    <n v="1876.1"/>
    <n v="487.55"/>
    <s v="Pending"/>
    <x v="2"/>
    <m/>
    <m/>
    <m/>
    <m/>
    <m/>
    <x v="1"/>
    <m/>
    <m/>
  </r>
  <r>
    <s v="ORD-2024-10305"/>
    <x v="283"/>
    <s v="2024-03-13"/>
    <m/>
    <n v="0"/>
    <s v="CUST-6286"/>
    <s v="Karan Malhotra"/>
    <s v="Karan Malhotra"/>
    <s v="Consumer"/>
    <x v="0"/>
    <x v="0"/>
    <s v="Punjab"/>
    <s v="Ludhiana"/>
    <s v="Furniture"/>
    <x v="1"/>
    <x v="3"/>
    <s v="Pro Furnishings 991"/>
    <x v="3"/>
    <s v="Standard Class"/>
    <n v="6"/>
    <n v="2403.0500000000002"/>
    <n v="0.1"/>
    <n v="12976.47"/>
    <n v="10019.98"/>
    <n v="2956.49"/>
    <s v="Paid"/>
    <x v="0"/>
    <m/>
    <m/>
    <m/>
    <m/>
    <m/>
    <x v="1"/>
    <m/>
    <m/>
  </r>
  <r>
    <s v="ORD-2024-10306"/>
    <x v="284"/>
    <s v="05/02/2024"/>
    <m/>
    <n v="0"/>
    <s v="CUST-7246"/>
    <s v="Ananya Rao"/>
    <s v="Ananya Rao"/>
    <s v="Consumer"/>
    <x v="0"/>
    <x v="1"/>
    <s v="Assam"/>
    <s v="Guwahati"/>
    <s v="Furniture"/>
    <x v="1"/>
    <x v="4"/>
    <s v="Eco Chairs 105"/>
    <x v="2"/>
    <s v="First Class"/>
    <n v="4"/>
    <n v="4156.0600000000004"/>
    <n v="0.55000000000000004"/>
    <n v="13299.39"/>
    <n v="9851.91"/>
    <n v="3447.48"/>
    <s v="Paid"/>
    <x v="1"/>
    <m/>
    <m/>
    <m/>
    <m/>
    <m/>
    <x v="1"/>
    <m/>
    <m/>
  </r>
  <r>
    <s v="ORD-2025-10307"/>
    <x v="285"/>
    <s v="2025-02-23"/>
    <m/>
    <n v="0"/>
    <s v="CUST-2589"/>
    <s v="Aarav Sharma"/>
    <s v="Aarav Sharma"/>
    <s v="Consumer"/>
    <x v="0"/>
    <x v="0"/>
    <s v="Rajasthan"/>
    <s v="Jaipur"/>
    <s v="Technology"/>
    <x v="2"/>
    <x v="11"/>
    <s v="Pro Phones 530"/>
    <x v="0"/>
    <s v="Second Class"/>
    <n v="4"/>
    <n v="3673.11"/>
    <n v="0"/>
    <n v="14692.44"/>
    <n v="10082.19"/>
    <n v="4610.25"/>
    <s v="Paid"/>
    <x v="0"/>
    <m/>
    <m/>
    <m/>
    <m/>
    <m/>
    <x v="1"/>
    <m/>
    <m/>
  </r>
  <r>
    <s v="ORD-2025-10308"/>
    <x v="286"/>
    <s v="19 Jul 2025"/>
    <m/>
    <n v="0"/>
    <s v="CUST-4153"/>
    <s v="Ananya Rao"/>
    <s v="Ananya Rao"/>
    <s v="Corporate"/>
    <x v="2"/>
    <x v="0"/>
    <s v="Uttar Pradesh"/>
    <s v="Noida"/>
    <s v="Furniture"/>
    <x v="1"/>
    <x v="1"/>
    <s v="Basic Tables 911"/>
    <x v="2"/>
    <s v="First Class"/>
    <n v="9"/>
    <n v="4093.04"/>
    <n v="0.2"/>
    <n v="29469.89"/>
    <n v="18935.509999999998"/>
    <n v="10534.38"/>
    <s v="Pending"/>
    <x v="1"/>
    <m/>
    <m/>
    <m/>
    <m/>
    <m/>
    <x v="1"/>
    <m/>
    <m/>
  </r>
  <r>
    <s v="ORD-2025-10309"/>
    <x v="287"/>
    <s v="2025-06-19"/>
    <m/>
    <n v="0"/>
    <s v="CUST-6727"/>
    <s v="Rohan Mehta"/>
    <s v="Rohan Mehta"/>
    <s v="Consumer"/>
    <x v="0"/>
    <x v="0"/>
    <s v="Rajasthan"/>
    <s v="Jaipur"/>
    <s v="Furniture"/>
    <x v="1"/>
    <x v="1"/>
    <s v="Classic Tables 224"/>
    <x v="2"/>
    <s v="First Class"/>
    <n v="4"/>
    <n v="731.57"/>
    <n v="0.2"/>
    <n v="2341.02"/>
    <n v="1565.49"/>
    <n v="775.53"/>
    <s v="Paid"/>
    <x v="0"/>
    <m/>
    <m/>
    <m/>
    <m/>
    <m/>
    <x v="1"/>
    <m/>
    <m/>
  </r>
  <r>
    <s v="ORD-2024-10310"/>
    <x v="288"/>
    <s v="2024-07-22"/>
    <m/>
    <n v="0"/>
    <s v="CUST-8860"/>
    <s v="Ananya Rao"/>
    <s v="Ananya Rao"/>
    <s v="Consumer"/>
    <x v="0"/>
    <x v="2"/>
    <s v="Tamil Nadu"/>
    <s v="Chennai"/>
    <s v="Furniture"/>
    <x v="1"/>
    <x v="1"/>
    <s v="Prime Tables 214"/>
    <x v="2"/>
    <s v="First Class"/>
    <n v="7"/>
    <n v="2060.73"/>
    <n v="0.1"/>
    <n v="12982.6"/>
    <n v="7246.36"/>
    <n v="5736.24"/>
    <s v="Paid"/>
    <x v="1"/>
    <m/>
    <m/>
    <m/>
    <m/>
    <m/>
    <x v="1"/>
    <m/>
    <m/>
  </r>
  <r>
    <s v="ORD-2024-10311"/>
    <x v="289"/>
    <s v="08-07-2024"/>
    <m/>
    <n v="0"/>
    <s v="CUST-3784"/>
    <s v="Rohan Mehta"/>
    <s v="Rohan Mehta"/>
    <s v="Small Business"/>
    <x v="1"/>
    <x v="2"/>
    <s v="Tamil Nadu"/>
    <s v="Chennai"/>
    <s v="Technology"/>
    <x v="2"/>
    <x v="12"/>
    <s v="Max Machines 988"/>
    <x v="2"/>
    <s v="First Class"/>
    <n v="8"/>
    <n v="2034.25"/>
    <n v="0"/>
    <n v="16274"/>
    <n v="9424.25"/>
    <n v="6849.75"/>
    <s v="Paid"/>
    <x v="0"/>
    <m/>
    <m/>
    <m/>
    <m/>
    <m/>
    <x v="1"/>
    <m/>
    <m/>
  </r>
  <r>
    <s v="ORD-2024-10312"/>
    <x v="290"/>
    <s v="02-05-2024"/>
    <m/>
    <n v="0"/>
    <s v="CUST-3545"/>
    <s v="Mira Das"/>
    <s v="Mira Das"/>
    <s v="Corporate"/>
    <x v="2"/>
    <x v="2"/>
    <s v="Karnataka"/>
    <s v="Bengaluru"/>
    <s v="Office Supplies"/>
    <x v="0"/>
    <x v="9"/>
    <s v="Max Binders 425"/>
    <x v="0"/>
    <s v="Second Class"/>
    <n v="5"/>
    <n v="554.04"/>
    <n v="0.1"/>
    <n v="2493.1799999999998"/>
    <n v="1764"/>
    <n v="729.18"/>
    <s v="Paid"/>
    <x v="0"/>
    <m/>
    <m/>
    <m/>
    <m/>
    <m/>
    <x v="1"/>
    <m/>
    <m/>
  </r>
  <r>
    <s v="ORD-2024-10313"/>
    <x v="291"/>
    <s v="04-08-2024"/>
    <m/>
    <n v="0"/>
    <s v="CUST-4851"/>
    <s v="Karan Malhotra"/>
    <s v="Karan Malhotra"/>
    <s v="Small Business"/>
    <x v="1"/>
    <x v="1"/>
    <s v="Assam"/>
    <s v="Guwahati"/>
    <s v="Technology"/>
    <x v="2"/>
    <x v="11"/>
    <s v="Elite Phones 679"/>
    <x v="3"/>
    <s v="Standard Class"/>
    <n v="8"/>
    <n v="2614.7399999999998"/>
    <m/>
    <n v="15688.44"/>
    <n v="10047.33"/>
    <n v="5641.11"/>
    <s v="Paid"/>
    <x v="1"/>
    <m/>
    <m/>
    <m/>
    <m/>
    <m/>
    <x v="1"/>
    <m/>
    <m/>
  </r>
  <r>
    <s v="ORD-2025-10314"/>
    <x v="292"/>
    <s v="31-05-2025"/>
    <m/>
    <n v="0"/>
    <s v="CUST-4770"/>
    <s v="Rahul Verma"/>
    <s v="Rahul Verma"/>
    <s v="Corporate"/>
    <x v="2"/>
    <x v="0"/>
    <s v="Uttar Pradesh"/>
    <s v="Noida"/>
    <s v="Technology"/>
    <x v="2"/>
    <x v="11"/>
    <s v="Pro Phones 764"/>
    <x v="2"/>
    <s v="First Class"/>
    <n v="8"/>
    <n v="2081.4299999999998"/>
    <n v="0.25"/>
    <n v="12488.58"/>
    <n v="10717.4"/>
    <n v="1771.18"/>
    <s v="Refunded"/>
    <x v="1"/>
    <m/>
    <m/>
    <m/>
    <m/>
    <m/>
    <x v="1"/>
    <m/>
    <m/>
  </r>
  <r>
    <s v="ORD-2025-10315"/>
    <x v="192"/>
    <s v="20 May 2025"/>
    <m/>
    <n v="0"/>
    <s v="CUST-1945"/>
    <s v="Isha Nair"/>
    <s v="Isha Nair"/>
    <s v="Corporate"/>
    <x v="2"/>
    <x v="3"/>
    <s v="Madhya Pradesh"/>
    <s v="Indore"/>
    <s v="Office Supplies"/>
    <x v="0"/>
    <x v="7"/>
    <s v="Elite Labels 544"/>
    <x v="3"/>
    <s v="Standard Class"/>
    <n v="9"/>
    <n v="847.76"/>
    <n v="0.15"/>
    <n v="6485.36"/>
    <n v="5376.17"/>
    <n v="1109.19"/>
    <s v="Failed"/>
    <x v="2"/>
    <m/>
    <m/>
    <m/>
    <m/>
    <m/>
    <x v="1"/>
    <m/>
    <m/>
  </r>
  <r>
    <s v="ORD-2024-10316"/>
    <x v="293"/>
    <s v="2024-07-08"/>
    <m/>
    <n v="0"/>
    <s v="CUST-7565"/>
    <s v="Rohan Mehta"/>
    <s v="Rohan Mehta"/>
    <s v="Consumer"/>
    <x v="0"/>
    <x v="0"/>
    <s v="Delhi"/>
    <s v="New Delhi"/>
    <s v="Office Supplies"/>
    <x v="0"/>
    <x v="0"/>
    <s v="Smart Paper 817"/>
    <x v="3"/>
    <s v="Standard Class"/>
    <n v="9"/>
    <n v="3450.4"/>
    <n v="0.05"/>
    <n v="29500.92"/>
    <n v="17989.68"/>
    <n v="11511.24"/>
    <s v="Pending"/>
    <x v="2"/>
    <m/>
    <m/>
    <m/>
    <m/>
    <m/>
    <x v="1"/>
    <m/>
    <m/>
  </r>
  <r>
    <s v="ORD-2024-10317"/>
    <x v="294"/>
    <s v="02/18/2024"/>
    <m/>
    <n v="0"/>
    <s v="CUST-9913"/>
    <s v="Karan Malhotra"/>
    <s v="Karan Malhotra"/>
    <s v="Corporate"/>
    <x v="2"/>
    <x v="0"/>
    <s v="Punjab"/>
    <s v="Ludhiana"/>
    <s v="Office Supplies"/>
    <x v="0"/>
    <x v="7"/>
    <s v="Classic Labels 466"/>
    <x v="3"/>
    <s v="Standard Class"/>
    <n v="2"/>
    <n v="1947.53"/>
    <n v="0.2"/>
    <n v="3116.05"/>
    <n v="1956.63"/>
    <n v="1159.42"/>
    <s v="Paid"/>
    <x v="1"/>
    <m/>
    <m/>
    <m/>
    <m/>
    <m/>
    <x v="1"/>
    <m/>
    <m/>
  </r>
  <r>
    <s v="ORD-2025-10318"/>
    <x v="295"/>
    <s v="04 Sep 2025"/>
    <m/>
    <n v="0"/>
    <s v="CUST-7992"/>
    <s v="Neha Gupta"/>
    <s v="Neha Gupta"/>
    <s v="Corporate"/>
    <x v="2"/>
    <x v="2"/>
    <s v="Kerala"/>
    <s v="Kochi"/>
    <s v="Furniture"/>
    <x v="1"/>
    <x v="1"/>
    <s v="Pro Tables 778"/>
    <x v="2"/>
    <s v="First Class"/>
    <n v="9"/>
    <n v="2996.97"/>
    <n v="0.15"/>
    <n v="22926.82"/>
    <n v="14621.59"/>
    <n v="8305.23"/>
    <s v="Paid"/>
    <x v="0"/>
    <m/>
    <m/>
    <m/>
    <m/>
    <m/>
    <x v="1"/>
    <m/>
    <m/>
  </r>
  <r>
    <s v="ORD-2024-10319"/>
    <x v="296"/>
    <s v="30-04-2024"/>
    <m/>
    <n v="0"/>
    <s v="CUST-8877"/>
    <s v="Mira Das"/>
    <s v="Mira Das"/>
    <s v="Small Business"/>
    <x v="1"/>
    <x v="2"/>
    <s v="Karnataka"/>
    <s v="Bengaluru"/>
    <s v="Technology"/>
    <x v="2"/>
    <x v="11"/>
    <s v="Basic Phones 789"/>
    <x v="3"/>
    <s v="Standard Class"/>
    <n v="3"/>
    <n v="4149.46"/>
    <n v="0.1"/>
    <n v="11203.54"/>
    <n v="8452.93"/>
    <n v="2750.61"/>
    <s v="Paid"/>
    <x v="0"/>
    <m/>
    <m/>
    <m/>
    <m/>
    <m/>
    <x v="1"/>
    <m/>
    <m/>
  </r>
  <r>
    <s v="ORD-2024-10320"/>
    <x v="297"/>
    <s v="08/25/2024"/>
    <m/>
    <n v="0"/>
    <s v="CUST-4589"/>
    <s v="Diya Patel"/>
    <s v="Diya Patel"/>
    <s v="Consumer"/>
    <x v="0"/>
    <x v="3"/>
    <s v="Gujarat"/>
    <s v="Ahmedabad"/>
    <s v="Office Supplies"/>
    <x v="0"/>
    <x v="9"/>
    <s v="Prime Binders 554"/>
    <x v="2"/>
    <s v="First Class"/>
    <n v="1"/>
    <n v="270.27999999999997"/>
    <n v="0"/>
    <n v="270.27999999999997"/>
    <n v="156.34"/>
    <n v="113.94"/>
    <s v="Paid"/>
    <x v="0"/>
    <m/>
    <m/>
    <m/>
    <m/>
    <m/>
    <x v="1"/>
    <m/>
    <m/>
  </r>
  <r>
    <s v="ORD-2024-10321"/>
    <x v="298"/>
    <s v="12/06/2024"/>
    <m/>
    <n v="0"/>
    <s v="CUST-4667"/>
    <s v="Aarav Sharma"/>
    <s v="Aarav Sharma"/>
    <s v="Home Office"/>
    <x v="3"/>
    <x v="1"/>
    <s v="West Bengal"/>
    <s v="Kolkata"/>
    <s v="Office Supplies"/>
    <x v="0"/>
    <x v="2"/>
    <s v="Classic Art 299"/>
    <x v="0"/>
    <s v="Second Class"/>
    <n v="3"/>
    <n v="876.14"/>
    <s v="70%"/>
    <n v="2628.42"/>
    <n v="1541.54"/>
    <n v="1086.8800000000001"/>
    <s v="Pending"/>
    <x v="2"/>
    <m/>
    <m/>
    <m/>
    <m/>
    <m/>
    <x v="1"/>
    <m/>
    <m/>
  </r>
  <r>
    <s v="ORD-2024-10322"/>
    <x v="299"/>
    <s v="30 Jun 2024"/>
    <m/>
    <n v="0"/>
    <s v="CUST-7821"/>
    <s v="Neha Gupta"/>
    <s v="Neha Gupta"/>
    <s v="Small Business"/>
    <x v="1"/>
    <x v="3"/>
    <s v="Goa"/>
    <s v="Panaji"/>
    <s v="Technology"/>
    <x v="2"/>
    <x v="5"/>
    <s v="Eco Accessories 220"/>
    <x v="1"/>
    <s v="Same Day"/>
    <n v="4"/>
    <n v="674.82"/>
    <n v="0"/>
    <n v="2699.28"/>
    <n v="1759.76"/>
    <n v="939.52"/>
    <s v="Failed"/>
    <x v="1"/>
    <m/>
    <m/>
    <m/>
    <m/>
    <m/>
    <x v="1"/>
    <m/>
    <m/>
  </r>
  <r>
    <s v="ORD-2024-10323"/>
    <x v="300"/>
    <s v="12-11-2024"/>
    <m/>
    <n v="0"/>
    <s v="CUST-8579"/>
    <s v="Isha Nair"/>
    <s v="Isha Nair"/>
    <s v="Consumer"/>
    <x v="0"/>
    <x v="0"/>
    <s v="Uttar Pradesh"/>
    <s v="Noida"/>
    <s v="Technology"/>
    <x v="2"/>
    <x v="11"/>
    <s v="Max Phones 422"/>
    <x v="0"/>
    <s v="Second Class"/>
    <n v="6"/>
    <n v="1369.48"/>
    <n v="0.15"/>
    <n v="6984.35"/>
    <n v="4023.63"/>
    <n v="2960.72"/>
    <s v="Paid"/>
    <x v="0"/>
    <m/>
    <m/>
    <m/>
    <m/>
    <m/>
    <x v="1"/>
    <m/>
    <m/>
  </r>
  <r>
    <s v="ORD-2024-10324"/>
    <x v="301"/>
    <s v="29 Feb 2024"/>
    <m/>
    <n v="0"/>
    <s v="CUST-6909"/>
    <s v="Isha Nair"/>
    <s v="Isha Nair"/>
    <s v="Small Business"/>
    <x v="1"/>
    <x v="3"/>
    <s v="Goa"/>
    <s v="Panaji"/>
    <s v="Furniture"/>
    <x v="1"/>
    <x v="3"/>
    <s v="Eco Furnishings 897"/>
    <x v="3"/>
    <s v="Standard Class"/>
    <n v="9"/>
    <n v="1331.46"/>
    <n v="0.15"/>
    <n v="10185.67"/>
    <n v="6479.31"/>
    <n v="3706.36"/>
    <s v="Paid"/>
    <x v="0"/>
    <m/>
    <m/>
    <m/>
    <m/>
    <m/>
    <x v="1"/>
    <m/>
    <m/>
  </r>
  <r>
    <s v="ORD-2025-10325"/>
    <x v="302"/>
    <s v="02-08-2025"/>
    <m/>
    <n v="0"/>
    <s v="CUST-7212"/>
    <s v="Rohan Mehta"/>
    <s v="Rohan Mehta"/>
    <s v="Home Office"/>
    <x v="3"/>
    <x v="2"/>
    <s v="Andhra Pradesh"/>
    <s v="Vijayawada"/>
    <s v="Office Supplies"/>
    <x v="0"/>
    <x v="7"/>
    <s v="Basic Labels 102"/>
    <x v="1"/>
    <s v="Same Day"/>
    <n v="1"/>
    <n v="1947.88"/>
    <n v="0.15"/>
    <n v="1655.7"/>
    <n v="1354.8"/>
    <n v="300.89999999999998"/>
    <s v="Paid"/>
    <x v="2"/>
    <m/>
    <m/>
    <m/>
    <m/>
    <m/>
    <x v="1"/>
    <m/>
    <m/>
  </r>
  <r>
    <s v="ORD-2025-10326"/>
    <x v="303"/>
    <s v="2025-09-22"/>
    <m/>
    <n v="0"/>
    <s v="CUST-7980"/>
    <s v="Sneha Kapoor"/>
    <s v="Sneha Kapoor"/>
    <s v="Home Office"/>
    <x v="3"/>
    <x v="1"/>
    <s v="West Bengal"/>
    <s v="Kolkata"/>
    <s v="Technology"/>
    <x v="2"/>
    <x v="6"/>
    <s v="Prime Copiers 170"/>
    <x v="0"/>
    <s v="Second Class"/>
    <n v="5"/>
    <n v="3671.2"/>
    <n v="0.15"/>
    <n v="15602.6"/>
    <n v="11908.52"/>
    <n v="3694.08"/>
    <s v="Paid"/>
    <x v="0"/>
    <m/>
    <m/>
    <m/>
    <m/>
    <m/>
    <x v="1"/>
    <m/>
    <m/>
  </r>
  <r>
    <s v="ORD-2025-10327"/>
    <x v="304"/>
    <s v="07/22/2025"/>
    <m/>
    <n v="0"/>
    <s v="CUST-1966"/>
    <s v="Sneha Kapoor"/>
    <s v="Sneha Kapoor"/>
    <s v="Corporate"/>
    <x v="2"/>
    <x v="1"/>
    <s v="Jharkhand"/>
    <s v="Ranchi"/>
    <s v="Furniture"/>
    <x v="1"/>
    <x v="3"/>
    <s v="Smart Furnishings 533"/>
    <x v="1"/>
    <s v="Same Day"/>
    <n v="5"/>
    <n v="3187.05"/>
    <n v="0.05"/>
    <n v="15138.49"/>
    <n v="11235.72"/>
    <n v="3902.77"/>
    <s v="Paid"/>
    <x v="0"/>
    <m/>
    <m/>
    <m/>
    <m/>
    <m/>
    <x v="1"/>
    <m/>
    <m/>
  </r>
  <r>
    <s v="ORD-2024-10328"/>
    <x v="305"/>
    <s v="27-07-2024"/>
    <m/>
    <n v="0"/>
    <s v="CUST-6163"/>
    <s v="Isha Nair"/>
    <s v="Isha Nair"/>
    <s v="Consumer"/>
    <x v="0"/>
    <x v="3"/>
    <s v="Rajasthan"/>
    <s v="Udaipur"/>
    <s v="Technology"/>
    <x v="2"/>
    <x v="5"/>
    <s v="Classic Accessories 489"/>
    <x v="0"/>
    <s v="Second Class"/>
    <n v="3"/>
    <n v="1834.55"/>
    <n v="0.2"/>
    <n v="4402.92"/>
    <n v="2993.94"/>
    <n v="1408.98"/>
    <s v="Pending"/>
    <x v="1"/>
    <m/>
    <m/>
    <m/>
    <m/>
    <m/>
    <x v="1"/>
    <m/>
    <m/>
  </r>
  <r>
    <s v="ORD-2025-10329"/>
    <x v="306"/>
    <s v="04 Jun 2025"/>
    <m/>
    <n v="0"/>
    <s v="CUST-7239"/>
    <s v="Diya Patel"/>
    <s v="Diya Patel"/>
    <s v="Consumer"/>
    <x v="0"/>
    <x v="3"/>
    <s v="Maharashtra"/>
    <s v="Mumbai"/>
    <s v="Office Supplies"/>
    <x v="0"/>
    <x v="8"/>
    <s v="Smart Storage 439"/>
    <x v="2"/>
    <s v="First Class"/>
    <n v="6"/>
    <n v="3100.68"/>
    <n v="0"/>
    <n v="18604.080000000002"/>
    <n v="15834.3"/>
    <n v="2769.78"/>
    <s v="Paid"/>
    <x v="0"/>
    <m/>
    <m/>
    <m/>
    <m/>
    <m/>
    <x v="1"/>
    <m/>
    <m/>
  </r>
  <r>
    <s v="ORD-2025-10330"/>
    <x v="307"/>
    <s v="2025-05-18"/>
    <m/>
    <n v="0"/>
    <s v="CUST-9718"/>
    <s v="Neha Gupta"/>
    <s v="Neha Gupta"/>
    <s v="Small Business"/>
    <x v="1"/>
    <x v="3"/>
    <s v="Maharashtra"/>
    <s v="Mumbai"/>
    <s v="Office Supplies"/>
    <x v="0"/>
    <x v="8"/>
    <s v="Prime Storage 232"/>
    <x v="3"/>
    <s v="Standard Class"/>
    <n v="4"/>
    <n v="4053.03"/>
    <n v="0.05"/>
    <n v="15401.51"/>
    <n v="8650.42"/>
    <n v="6751.09"/>
    <s v="Paid"/>
    <x v="0"/>
    <m/>
    <m/>
    <m/>
    <m/>
    <m/>
    <x v="1"/>
    <m/>
    <m/>
  </r>
  <r>
    <s v="ORD-2024-10331"/>
    <x v="197"/>
    <s v="05/24/2024"/>
    <m/>
    <n v="0"/>
    <s v="CUST-1116"/>
    <s v="Arjun Bose"/>
    <s v="Arjun Bose"/>
    <s v="Home Office"/>
    <x v="3"/>
    <x v="0"/>
    <s v="Punjab"/>
    <s v="Ludhiana"/>
    <s v="Technology"/>
    <x v="2"/>
    <x v="5"/>
    <s v="Prime Accessories 335"/>
    <x v="1"/>
    <s v="Same Day"/>
    <n v="1"/>
    <n v="783.09"/>
    <n v="0"/>
    <n v="783.09"/>
    <n v="503.89"/>
    <n v="279.2"/>
    <s v="Failed"/>
    <x v="1"/>
    <m/>
    <m/>
    <m/>
    <m/>
    <m/>
    <x v="1"/>
    <m/>
    <m/>
  </r>
  <r>
    <s v="ORD-2024-10332"/>
    <x v="308"/>
    <s v="2024-12-06"/>
    <m/>
    <n v="0"/>
    <s v="CUST-9346"/>
    <s v="Sneha Kapoor"/>
    <s v="Sneha Kapoor"/>
    <s v="Home Office"/>
    <x v="3"/>
    <x v="1"/>
    <s v="Odisha"/>
    <s v="Bhubaneswar"/>
    <s v="Office Supplies"/>
    <x v="0"/>
    <x v="9"/>
    <s v="Smart Binders 939"/>
    <x v="0"/>
    <s v="Second Class"/>
    <n v="4"/>
    <n v="2685.66"/>
    <n v="0"/>
    <n v="10742.64"/>
    <n v="6477.37"/>
    <n v="4265.2700000000004"/>
    <s v="Paid"/>
    <x v="2"/>
    <m/>
    <m/>
    <m/>
    <m/>
    <m/>
    <x v="1"/>
    <m/>
    <m/>
  </r>
  <r>
    <s v="ORD-2025-10333"/>
    <x v="309"/>
    <s v="2025-05-28"/>
    <m/>
    <n v="0"/>
    <s v="CUST-5332"/>
    <s v="Aarav Sharma"/>
    <s v="Aarav Sharma"/>
    <s v="Consumer"/>
    <x v="0"/>
    <x v="2"/>
    <s v="Andhra Pradesh"/>
    <s v="Vijayawada"/>
    <s v="Technology"/>
    <x v="2"/>
    <x v="12"/>
    <s v="Basic Machines 601"/>
    <x v="0"/>
    <s v="Second Class"/>
    <n v="2"/>
    <n v="3911.96"/>
    <n v="0"/>
    <n v="7823.92"/>
    <n v="6034.63"/>
    <n v="1789.29"/>
    <s v="Paid"/>
    <x v="0"/>
    <m/>
    <m/>
    <m/>
    <m/>
    <m/>
    <x v="1"/>
    <m/>
    <m/>
  </r>
  <r>
    <s v="ORD-2025-10334"/>
    <x v="310"/>
    <s v="2025-06-27"/>
    <s v="OK"/>
    <s v="OK"/>
    <s v="CUST-8081"/>
    <s v="Rohan Mehta"/>
    <s v="Rohan Mehta"/>
    <s v="Home Office"/>
    <x v="3"/>
    <x v="0"/>
    <s v="Delhi"/>
    <s v="New Delhi"/>
    <s v="Technology"/>
    <x v="2"/>
    <x v="11"/>
    <s v="Pro Phones 968"/>
    <x v="2"/>
    <s v="First Class"/>
    <n v="2"/>
    <n v="1468.05"/>
    <n v="0"/>
    <n v="2936.1"/>
    <n v="1923.1"/>
    <n v="1013"/>
    <s v="Paid"/>
    <x v="0"/>
    <m/>
    <m/>
    <m/>
    <m/>
    <m/>
    <x v="1"/>
    <m/>
    <m/>
  </r>
  <r>
    <s v="ORD-2024-10335"/>
    <x v="311"/>
    <s v="17-09-2024"/>
    <m/>
    <n v="0"/>
    <s v="CUST-3062"/>
    <s v="Ananya Rao"/>
    <s v="Ananya Rao"/>
    <s v="Consumer"/>
    <x v="0"/>
    <x v="1"/>
    <s v="Jharkhand"/>
    <s v="Ranchi"/>
    <s v="Office Supplies"/>
    <x v="0"/>
    <x v="8"/>
    <s v="Pro Storage 563"/>
    <x v="2"/>
    <s v="First Class"/>
    <n v="9"/>
    <n v="1921.47"/>
    <n v="0.25"/>
    <n v="12969.92"/>
    <n v="9398.4599999999991"/>
    <n v="3571.46"/>
    <s v="Paid"/>
    <x v="0"/>
    <m/>
    <m/>
    <m/>
    <m/>
    <m/>
    <x v="1"/>
    <m/>
    <m/>
  </r>
  <r>
    <s v="ORD-2025-10336"/>
    <x v="312"/>
    <s v="18 Jun 2025"/>
    <m/>
    <n v="0"/>
    <s v="CUST-3621"/>
    <s v="Rahul Verma"/>
    <s v="Rahul Verma"/>
    <s v="Home Office"/>
    <x v="3"/>
    <x v="3"/>
    <s v="Madhya Pradesh"/>
    <s v="Indore"/>
    <s v="Office Supplies"/>
    <x v="0"/>
    <x v="0"/>
    <s v="Prime Paper 559"/>
    <x v="2"/>
    <s v="First Class"/>
    <n v="3"/>
    <n v="4289.37"/>
    <n v="0.1"/>
    <n v="11581.3"/>
    <n v="6829.43"/>
    <n v="4751.87"/>
    <s v="Paid"/>
    <x v="0"/>
    <m/>
    <m/>
    <m/>
    <m/>
    <m/>
    <x v="1"/>
    <m/>
    <m/>
  </r>
  <r>
    <s v="ORD-2024-10337"/>
    <x v="313"/>
    <s v="03/21/2024"/>
    <m/>
    <n v="0"/>
    <s v="CUST-2103"/>
    <s v="Aarav Sharma"/>
    <s v="Aarav Sharma"/>
    <s v="Consumer"/>
    <x v="0"/>
    <x v="0"/>
    <s v="Rajasthan"/>
    <s v="Jaipur"/>
    <s v="Technology"/>
    <x v="2"/>
    <x v="6"/>
    <s v="Pro Copiers 999"/>
    <x v="2"/>
    <s v="First Class"/>
    <n v="8"/>
    <n v="1992.57"/>
    <n v="0"/>
    <n v="15940.56"/>
    <n v="12347.15"/>
    <n v="3593.41"/>
    <s v="Paid"/>
    <x v="0"/>
    <m/>
    <m/>
    <m/>
    <m/>
    <m/>
    <x v="1"/>
    <m/>
    <m/>
  </r>
  <r>
    <s v="ORD-2024-10338"/>
    <x v="314"/>
    <s v="18 Aug 2024"/>
    <m/>
    <n v="0"/>
    <s v="CUST-4599"/>
    <s v="Ananya Rao"/>
    <s v="Ananya Rao"/>
    <s v="Consumer"/>
    <x v="0"/>
    <x v="1"/>
    <s v="Assam"/>
    <s v="Guwahati"/>
    <s v="Office Supplies"/>
    <x v="0"/>
    <x v="7"/>
    <s v="Classic Labels 206"/>
    <x v="1"/>
    <s v="Same Day"/>
    <n v="6"/>
    <n v="1181.74"/>
    <n v="0"/>
    <n v="7090.44"/>
    <n v="5672.27"/>
    <n v="1262.8699999999999"/>
    <s v="Paid"/>
    <x v="0"/>
    <m/>
    <m/>
    <m/>
    <m/>
    <m/>
    <x v="1"/>
    <m/>
    <m/>
  </r>
  <r>
    <s v="ORD-2024-10339"/>
    <x v="315"/>
    <s v="12/08/2024"/>
    <m/>
    <n v="0"/>
    <s v="CUST-3066"/>
    <s v="Arjun Bose"/>
    <s v="Arjun Bose"/>
    <s v="Small Business"/>
    <x v="1"/>
    <x v="2"/>
    <s v="Andhra Pradesh"/>
    <s v="Vijayawada"/>
    <s v="Technology"/>
    <x v="2"/>
    <x v="5"/>
    <s v="Eco Accessories 315"/>
    <x v="2"/>
    <s v="First Class"/>
    <n v="8"/>
    <n v="4402.3599999999997"/>
    <n v="0.25"/>
    <n v="26414.16"/>
    <n v="21822.53"/>
    <n v="4591.63"/>
    <s v="Paid"/>
    <x v="0"/>
    <m/>
    <m/>
    <m/>
    <m/>
    <m/>
    <x v="1"/>
    <m/>
    <m/>
  </r>
  <r>
    <s v="ORD-2025-10340"/>
    <x v="159"/>
    <s v="22-02-2025"/>
    <m/>
    <n v="0"/>
    <s v="CUST-2752"/>
    <s v="Neha Gupta"/>
    <s v="Neha Gupta"/>
    <s v="Corporate"/>
    <x v="2"/>
    <x v="1"/>
    <s v="Jharkhand"/>
    <s v="Ranchi"/>
    <s v="Furniture"/>
    <x v="1"/>
    <x v="10"/>
    <s v="Elite Bookcases 988"/>
    <x v="3"/>
    <s v="Standard Class"/>
    <n v="8"/>
    <n v="3265.76"/>
    <n v="0.2"/>
    <n v="20900.86"/>
    <n v="12513.14"/>
    <n v="8387.7199999999993"/>
    <s v="Paid"/>
    <x v="0"/>
    <m/>
    <m/>
    <m/>
    <m/>
    <m/>
    <x v="1"/>
    <m/>
    <m/>
  </r>
  <r>
    <s v="ORD-2024-10341"/>
    <x v="316"/>
    <s v="01/29/2024"/>
    <m/>
    <n v="0"/>
    <s v="CUST-6291"/>
    <s v="Neha Gupta"/>
    <s v="Neha Gupta"/>
    <s v="Consumer"/>
    <x v="0"/>
    <x v="2"/>
    <s v="Karnataka"/>
    <s v="Bengaluru"/>
    <s v="Office Supplies"/>
    <x v="0"/>
    <x v="9"/>
    <s v="Smart Binders 414"/>
    <x v="3"/>
    <s v="Standard Class"/>
    <n v="5"/>
    <n v="4058.08"/>
    <n v="0.1"/>
    <n v="18261.36"/>
    <n v="11399.94"/>
    <n v="6861.42"/>
    <s v="Paid"/>
    <x v="0"/>
    <m/>
    <m/>
    <m/>
    <m/>
    <m/>
    <x v="1"/>
    <m/>
    <m/>
  </r>
  <r>
    <s v="ORD-2025-10342"/>
    <x v="317"/>
    <s v="2025-09-09"/>
    <m/>
    <n v="0"/>
    <s v="CUST-9969"/>
    <s v="Rohan Mehta"/>
    <s v="Rohan Mehta"/>
    <s v="Home Office"/>
    <x v="3"/>
    <x v="3"/>
    <s v="Gujarat"/>
    <s v="Ahmedabad"/>
    <s v="Furniture"/>
    <x v="1"/>
    <x v="4"/>
    <s v="Eco Chairs 552"/>
    <x v="0"/>
    <s v="Second Class"/>
    <n v="2"/>
    <n v="3960.33"/>
    <n v="0.05"/>
    <n v="7524.63"/>
    <n v="6229.6"/>
    <n v="1295.03"/>
    <s v="Paid"/>
    <x v="0"/>
    <m/>
    <m/>
    <m/>
    <m/>
    <m/>
    <x v="1"/>
    <m/>
    <m/>
  </r>
  <r>
    <s v="ORD-2025-10343"/>
    <x v="318"/>
    <s v="01-08-2025"/>
    <m/>
    <n v="0"/>
    <s v="CUST-3335"/>
    <s v="Kabir Singh"/>
    <s v="Kabir Singh"/>
    <s v="Small Business"/>
    <x v="1"/>
    <x v="1"/>
    <s v="Jharkhand"/>
    <s v="Ranchi"/>
    <s v="Office Supplies"/>
    <x v="0"/>
    <x v="9"/>
    <s v="Smart Binders 574"/>
    <x v="2"/>
    <s v="First Class"/>
    <n v="8"/>
    <n v="1528.92"/>
    <n v="0"/>
    <n v="12231.36"/>
    <n v="8766.9"/>
    <n v="3464.46"/>
    <s v="Paid"/>
    <x v="0"/>
    <m/>
    <m/>
    <m/>
    <m/>
    <m/>
    <x v="1"/>
    <m/>
    <m/>
  </r>
  <r>
    <s v="ORD-2025-10344"/>
    <x v="319"/>
    <s v="08 Oct 2025"/>
    <m/>
    <n v="0"/>
    <s v="CUST-7358"/>
    <s v="Aarav Sharma"/>
    <s v="Aarav Sharma"/>
    <s v="Corporate"/>
    <x v="2"/>
    <x v="3"/>
    <s v="Madhya Pradesh"/>
    <s v="Indore"/>
    <s v="Technology"/>
    <x v="2"/>
    <x v="12"/>
    <s v="Pro Machines 444"/>
    <x v="1"/>
    <s v="Same Day"/>
    <n v="9"/>
    <n v="3837"/>
    <n v="0.1"/>
    <n v="31079.7"/>
    <n v="17758.25"/>
    <n v="13321.45"/>
    <s v="Paid"/>
    <x v="0"/>
    <m/>
    <m/>
    <m/>
    <m/>
    <m/>
    <x v="1"/>
    <m/>
    <m/>
  </r>
  <r>
    <s v="ORD-2024-10345"/>
    <x v="320"/>
    <s v="11-03-2024"/>
    <m/>
    <n v="0"/>
    <s v="CUST-8025"/>
    <s v="Priya Menon"/>
    <s v="Priya Menon"/>
    <s v="Consumer"/>
    <x v="0"/>
    <x v="0"/>
    <s v="Punjab"/>
    <s v="Ludhiana"/>
    <s v="Furniture"/>
    <x v="1"/>
    <x v="10"/>
    <s v="Elite Bookcases 184"/>
    <x v="1"/>
    <s v="Same Day"/>
    <n v="9"/>
    <n v="3456.38"/>
    <n v="0"/>
    <n v="31107.42"/>
    <n v="20146.66"/>
    <n v="10960.76"/>
    <s v="Pending"/>
    <x v="2"/>
    <m/>
    <m/>
    <m/>
    <m/>
    <m/>
    <x v="1"/>
    <m/>
    <m/>
  </r>
  <r>
    <s v="ORD-2024-10346"/>
    <x v="321"/>
    <s v="2024-09-22"/>
    <m/>
    <n v="0"/>
    <s v="CUST-4634"/>
    <s v="Karan Malhotra"/>
    <s v="Karan Malhotra"/>
    <s v="Consumer"/>
    <x v="0"/>
    <x v="3"/>
    <s v="Madhya Pradesh"/>
    <s v="Indore"/>
    <s v="Furniture"/>
    <x v="1"/>
    <x v="3"/>
    <s v="Elite Furnishings 138"/>
    <x v="0"/>
    <s v="Second Class"/>
    <n v="2"/>
    <n v="2765.3"/>
    <n v="0"/>
    <n v="5530.6"/>
    <n v="4453.1099999999997"/>
    <n v="1077.49"/>
    <s v="Paid"/>
    <x v="0"/>
    <m/>
    <m/>
    <m/>
    <m/>
    <m/>
    <x v="1"/>
    <m/>
    <m/>
  </r>
  <r>
    <s v="ORD-2025-10347"/>
    <x v="304"/>
    <s v="28-07-2025"/>
    <m/>
    <n v="0"/>
    <s v="CUST-3400"/>
    <s v="Rahul Verma"/>
    <s v="Rahul Verma"/>
    <s v="Corporate"/>
    <x v="2"/>
    <x v="2"/>
    <s v="Kerala"/>
    <s v="Kochi"/>
    <s v="Furniture"/>
    <x v="1"/>
    <x v="4"/>
    <s v="Eco Chairs 369"/>
    <x v="0"/>
    <s v="Second Class"/>
    <n v="6"/>
    <n v="1607.46"/>
    <n v="0.2"/>
    <n v="7715.81"/>
    <n v="4258.42"/>
    <n v="3457.39"/>
    <s v="Paid"/>
    <x v="0"/>
    <m/>
    <m/>
    <m/>
    <m/>
    <m/>
    <x v="1"/>
    <m/>
    <m/>
  </r>
  <r>
    <s v="ORD-2024-10348"/>
    <x v="322"/>
    <s v="12/08/2024"/>
    <m/>
    <n v="0"/>
    <s v="CUST-1172"/>
    <s v="Aarav Sharma"/>
    <s v="Aarav Sharma"/>
    <s v="Small Business"/>
    <x v="1"/>
    <x v="3"/>
    <s v="Goa"/>
    <s v="Panaji"/>
    <s v="Furniture"/>
    <x v="1"/>
    <x v="4"/>
    <s v="Max Chairs 487"/>
    <x v="0"/>
    <s v="Second Class"/>
    <n v="5"/>
    <n v="2981.49"/>
    <n v="0.2"/>
    <n v="11925.96"/>
    <n v="10103.51"/>
    <n v="1822.45"/>
    <s v="Refunded"/>
    <x v="2"/>
    <m/>
    <m/>
    <m/>
    <m/>
    <m/>
    <x v="1"/>
    <m/>
    <m/>
  </r>
  <r>
    <s v="ORD-2024-10349"/>
    <x v="231"/>
    <s v="06/07/2024"/>
    <m/>
    <n v="0"/>
    <s v="CUST-9517"/>
    <s v="Aarav Sharma"/>
    <s v="Aarav Sharma"/>
    <s v="Corporate"/>
    <x v="2"/>
    <x v="2"/>
    <s v="Karnataka"/>
    <s v="Bengaluru"/>
    <s v="Technology"/>
    <x v="2"/>
    <x v="11"/>
    <s v="Classic Phones 989"/>
    <x v="1"/>
    <s v="Same Day"/>
    <n v="9"/>
    <n v="2860.26"/>
    <n v="0.25"/>
    <n v="19306.759999999998"/>
    <n v="14442.38"/>
    <n v="4864.38"/>
    <s v="Paid"/>
    <x v="0"/>
    <m/>
    <m/>
    <m/>
    <m/>
    <m/>
    <x v="1"/>
    <m/>
    <m/>
  </r>
  <r>
    <s v="ORD-2025-10350"/>
    <x v="323"/>
    <s v="09/29/2025"/>
    <m/>
    <n v="0"/>
    <s v="CUST-6697"/>
    <s v="Kabir Singh"/>
    <s v="Kabir Singh"/>
    <s v="Home Office"/>
    <x v="3"/>
    <x v="1"/>
    <s v="Jharkhand"/>
    <s v="Ranchi"/>
    <s v="Furniture"/>
    <x v="1"/>
    <x v="3"/>
    <s v="Max Furnishings 628"/>
    <x v="0"/>
    <s v="Second Class"/>
    <n v="9"/>
    <n v="2867.55"/>
    <n v="0.25"/>
    <n v="19355.96"/>
    <n v="15012.45"/>
    <n v="4017.4"/>
    <s v="Paid"/>
    <x v="0"/>
    <m/>
    <m/>
    <m/>
    <m/>
    <m/>
    <x v="1"/>
    <m/>
    <m/>
  </r>
  <r>
    <s v="ORD-2024-10351"/>
    <x v="324"/>
    <s v="14 Jan 2024"/>
    <m/>
    <n v="0"/>
    <s v="CUST-7644"/>
    <s v="Sneha Kapoor"/>
    <s v="Sneha Kapoor"/>
    <s v="Small Business"/>
    <x v="1"/>
    <x v="1"/>
    <s v="Jharkhand"/>
    <s v="Ranchi"/>
    <s v="Furniture"/>
    <x v="1"/>
    <x v="3"/>
    <s v="Elite Furnishings 279"/>
    <x v="0"/>
    <s v="Second Class"/>
    <n v="4"/>
    <n v="3309.54"/>
    <n v="0.1"/>
    <n v="11914.34"/>
    <n v="9771.24"/>
    <n v="2143.1"/>
    <s v="Refunded"/>
    <x v="2"/>
    <m/>
    <m/>
    <m/>
    <m/>
    <m/>
    <x v="1"/>
    <m/>
    <m/>
  </r>
  <r>
    <s v="ORD-2025-10352"/>
    <x v="325"/>
    <s v="27 May 2025"/>
    <m/>
    <n v="0"/>
    <s v="CUST-9963"/>
    <s v="Vikram Iyer"/>
    <s v="Vikram Iyer"/>
    <s v="Small Business"/>
    <x v="1"/>
    <x v="2"/>
    <s v="Telangana"/>
    <s v="Hyderabad"/>
    <s v="Office Supplies"/>
    <x v="0"/>
    <x v="8"/>
    <s v="Pro Storage 847"/>
    <x v="2"/>
    <s v="First Class"/>
    <n v="6"/>
    <n v="719.44"/>
    <n v="0.25"/>
    <n v="3237.48"/>
    <n v="2118.34"/>
    <n v="1119.1400000000001"/>
    <s v="Pending"/>
    <x v="1"/>
    <m/>
    <m/>
    <m/>
    <m/>
    <m/>
    <x v="1"/>
    <m/>
    <m/>
  </r>
  <r>
    <s v="ORD-2025-10353"/>
    <x v="326"/>
    <s v="08/17/2025"/>
    <m/>
    <n v="0"/>
    <s v="CUST-6382"/>
    <s v="Diya Patel"/>
    <s v="Diya Patel"/>
    <s v="Small Business"/>
    <x v="1"/>
    <x v="1"/>
    <s v="Assam"/>
    <s v="Guwahati"/>
    <s v="Technology"/>
    <x v="2"/>
    <x v="6"/>
    <s v="Elite Copiers 706"/>
    <x v="2"/>
    <s v="First Class"/>
    <n v="5"/>
    <n v="2862.6"/>
    <n v="0.25"/>
    <n v="10734.75"/>
    <n v="6475.73"/>
    <n v="4259.0200000000004"/>
    <s v="Paid"/>
    <x v="0"/>
    <m/>
    <m/>
    <m/>
    <m/>
    <m/>
    <x v="1"/>
    <m/>
    <m/>
  </r>
  <r>
    <s v="ORD-2025-10354"/>
    <x v="327"/>
    <s v="27-02-2025"/>
    <m/>
    <n v="0"/>
    <s v="CUST-3253"/>
    <s v="Ananya Rao"/>
    <s v="Ananya Rao"/>
    <s v="Consumer"/>
    <x v="0"/>
    <x v="0"/>
    <s v="Rajasthan"/>
    <s v="Jaipur"/>
    <s v="Office Supplies"/>
    <x v="0"/>
    <x v="2"/>
    <s v="Prime Art 978"/>
    <x v="1"/>
    <s v="Same Day"/>
    <n v="9"/>
    <n v="1431.67"/>
    <n v="0.2"/>
    <n v="10308.02"/>
    <n v="5822.31"/>
    <n v="4485.71"/>
    <s v="Paid"/>
    <x v="0"/>
    <m/>
    <m/>
    <m/>
    <m/>
    <m/>
    <x v="1"/>
    <m/>
    <m/>
  </r>
  <r>
    <s v="ORD-2024-10355"/>
    <x v="14"/>
    <s v="2024-12-31"/>
    <m/>
    <n v="0"/>
    <s v="CUST-1058"/>
    <s v="Kabir Singh"/>
    <s v="Kabir Singh"/>
    <s v="Corporate"/>
    <x v="2"/>
    <x v="0"/>
    <s v="Punjab"/>
    <s v="Ludhiana"/>
    <s v="Furniture"/>
    <x v="1"/>
    <x v="3"/>
    <s v="Classic Furnishings 498"/>
    <x v="3"/>
    <s v="Standard Class"/>
    <n v="6"/>
    <n v="3346.78"/>
    <n v="-0.06"/>
    <n v="20080.68"/>
    <n v="12908.84"/>
    <n v="7171.84"/>
    <s v="Pending"/>
    <x v="1"/>
    <m/>
    <m/>
    <m/>
    <m/>
    <m/>
    <x v="1"/>
    <m/>
    <m/>
  </r>
  <r>
    <s v="ORD-2024-10356"/>
    <x v="328"/>
    <s v="2024-05-09"/>
    <m/>
    <n v="0"/>
    <s v="CUST-6414"/>
    <s v="Priya Menon"/>
    <s v="Priya Menon"/>
    <s v="Corporate"/>
    <x v="2"/>
    <x v="3"/>
    <s v="Rajasthan"/>
    <s v="Udaipur"/>
    <s v="Furniture"/>
    <x v="1"/>
    <x v="1"/>
    <s v="Max Tables 829"/>
    <x v="3"/>
    <s v="Standard Class"/>
    <n v="5"/>
    <n v="3203.48"/>
    <n v="0"/>
    <n v="16017.4"/>
    <n v="9557.7999999999993"/>
    <n v="6459.6"/>
    <s v="Pending"/>
    <x v="1"/>
    <m/>
    <m/>
    <m/>
    <m/>
    <m/>
    <x v="1"/>
    <m/>
    <m/>
  </r>
  <r>
    <s v="ORD-2025-10357"/>
    <x v="329"/>
    <s v="29 Jun 2025"/>
    <m/>
    <n v="0"/>
    <s v="CUST-9268"/>
    <s v="Rohan Mehta"/>
    <s v="Rohan Mehta"/>
    <s v="Home Office"/>
    <x v="3"/>
    <x v="2"/>
    <s v="Telangana"/>
    <s v="Hyderabad"/>
    <s v="Furniture"/>
    <x v="1"/>
    <x v="4"/>
    <s v="Eco Chairs 346"/>
    <x v="2"/>
    <s v="First Class"/>
    <n v="5"/>
    <n v="621.70000000000005"/>
    <n v="0.2"/>
    <n v="2486.8000000000002"/>
    <n v="2131.73"/>
    <n v="355.07"/>
    <s v="Pending"/>
    <x v="2"/>
    <m/>
    <m/>
    <m/>
    <m/>
    <m/>
    <x v="1"/>
    <m/>
    <m/>
  </r>
  <r>
    <s v="ORD-2025-10358"/>
    <x v="330"/>
    <s v="01/29/2025"/>
    <m/>
    <n v="0"/>
    <s v="CUST-1363"/>
    <s v="Mira Das"/>
    <s v="Mira Das"/>
    <s v="Home Office"/>
    <x v="3"/>
    <x v="2"/>
    <s v="Andhra Pradesh"/>
    <s v="Vijayawada"/>
    <s v="Technology"/>
    <x v="2"/>
    <x v="12"/>
    <s v="Max Machines 770"/>
    <x v="0"/>
    <s v="Second Class"/>
    <n v="8"/>
    <n v="546.13"/>
    <n v="0"/>
    <n v="4369.04"/>
    <n v="3716.88"/>
    <n v="652.16"/>
    <s v="Paid"/>
    <x v="1"/>
    <m/>
    <m/>
    <m/>
    <m/>
    <m/>
    <x v="1"/>
    <m/>
    <m/>
  </r>
  <r>
    <s v="ORD-2025-10359"/>
    <x v="331"/>
    <s v="2025-08-07"/>
    <m/>
    <n v="0"/>
    <s v="CUST-2477"/>
    <s v="Vikram Iyer"/>
    <s v="Vikram Iyer"/>
    <s v="Home Office"/>
    <x v="3"/>
    <x v="3"/>
    <s v="Gujarat"/>
    <s v="Ahmedabad"/>
    <s v="Furniture"/>
    <x v="1"/>
    <x v="10"/>
    <s v="Smart Bookcases 134"/>
    <x v="0"/>
    <s v="Second Class"/>
    <n v="5"/>
    <n v="1253.92"/>
    <n v="0.05"/>
    <n v="5956.12"/>
    <n v="4379.18"/>
    <n v="1576.94"/>
    <s v="Pending"/>
    <x v="2"/>
    <m/>
    <m/>
    <m/>
    <m/>
    <m/>
    <x v="1"/>
    <m/>
    <m/>
  </r>
  <r>
    <s v="ORD-2024-10360"/>
    <x v="297"/>
    <s v="22-08-2024"/>
    <m/>
    <n v="0"/>
    <s v="CUST-9571"/>
    <s v="Isha Nair"/>
    <s v="Isha Nair"/>
    <s v="Consumer"/>
    <x v="0"/>
    <x v="2"/>
    <s v="Tamil Nadu"/>
    <s v="Chennai"/>
    <s v="Technology"/>
    <x v="2"/>
    <x v="11"/>
    <s v="Classic Phones 586"/>
    <x v="1"/>
    <s v="Same Day"/>
    <n v="9"/>
    <n v="616.96"/>
    <n v="0.1"/>
    <n v="4997.38"/>
    <n v="2971.39"/>
    <n v="2025.99"/>
    <s v="Paid"/>
    <x v="0"/>
    <m/>
    <m/>
    <m/>
    <m/>
    <m/>
    <x v="1"/>
    <m/>
    <m/>
  </r>
  <r>
    <s v="ORD-2024-10361"/>
    <x v="332"/>
    <s v="2024-06-20"/>
    <m/>
    <n v="0"/>
    <s v="CUST-3690"/>
    <s v="Sneha Kapoor"/>
    <s v="Sneha Kapoor"/>
    <s v="Small Business"/>
    <x v="1"/>
    <x v="3"/>
    <s v="Gujarat"/>
    <s v="Ahmedabad"/>
    <s v="Furniture"/>
    <x v="1"/>
    <x v="3"/>
    <s v="Elite Furnishings 634"/>
    <x v="3"/>
    <s v="Standard Class"/>
    <n v="7"/>
    <n v="3155.25"/>
    <n v="0.2"/>
    <n v="17669.400000000001"/>
    <n v="13718.77"/>
    <n v="3950.63"/>
    <s v="Refunded"/>
    <x v="1"/>
    <m/>
    <m/>
    <m/>
    <m/>
    <m/>
    <x v="1"/>
    <m/>
    <m/>
  </r>
  <r>
    <s v="ORD-2025-10362"/>
    <x v="202"/>
    <s v="2025-04-02"/>
    <m/>
    <n v="0"/>
    <s v="CUST-2909"/>
    <s v="Rohan Mehta"/>
    <s v="Rohan Mehta"/>
    <s v="Corporate"/>
    <x v="2"/>
    <x v="1"/>
    <s v="Odisha"/>
    <s v="Bhubaneswar"/>
    <s v="Furniture"/>
    <x v="1"/>
    <x v="4"/>
    <s v="Basic Chairs 113"/>
    <x v="0"/>
    <s v="Second Class"/>
    <n v="9"/>
    <n v="4165.58"/>
    <n v="0.05"/>
    <n v="35615.71"/>
    <n v="20389.71"/>
    <n v="15226"/>
    <s v="Pending"/>
    <x v="2"/>
    <m/>
    <m/>
    <m/>
    <m/>
    <m/>
    <x v="1"/>
    <m/>
    <m/>
  </r>
  <r>
    <s v="ORD-2024-10363"/>
    <x v="333"/>
    <s v="25-08-2024"/>
    <m/>
    <n v="0"/>
    <s v="CUST-6755"/>
    <s v="Vikram Iyer"/>
    <s v="Vikram Iyer"/>
    <s v="Consumer"/>
    <x v="0"/>
    <x v="3"/>
    <s v="Goa"/>
    <s v="Panaji"/>
    <s v="Technology"/>
    <x v="2"/>
    <x v="12"/>
    <s v="Elite Machines 216"/>
    <x v="1"/>
    <s v="Same Day"/>
    <n v="4"/>
    <n v="491.16"/>
    <n v="0.05"/>
    <n v="1866.41"/>
    <n v="1576.49"/>
    <n v="289.92"/>
    <s v="Paid"/>
    <x v="0"/>
    <m/>
    <m/>
    <m/>
    <m/>
    <m/>
    <x v="1"/>
    <m/>
    <m/>
  </r>
  <r>
    <s v="ORD-2025-10364"/>
    <x v="334"/>
    <s v="07/12/2025"/>
    <m/>
    <n v="0"/>
    <s v="CUST-1832"/>
    <s v="Diya Patel"/>
    <s v="Diya Patel"/>
    <s v="Corporate"/>
    <x v="2"/>
    <x v="1"/>
    <s v="West Bengal"/>
    <s v="Kolkata"/>
    <s v="Furniture"/>
    <x v="1"/>
    <x v="1"/>
    <s v="Smart Tables 943"/>
    <x v="0"/>
    <s v="Second Class"/>
    <n v="5"/>
    <n v="1831.37"/>
    <n v="0.25"/>
    <n v="6867.64"/>
    <n v="5205.3599999999997"/>
    <n v="1662.28"/>
    <s v="Paid"/>
    <x v="0"/>
    <m/>
    <m/>
    <m/>
    <m/>
    <m/>
    <x v="1"/>
    <m/>
    <m/>
  </r>
  <r>
    <s v="ORD-2025-10365"/>
    <x v="335"/>
    <s v="2025-03-24"/>
    <m/>
    <n v="0"/>
    <s v="CUST-4452"/>
    <s v="Aarav Sharma"/>
    <s v="Aarav Sharma"/>
    <s v="Small Business"/>
    <x v="1"/>
    <x v="2"/>
    <s v="Andhra Pradesh"/>
    <s v="Vijayawada"/>
    <s v="Furniture"/>
    <x v="1"/>
    <x v="4"/>
    <s v="Prime Chairs 101"/>
    <x v="0"/>
    <s v="Second Class"/>
    <n v="5"/>
    <n v="1239.1500000000001"/>
    <n v="0"/>
    <n v="6195.75"/>
    <n v="3967.02"/>
    <n v="2228.73"/>
    <s v="Paid"/>
    <x v="0"/>
    <m/>
    <m/>
    <m/>
    <m/>
    <m/>
    <x v="1"/>
    <m/>
    <m/>
  </r>
  <r>
    <s v="ORD-2024-10366"/>
    <x v="336"/>
    <s v="21-06-2024"/>
    <m/>
    <n v="0"/>
    <s v="CUST-2203"/>
    <s v="Aditi Sen"/>
    <s v="Aditi Sen"/>
    <s v="Corporate"/>
    <x v="2"/>
    <x v="3"/>
    <s v="Goa"/>
    <s v="Panaji"/>
    <s v="Technology"/>
    <x v="2"/>
    <x v="5"/>
    <s v="Basic Accessories 774"/>
    <x v="2"/>
    <s v="First Class"/>
    <n v="8"/>
    <n v="1706.4"/>
    <m/>
    <n v="12968.64"/>
    <n v="10119.61"/>
    <n v="2849.03"/>
    <s v="Paid"/>
    <x v="0"/>
    <m/>
    <m/>
    <m/>
    <m/>
    <m/>
    <x v="1"/>
    <m/>
    <m/>
  </r>
  <r>
    <s v="ORD-2025-10367"/>
    <x v="337"/>
    <s v="2025-01-22"/>
    <m/>
    <n v="0"/>
    <s v="CUST-5397"/>
    <s v="Sneha Kapoor"/>
    <s v="Sneha Kapoor"/>
    <s v="Corporate"/>
    <x v="2"/>
    <x v="0"/>
    <s v="Rajasthan"/>
    <s v="Jaipur"/>
    <s v="Furniture"/>
    <x v="1"/>
    <x v="1"/>
    <s v="Max Tables 478"/>
    <x v="1"/>
    <s v="Same Day"/>
    <n v="2"/>
    <n v="4418.28"/>
    <n v="0"/>
    <n v="8836.56"/>
    <n v="5867.75"/>
    <n v="2968.81"/>
    <s v="Paid"/>
    <x v="0"/>
    <m/>
    <m/>
    <m/>
    <m/>
    <m/>
    <x v="1"/>
    <m/>
    <m/>
  </r>
  <r>
    <s v="ORD-2024-10368"/>
    <x v="169"/>
    <s v="03/16/2024"/>
    <m/>
    <n v="0"/>
    <s v="CUST-4696"/>
    <s v="Rohan Mehta"/>
    <s v="Rohan Mehta"/>
    <s v="Consumer"/>
    <x v="0"/>
    <x v="0"/>
    <s v="Delhi"/>
    <s v="New Delhi"/>
    <s v="Office Supplies"/>
    <x v="0"/>
    <x v="2"/>
    <s v="Eco Art 646"/>
    <x v="3"/>
    <s v="Standard Class"/>
    <n v="6"/>
    <n v="3815.09"/>
    <n v="0.15"/>
    <n v="19456.96"/>
    <n v="14520.06"/>
    <n v="4936.8999999999996"/>
    <s v="Failed"/>
    <x v="1"/>
    <m/>
    <m/>
    <m/>
    <m/>
    <m/>
    <x v="1"/>
    <m/>
    <m/>
  </r>
  <r>
    <s v="ORD-2025-10369"/>
    <x v="338"/>
    <s v="06-07-2025"/>
    <m/>
    <n v="0"/>
    <s v="CUST-8246"/>
    <s v="Aarav Sharma"/>
    <s v="Aarav Sharma"/>
    <s v="Home Office"/>
    <x v="3"/>
    <x v="0"/>
    <s v="Rajasthan"/>
    <s v="Jaipur"/>
    <s v="Technology"/>
    <x v="2"/>
    <x v="5"/>
    <s v="Prime Accessories 962"/>
    <x v="1"/>
    <s v="Same Day"/>
    <n v="9"/>
    <n v="243.19"/>
    <n v="0.05"/>
    <n v="2079.27"/>
    <n v="1512.17"/>
    <n v="567.1"/>
    <s v="Refunded"/>
    <x v="2"/>
    <m/>
    <m/>
    <m/>
    <m/>
    <m/>
    <x v="1"/>
    <m/>
    <m/>
  </r>
  <r>
    <s v="ORD-2025-10370"/>
    <x v="278"/>
    <s v="01/30/2025"/>
    <m/>
    <n v="0"/>
    <s v="CUST-5672"/>
    <s v="Priya Menon"/>
    <s v="Priya Menon"/>
    <s v="Consumer"/>
    <x v="0"/>
    <x v="0"/>
    <s v="Delhi"/>
    <s v="New Delhi"/>
    <s v="Office Supplies"/>
    <x v="0"/>
    <x v="7"/>
    <s v="Eco Labels 646"/>
    <x v="3"/>
    <s v="Standard Class"/>
    <n v="9"/>
    <n v="1169.3699999999999"/>
    <n v="0.15"/>
    <n v="8945.68"/>
    <n v="6740.35"/>
    <n v="2205.33"/>
    <s v="Paid"/>
    <x v="0"/>
    <m/>
    <m/>
    <m/>
    <m/>
    <m/>
    <x v="1"/>
    <m/>
    <m/>
  </r>
  <r>
    <s v="ORD-2024-10371"/>
    <x v="339"/>
    <s v="21 Aug 2024"/>
    <m/>
    <n v="0"/>
    <s v="CUST-8521"/>
    <s v="Ananya Rao"/>
    <s v="Ananya Rao"/>
    <s v="Small Business"/>
    <x v="1"/>
    <x v="3"/>
    <s v="Rajasthan"/>
    <s v="Udaipur"/>
    <s v="Technology"/>
    <x v="2"/>
    <x v="6"/>
    <s v="Classic Copiers 505"/>
    <x v="2"/>
    <s v="First Class"/>
    <n v="7"/>
    <n v="2333.81"/>
    <n v="0.2"/>
    <n v="13069.34"/>
    <n v="8768.59"/>
    <n v="4300.75"/>
    <s v="Paid"/>
    <x v="0"/>
    <m/>
    <m/>
    <m/>
    <m/>
    <m/>
    <x v="1"/>
    <m/>
    <m/>
  </r>
  <r>
    <s v="ORD-2024-10372"/>
    <x v="184"/>
    <s v="2024-01-24"/>
    <m/>
    <n v="0"/>
    <s v="CUST-2204"/>
    <s v="Diya Patel"/>
    <s v="Diya Patel"/>
    <s v="Home Office"/>
    <x v="3"/>
    <x v="3"/>
    <s v="Maharashtra"/>
    <s v="Mumbai"/>
    <s v="Office Supplies"/>
    <x v="0"/>
    <x v="2"/>
    <s v="Pro Art 906"/>
    <x v="3"/>
    <s v="Standard Class"/>
    <n v="6"/>
    <n v="1026.06"/>
    <m/>
    <n v="4617.2700000000004"/>
    <n v="2981.94"/>
    <n v="1635.33"/>
    <s v="Refunded"/>
    <x v="1"/>
    <m/>
    <m/>
    <m/>
    <m/>
    <m/>
    <x v="1"/>
    <m/>
    <m/>
  </r>
  <r>
    <s v="ORD-2025-10373"/>
    <x v="340"/>
    <s v="2025-08-18"/>
    <m/>
    <n v="0"/>
    <s v="CUST-4399"/>
    <s v="Kabir Singh"/>
    <s v="Kabir Singh"/>
    <s v="Consumer"/>
    <x v="0"/>
    <x v="1"/>
    <s v="Jharkhand"/>
    <s v="Ranchi"/>
    <s v="Furniture"/>
    <x v="1"/>
    <x v="4"/>
    <s v="Max Chairs 181"/>
    <x v="1"/>
    <s v="Same Day"/>
    <n v="5"/>
    <n v="1530.36"/>
    <n v="0"/>
    <n v="7651.8"/>
    <n v="5171.78"/>
    <n v="2480.02"/>
    <s v="Paid"/>
    <x v="0"/>
    <m/>
    <m/>
    <m/>
    <m/>
    <m/>
    <x v="1"/>
    <m/>
    <m/>
  </r>
  <r>
    <s v="ORD-2025-10374"/>
    <x v="341"/>
    <s v="2025-04-13"/>
    <m/>
    <n v="0"/>
    <s v="CUST-8566"/>
    <s v="Sneha Kapoor"/>
    <s v="Sneha Kapoor"/>
    <s v="Small Business"/>
    <x v="1"/>
    <x v="0"/>
    <s v="Uttar Pradesh"/>
    <s v="Noida"/>
    <s v="Office Supplies"/>
    <x v="0"/>
    <x v="8"/>
    <s v="Prime Storage 951"/>
    <x v="0"/>
    <s v="Second Class"/>
    <n v="9"/>
    <n v="1118.68"/>
    <n v="0"/>
    <n v="10068.120000000001"/>
    <n v="8595.3700000000008"/>
    <n v="1472.75"/>
    <s v="Paid"/>
    <x v="0"/>
    <m/>
    <m/>
    <m/>
    <m/>
    <m/>
    <x v="1"/>
    <m/>
    <m/>
  </r>
  <r>
    <s v="ORD-2025-10375"/>
    <x v="342"/>
    <s v="28-02-2025"/>
    <m/>
    <n v="0"/>
    <s v="CUST-2358"/>
    <s v="Aditi Sen"/>
    <s v="Aditi Sen"/>
    <s v="Small Business"/>
    <x v="1"/>
    <x v="0"/>
    <s v="Uttar Pradesh"/>
    <s v="Noida"/>
    <s v="Office Supplies"/>
    <x v="0"/>
    <x v="7"/>
    <s v="Smart Labels 668"/>
    <x v="3"/>
    <s v="Standard Class"/>
    <n v="6"/>
    <n v="2393.25"/>
    <n v="0"/>
    <n v="14359.5"/>
    <n v="8117.71"/>
    <n v="6241.79"/>
    <s v="Paid"/>
    <x v="0"/>
    <m/>
    <m/>
    <m/>
    <m/>
    <m/>
    <x v="1"/>
    <m/>
    <m/>
  </r>
  <r>
    <s v="ORD-2024-10376"/>
    <x v="343"/>
    <s v="04 Jan 2025"/>
    <m/>
    <n v="0"/>
    <s v="CUST-2810"/>
    <s v="Vikram Iyer"/>
    <s v="Vikram Iyer"/>
    <s v="Consumer"/>
    <x v="0"/>
    <x v="0"/>
    <s v="Delhi"/>
    <s v="New Delhi"/>
    <s v="Furniture"/>
    <x v="1"/>
    <x v="4"/>
    <s v="Pro Chairs 364"/>
    <x v="1"/>
    <s v="Same Day"/>
    <n v="3"/>
    <n v="1166.6099999999999"/>
    <n v="0.25"/>
    <n v="2624.87"/>
    <n v="2253.88"/>
    <n v="370.99"/>
    <s v="Paid"/>
    <x v="0"/>
    <m/>
    <m/>
    <m/>
    <m/>
    <m/>
    <x v="1"/>
    <m/>
    <m/>
  </r>
  <r>
    <s v="ORD-2024-10377"/>
    <x v="344"/>
    <s v="2024-12-31"/>
    <m/>
    <n v="0"/>
    <s v="CUST-5166"/>
    <s v="Isha Nair"/>
    <s v="Isha Nair"/>
    <s v="Small Business"/>
    <x v="1"/>
    <x v="1"/>
    <s v="Bihar"/>
    <s v="Patna"/>
    <s v="Furniture"/>
    <x v="1"/>
    <x v="4"/>
    <s v="Basic Chairs 248"/>
    <x v="2"/>
    <s v="First Class"/>
    <n v="6"/>
    <n v="1844.78"/>
    <n v="0.2"/>
    <n v="8854.94"/>
    <n v="7433.95"/>
    <n v="1420.99"/>
    <s v="Paid"/>
    <x v="0"/>
    <m/>
    <m/>
    <m/>
    <m/>
    <m/>
    <x v="1"/>
    <m/>
    <m/>
  </r>
  <r>
    <s v="ORD-2025-10378"/>
    <x v="276"/>
    <s v="30-05-2025"/>
    <m/>
    <n v="0"/>
    <s v="CUST-4875"/>
    <s v="Kabir Singh"/>
    <s v="Kabir Singh"/>
    <s v="Small Business"/>
    <x v="1"/>
    <x v="1"/>
    <s v="Odisha"/>
    <s v="Bhubaneswar"/>
    <s v="Office Supplies"/>
    <x v="0"/>
    <x v="8"/>
    <s v="Basic Storage 360"/>
    <x v="1"/>
    <s v="Same Day"/>
    <n v="1"/>
    <n v="2564.7399999999998"/>
    <n v="0"/>
    <n v="2564.7399999999998"/>
    <n v="1754.58"/>
    <n v="810.16"/>
    <s v="Paid"/>
    <x v="0"/>
    <m/>
    <m/>
    <m/>
    <m/>
    <m/>
    <x v="1"/>
    <m/>
    <m/>
  </r>
  <r>
    <s v="ORD-2025-10379"/>
    <x v="345"/>
    <s v="22-05-2025"/>
    <m/>
    <n v="0"/>
    <s v="CUST-3154"/>
    <s v="Mira Das"/>
    <s v="Mira Das"/>
    <s v="Consumer"/>
    <x v="0"/>
    <x v="3"/>
    <s v="Goa"/>
    <s v="Panaji"/>
    <s v="Technology"/>
    <x v="2"/>
    <x v="5"/>
    <s v="Basic Accessories 988"/>
    <x v="3"/>
    <s v="Standard Class"/>
    <n v="2"/>
    <n v="3910.61"/>
    <n v="0"/>
    <n v="7821.22"/>
    <n v="4994.46"/>
    <n v="2826.76"/>
    <s v="Paid"/>
    <x v="0"/>
    <m/>
    <m/>
    <m/>
    <m/>
    <m/>
    <x v="1"/>
    <m/>
    <m/>
  </r>
  <r>
    <s v="ORD-2024-10380"/>
    <x v="346"/>
    <s v="23 Sep 2024"/>
    <m/>
    <n v="0"/>
    <s v="CUST-6405"/>
    <s v="Mira Das"/>
    <s v="Mira Das"/>
    <s v="Small Business"/>
    <x v="1"/>
    <x v="2"/>
    <s v="Kerala"/>
    <s v="Kochi"/>
    <s v="Office Supplies"/>
    <x v="0"/>
    <x v="0"/>
    <s v="Max Paper 334"/>
    <x v="3"/>
    <s v="Standard Class"/>
    <n v="7"/>
    <n v="1136.68"/>
    <m/>
    <n v="7956.76"/>
    <n v="4799.54"/>
    <n v="3157.22"/>
    <s v="Paid"/>
    <x v="0"/>
    <m/>
    <m/>
    <m/>
    <m/>
    <m/>
    <x v="1"/>
    <m/>
    <m/>
  </r>
  <r>
    <s v="ORD-2024-10381"/>
    <x v="347"/>
    <s v="14-04-2024"/>
    <m/>
    <n v="0"/>
    <s v="CUST-5779"/>
    <s v="Vikram Iyer"/>
    <s v="Vikram Iyer"/>
    <s v="Consumer"/>
    <x v="0"/>
    <x v="3"/>
    <s v="Maharashtra"/>
    <s v="Mumbai"/>
    <s v="Furniture"/>
    <x v="1"/>
    <x v="10"/>
    <s v="Prime Bookcases 952"/>
    <x v="1"/>
    <s v="Same Day"/>
    <n v="5"/>
    <n v="2235.85"/>
    <n v="0.25"/>
    <n v="8384.44"/>
    <n v="4765.96"/>
    <n v="3618.48"/>
    <s v="Paid"/>
    <x v="2"/>
    <m/>
    <m/>
    <m/>
    <m/>
    <m/>
    <x v="1"/>
    <m/>
    <m/>
  </r>
  <r>
    <s v="ORD-2025-10382"/>
    <x v="348"/>
    <s v="23-09-2025"/>
    <m/>
    <n v="0"/>
    <s v="CUST-9943"/>
    <s v="Arjun Bose"/>
    <s v="Arjun Bose"/>
    <s v="Home Office"/>
    <x v="3"/>
    <x v="0"/>
    <s v="Delhi"/>
    <s v="New Delhi"/>
    <s v="Office Supplies"/>
    <x v="0"/>
    <x v="9"/>
    <s v="Prime Binders 523"/>
    <x v="3"/>
    <s v="Standard Class"/>
    <n v="4"/>
    <n v="4387.1499999999996"/>
    <n v="0.05"/>
    <n v="16671.169999999998"/>
    <n v="10833.19"/>
    <n v="5837.98"/>
    <s v="Failed"/>
    <x v="1"/>
    <m/>
    <m/>
    <m/>
    <m/>
    <m/>
    <x v="1"/>
    <m/>
    <m/>
  </r>
  <r>
    <s v="ORD-2025-10383"/>
    <x v="349"/>
    <s v="03/08/2025"/>
    <m/>
    <n v="0"/>
    <s v="CUST-7098"/>
    <s v="Arjun Bose"/>
    <s v="Arjun Bose"/>
    <s v="Small Business"/>
    <x v="1"/>
    <x v="1"/>
    <s v="Bihar"/>
    <s v="Patna"/>
    <s v="Technology"/>
    <x v="2"/>
    <x v="11"/>
    <s v="Pro Phones 538"/>
    <x v="2"/>
    <s v="First Class"/>
    <n v="3"/>
    <n v="4361.8500000000004"/>
    <n v="0.2"/>
    <n v="10468.44"/>
    <n v="8399.8700000000008"/>
    <n v="2068.5700000000002"/>
    <s v="Paid"/>
    <x v="0"/>
    <m/>
    <m/>
    <m/>
    <m/>
    <m/>
    <x v="1"/>
    <m/>
    <m/>
  </r>
  <r>
    <s v="ORD-2025-10384"/>
    <x v="350"/>
    <s v="05 Jul 2025"/>
    <m/>
    <n v="0"/>
    <s v="CUST-7438"/>
    <s v="Vikram Iyer"/>
    <s v="Vikram Iyer"/>
    <s v="Corporate"/>
    <x v="2"/>
    <x v="1"/>
    <s v="West Bengal"/>
    <s v="Kolkata"/>
    <s v="Office Supplies"/>
    <x v="0"/>
    <x v="2"/>
    <s v="Basic Art 608"/>
    <x v="2"/>
    <s v="First Class"/>
    <n v="2"/>
    <n v="2242.75"/>
    <n v="0"/>
    <n v="4485.5"/>
    <n v="3131.86"/>
    <n v="1353.64"/>
    <s v="Paid"/>
    <x v="1"/>
    <m/>
    <m/>
    <m/>
    <m/>
    <m/>
    <x v="1"/>
    <m/>
    <m/>
  </r>
  <r>
    <s v="ORD-2024-10385"/>
    <x v="351"/>
    <s v="2024-03-20"/>
    <m/>
    <n v="0"/>
    <s v="CUST-8432"/>
    <s v="Rohan Mehta"/>
    <s v="Rohan Mehta"/>
    <s v="Consumer"/>
    <x v="0"/>
    <x v="1"/>
    <s v="Jharkhand"/>
    <s v="Ranchi"/>
    <s v="Technology"/>
    <x v="2"/>
    <x v="6"/>
    <s v="Prime Copiers 820"/>
    <x v="3"/>
    <s v="Standard Class"/>
    <n v="2"/>
    <n v="1881.4"/>
    <n v="0.25"/>
    <n v="2822.1"/>
    <n v="1624.57"/>
    <n v="1197.53"/>
    <s v="Paid"/>
    <x v="2"/>
    <m/>
    <m/>
    <m/>
    <m/>
    <m/>
    <x v="1"/>
    <m/>
    <m/>
  </r>
  <r>
    <s v="ORD-2025-10386"/>
    <x v="173"/>
    <s v="30 Jun 2025"/>
    <m/>
    <n v="0"/>
    <s v="CUST-2834"/>
    <s v="Arjun Bose"/>
    <s v="Arjun Bose"/>
    <s v="Consumer"/>
    <x v="0"/>
    <x v="0"/>
    <s v="Haryana"/>
    <s v="Gurugram"/>
    <s v="Office Supplies"/>
    <x v="0"/>
    <x v="7"/>
    <s v="Classic Labels 670"/>
    <x v="3"/>
    <s v="Standard Class"/>
    <n v="6"/>
    <n v="365.76"/>
    <n v="0.1"/>
    <n v="1975.1"/>
    <n v="1115.3499999999999"/>
    <n v="859.75"/>
    <s v="Paid"/>
    <x v="0"/>
    <m/>
    <m/>
    <m/>
    <m/>
    <m/>
    <x v="1"/>
    <m/>
    <m/>
  </r>
  <r>
    <s v="ORD-2025-10387"/>
    <x v="352"/>
    <s v="14-02-2025"/>
    <m/>
    <n v="0"/>
    <s v="CUST-4222"/>
    <s v="Sneha Kapoor"/>
    <s v="Sneha Kapoor"/>
    <s v="Consumer"/>
    <x v="0"/>
    <x v="3"/>
    <s v="Maharashtra"/>
    <s v="Mumbai"/>
    <s v="Furniture"/>
    <x v="1"/>
    <x v="3"/>
    <s v="Prime Furnishings 597"/>
    <x v="0"/>
    <s v="Second Class"/>
    <n v="8"/>
    <n v="2786.66"/>
    <n v="0.1"/>
    <n v="20063.95"/>
    <n v="14363.38"/>
    <n v="5700.57"/>
    <s v="Paid"/>
    <x v="0"/>
    <m/>
    <m/>
    <m/>
    <m/>
    <m/>
    <x v="1"/>
    <m/>
    <m/>
  </r>
  <r>
    <s v="ORD-2025-10388"/>
    <x v="353"/>
    <s v="08/13/2025"/>
    <m/>
    <n v="0"/>
    <s v="CUST-1053"/>
    <s v="Priya Menon"/>
    <s v="Priya Menon"/>
    <s v="Small Business"/>
    <x v="1"/>
    <x v="3"/>
    <s v="Madhya Pradesh"/>
    <s v="Indore"/>
    <s v="Furniture"/>
    <x v="1"/>
    <x v="4"/>
    <s v="Prime Chairs 196"/>
    <x v="3"/>
    <s v="Standard Class"/>
    <n v="5"/>
    <n v="352.86"/>
    <n v="0"/>
    <n v="1764.3"/>
    <n v="1332.49"/>
    <n v="431.81"/>
    <s v="Pending"/>
    <x v="1"/>
    <m/>
    <m/>
    <m/>
    <m/>
    <m/>
    <x v="1"/>
    <m/>
    <m/>
  </r>
  <r>
    <s v="ORD-2024-10389"/>
    <x v="354"/>
    <s v="18 May 2024"/>
    <m/>
    <n v="0"/>
    <s v="CUST-1457"/>
    <s v="Isha Nair"/>
    <s v="Isha Nair"/>
    <s v="Small Business"/>
    <x v="1"/>
    <x v="3"/>
    <s v="Gujarat"/>
    <s v="Ahmedabad"/>
    <s v="Furniture"/>
    <x v="1"/>
    <x v="4"/>
    <s v="Elite Chairs 639"/>
    <x v="3"/>
    <s v="Standard Class"/>
    <n v="3"/>
    <n v="3128.59"/>
    <n v="0"/>
    <n v="9385.77"/>
    <n v="6872.44"/>
    <n v="2783.66"/>
    <s v="Paid"/>
    <x v="0"/>
    <m/>
    <m/>
    <m/>
    <m/>
    <m/>
    <x v="1"/>
    <m/>
    <m/>
  </r>
  <r>
    <s v="ORD-2024-10390"/>
    <x v="355"/>
    <s v="13 Apr 2024"/>
    <m/>
    <n v="0"/>
    <s v="CUST-3930"/>
    <s v="Diya Patel"/>
    <s v="Diya Patel"/>
    <s v="Corporate"/>
    <x v="2"/>
    <x v="3"/>
    <s v="Gujarat"/>
    <s v="Ahmedabad"/>
    <s v="Technology"/>
    <x v="2"/>
    <x v="12"/>
    <s v="Elite Machines 563"/>
    <x v="0"/>
    <s v="Second Class"/>
    <n v="5"/>
    <n v="1937.54"/>
    <n v="0.2"/>
    <n v="7750.16"/>
    <n v="5434.3"/>
    <n v="2315.86"/>
    <s v="Pending"/>
    <x v="1"/>
    <m/>
    <m/>
    <m/>
    <m/>
    <m/>
    <x v="1"/>
    <m/>
    <m/>
  </r>
  <r>
    <s v="ORD-2024-10391"/>
    <x v="356"/>
    <s v="11-11-2024"/>
    <m/>
    <n v="0"/>
    <s v="CUST-7853"/>
    <s v="Isha Nair"/>
    <s v="Isha Nair"/>
    <s v="Consumer"/>
    <x v="0"/>
    <x v="3"/>
    <s v="Gujarat"/>
    <s v="Ahmedabad"/>
    <s v="Furniture"/>
    <x v="1"/>
    <x v="3"/>
    <s v="Pro Furnishings 281"/>
    <x v="3"/>
    <s v="Standard Class"/>
    <n v="4"/>
    <n v="1917.26"/>
    <n v="0.2"/>
    <n v="6135.23"/>
    <n v="3439.79"/>
    <n v="2695.44"/>
    <s v="Paid"/>
    <x v="0"/>
    <m/>
    <m/>
    <m/>
    <m/>
    <m/>
    <x v="1"/>
    <m/>
    <m/>
  </r>
  <r>
    <s v="ORD-2025-10392"/>
    <x v="357"/>
    <s v="14 Feb 2025"/>
    <m/>
    <n v="0"/>
    <s v="CUST-2267"/>
    <s v="Diya Patel"/>
    <s v="Diya Patel"/>
    <s v="Consumer"/>
    <x v="0"/>
    <x v="2"/>
    <s v="Karnataka"/>
    <s v="Bengaluru"/>
    <s v="Office Supplies"/>
    <x v="0"/>
    <x v="8"/>
    <s v="Eco Storage 285"/>
    <x v="2"/>
    <s v="First Class"/>
    <n v="1"/>
    <n v="714.43"/>
    <n v="0"/>
    <n v="714.43"/>
    <n v="565.44000000000005"/>
    <n v="148.99"/>
    <s v="Paid"/>
    <x v="0"/>
    <m/>
    <m/>
    <m/>
    <m/>
    <m/>
    <x v="1"/>
    <m/>
    <m/>
  </r>
  <r>
    <s v="ORD-2024-10393"/>
    <x v="358"/>
    <s v="22 Feb 2024"/>
    <m/>
    <n v="0"/>
    <s v="CUST-6866"/>
    <s v="Aditi Sen"/>
    <s v="Aditi Sen"/>
    <s v="Small Business"/>
    <x v="1"/>
    <x v="2"/>
    <s v="Kerala"/>
    <s v="Kochi"/>
    <s v="Furniture"/>
    <x v="1"/>
    <x v="3"/>
    <s v="Classic Furnishings 746"/>
    <x v="1"/>
    <s v="Same Day"/>
    <n v="9"/>
    <n v="4053.01"/>
    <n v="0"/>
    <n v="36477.089999999997"/>
    <n v="24525.48"/>
    <n v="11951.61"/>
    <s v="Paid"/>
    <x v="0"/>
    <m/>
    <m/>
    <m/>
    <m/>
    <m/>
    <x v="1"/>
    <m/>
    <m/>
  </r>
  <r>
    <s v="ORD-2024-10394"/>
    <x v="359"/>
    <s v="08/29/2024"/>
    <m/>
    <n v="0"/>
    <s v="CUST-3160"/>
    <s v="Mira Das"/>
    <s v="Mira Das"/>
    <s v="Corporate"/>
    <x v="2"/>
    <x v="0"/>
    <s v="Uttar Pradesh"/>
    <s v="Noida"/>
    <s v="Office Supplies"/>
    <x v="0"/>
    <x v="7"/>
    <s v="Eco Labels 815"/>
    <x v="1"/>
    <s v="Same Day"/>
    <n v="2"/>
    <n v="1936.91"/>
    <n v="0.05"/>
    <n v="3680.13"/>
    <n v="2967.46"/>
    <n v="712.67"/>
    <s v="Paid"/>
    <x v="0"/>
    <m/>
    <m/>
    <m/>
    <m/>
    <m/>
    <x v="1"/>
    <m/>
    <m/>
  </r>
  <r>
    <s v="ORD-2024-10395"/>
    <x v="360"/>
    <s v="04 Apr 2024"/>
    <m/>
    <n v="0"/>
    <s v="CUST-8444"/>
    <s v="Kabir Singh"/>
    <s v="Kabir Singh"/>
    <s v="Consumer"/>
    <x v="0"/>
    <x v="3"/>
    <s v="Maharashtra"/>
    <s v="Mumbai"/>
    <s v="Furniture"/>
    <x v="1"/>
    <x v="3"/>
    <s v="Prime Furnishings 879"/>
    <x v="2"/>
    <s v="First Class"/>
    <n v="7"/>
    <n v="3945.21"/>
    <n v="0"/>
    <n v="27616.47"/>
    <n v="21225.26"/>
    <n v="6391.21"/>
    <s v="Paid"/>
    <x v="0"/>
    <m/>
    <m/>
    <m/>
    <m/>
    <m/>
    <x v="1"/>
    <m/>
    <m/>
  </r>
  <r>
    <s v="ORD-2024-10396"/>
    <x v="361"/>
    <s v="06/07/2024"/>
    <m/>
    <n v="0"/>
    <s v="CUST-4765"/>
    <s v="Rahul Verma"/>
    <s v="Rahul Verma"/>
    <s v="Home Office"/>
    <x v="3"/>
    <x v="2"/>
    <s v="Tamil Nadu"/>
    <s v="Chennai"/>
    <s v="Furniture"/>
    <x v="1"/>
    <x v="1"/>
    <s v="Pro Tables 142"/>
    <x v="1"/>
    <s v="Same Day"/>
    <n v="7"/>
    <n v="861.91"/>
    <n v="0.05"/>
    <n v="5731.7"/>
    <n v="4115.5600000000004"/>
    <n v="1616.14"/>
    <s v="Paid"/>
    <x v="0"/>
    <m/>
    <m/>
    <m/>
    <m/>
    <m/>
    <x v="1"/>
    <m/>
    <m/>
  </r>
  <r>
    <s v="ORD-2025-10397"/>
    <x v="362"/>
    <s v="22 Apr 2025"/>
    <m/>
    <n v="0"/>
    <s v="CUST-2280"/>
    <s v="Aditi Sen"/>
    <s v="Aditi Sen"/>
    <s v="Small Business"/>
    <x v="1"/>
    <x v="2"/>
    <s v="Karnataka"/>
    <s v="Bengaluru"/>
    <s v="Technology"/>
    <x v="2"/>
    <x v="12"/>
    <s v="Prime Machines 267"/>
    <x v="3"/>
    <s v="Standard Class"/>
    <n v="2"/>
    <n v="638.73"/>
    <n v="0.05"/>
    <n v="1213.5899999999999"/>
    <n v="956.22"/>
    <n v="257.37"/>
    <s v="Paid"/>
    <x v="0"/>
    <m/>
    <m/>
    <m/>
    <m/>
    <m/>
    <x v="1"/>
    <m/>
    <m/>
  </r>
  <r>
    <s v="ORD-2025-10398"/>
    <x v="363"/>
    <s v="10 Jun 2025"/>
    <m/>
    <n v="0"/>
    <s v="CUST-3177"/>
    <s v="Sneha Kapoor"/>
    <s v="Sneha Kapoor"/>
    <s v="Small Business"/>
    <x v="1"/>
    <x v="0"/>
    <s v="Uttar Pradesh"/>
    <s v="Noida"/>
    <s v="Furniture"/>
    <x v="1"/>
    <x v="1"/>
    <s v="Eco Tables 378"/>
    <x v="0"/>
    <s v="Second Class"/>
    <n v="2"/>
    <n v="1731.88"/>
    <n v="0"/>
    <n v="3463.76"/>
    <n v="2143.7399999999998"/>
    <n v="1320.02"/>
    <s v="Paid"/>
    <x v="0"/>
    <m/>
    <m/>
    <m/>
    <m/>
    <m/>
    <x v="1"/>
    <m/>
    <m/>
  </r>
  <r>
    <s v="ORD-2024-10399"/>
    <x v="364"/>
    <s v="2024-07-26"/>
    <m/>
    <n v="0"/>
    <s v="CUST-4718"/>
    <s v="Vikram Iyer"/>
    <s v="Vikram Iyer"/>
    <s v="Corporate"/>
    <x v="2"/>
    <x v="0"/>
    <s v="Punjab"/>
    <s v="Ludhiana"/>
    <s v="Technology"/>
    <x v="2"/>
    <x v="12"/>
    <s v="Elite Machines 523"/>
    <x v="1"/>
    <s v="Same Day"/>
    <n v="2"/>
    <n v="1263.6500000000001"/>
    <n v="0.2"/>
    <n v="2021.84"/>
    <n v="1355.22"/>
    <n v="666.62"/>
    <s v="Paid"/>
    <x v="0"/>
    <m/>
    <m/>
    <m/>
    <m/>
    <m/>
    <x v="1"/>
    <m/>
    <m/>
  </r>
  <r>
    <s v="ORD-2025-10400"/>
    <x v="365"/>
    <s v="2025-04-29"/>
    <m/>
    <n v="0"/>
    <s v="CUST-5647"/>
    <s v="Diya Patel"/>
    <s v="Diya Patel"/>
    <s v="Small Business"/>
    <x v="1"/>
    <x v="2"/>
    <s v="Andhra Pradesh"/>
    <s v="Vijayawada"/>
    <s v="Office Supplies"/>
    <x v="0"/>
    <x v="0"/>
    <s v="Elite Paper 308"/>
    <x v="1"/>
    <s v="Same Day"/>
    <n v="1"/>
    <n v="4358.5"/>
    <n v="0.25"/>
    <n v="3268.88"/>
    <n v="1993.74"/>
    <n v="1275.1400000000001"/>
    <s v="Paid"/>
    <x v="0"/>
    <m/>
    <m/>
    <m/>
    <m/>
    <m/>
    <x v="1"/>
    <m/>
    <m/>
  </r>
  <r>
    <s v="ORD-2025-10401"/>
    <x v="366"/>
    <s v="2025-06-11"/>
    <m/>
    <n v="0"/>
    <s v="CUST-7150"/>
    <s v="Sneha Kapoor"/>
    <s v="Sneha Kapoor"/>
    <s v="Small Business"/>
    <x v="1"/>
    <x v="0"/>
    <s v="Uttar Pradesh"/>
    <s v="Noida"/>
    <s v="Office Supplies"/>
    <x v="0"/>
    <x v="0"/>
    <s v="Prime Paper 851"/>
    <x v="1"/>
    <s v="Same Day"/>
    <n v="7"/>
    <n v="878.09"/>
    <n v="-0.1"/>
    <n v="5839.3"/>
    <n v="4877.38"/>
    <n v="961.92"/>
    <s v="Paid"/>
    <x v="0"/>
    <m/>
    <m/>
    <m/>
    <m/>
    <m/>
    <x v="1"/>
    <m/>
    <m/>
  </r>
  <r>
    <s v="ORD-2025-10402"/>
    <x v="367"/>
    <s v="16-03-2025"/>
    <m/>
    <n v="0"/>
    <s v="CUST-6694"/>
    <s v="Arjun Bose"/>
    <s v="Arjun Bose"/>
    <s v="Small Business"/>
    <x v="1"/>
    <x v="1"/>
    <s v="Jharkhand"/>
    <s v="Ranchi"/>
    <s v="Furniture"/>
    <x v="1"/>
    <x v="1"/>
    <s v="Classic Tables 151"/>
    <x v="1"/>
    <s v="Same Day"/>
    <n v="3"/>
    <n v="2625.85"/>
    <n v="0"/>
    <n v="7877.55"/>
    <n v="5562.77"/>
    <n v="2314.7800000000002"/>
    <s v="Paid"/>
    <x v="0"/>
    <m/>
    <m/>
    <m/>
    <m/>
    <m/>
    <x v="1"/>
    <m/>
    <m/>
  </r>
  <r>
    <s v="ORD-2024-10403"/>
    <x v="368"/>
    <s v="03/22/2024"/>
    <m/>
    <n v="0"/>
    <s v="CUST-7680"/>
    <s v="Priya Menon"/>
    <s v="Priya Menon"/>
    <s v="Small Business"/>
    <x v="1"/>
    <x v="2"/>
    <s v="Karnataka"/>
    <s v="Bengaluru"/>
    <s v="Furniture"/>
    <x v="1"/>
    <x v="1"/>
    <s v="Smart Tables 829"/>
    <x v="4"/>
    <s v=""/>
    <n v="3"/>
    <n v="1365.26"/>
    <n v="0"/>
    <n v="4095.78"/>
    <n v="2807.77"/>
    <n v="1288.01"/>
    <s v="Paid"/>
    <x v="0"/>
    <m/>
    <m/>
    <m/>
    <m/>
    <m/>
    <x v="1"/>
    <m/>
    <m/>
  </r>
  <r>
    <s v="ORD-2024-10404"/>
    <x v="369"/>
    <s v="04-10-2024"/>
    <m/>
    <n v="0"/>
    <s v="CUST-2700"/>
    <s v="Arjun Bose"/>
    <s v="Arjun Bose"/>
    <s v="Small Business"/>
    <x v="1"/>
    <x v="2"/>
    <s v="Kerala"/>
    <s v="Kochi"/>
    <s v="Office Supplies"/>
    <x v="0"/>
    <x v="0"/>
    <s v="Classic Paper 237"/>
    <x v="1"/>
    <s v="Same Day"/>
    <n v="5"/>
    <n v="3512.25"/>
    <n v="0.05"/>
    <n v="16683.189999999999"/>
    <n v="10301.16"/>
    <n v="6382.03"/>
    <s v="Paid"/>
    <x v="2"/>
    <m/>
    <m/>
    <m/>
    <m/>
    <m/>
    <x v="1"/>
    <m/>
    <m/>
  </r>
  <r>
    <s v="ORD-2024-10405"/>
    <x v="370"/>
    <s v="02/03/2024"/>
    <m/>
    <n v="0"/>
    <s v="CUST-2904"/>
    <s v="Aditi Sen"/>
    <s v="Aditi Sen"/>
    <s v="Corporate"/>
    <x v="2"/>
    <x v="3"/>
    <s v="Rajasthan"/>
    <s v="Udaipur"/>
    <s v="Furniture"/>
    <x v="1"/>
    <x v="4"/>
    <s v="Prime Chairs 891"/>
    <x v="1"/>
    <s v="Same Day"/>
    <n v="3"/>
    <n v="359.61"/>
    <n v="0"/>
    <n v="1078.83"/>
    <n v="926.35"/>
    <n v="152.47999999999999"/>
    <s v="Paid"/>
    <x v="0"/>
    <m/>
    <m/>
    <m/>
    <m/>
    <m/>
    <x v="1"/>
    <m/>
    <m/>
  </r>
  <r>
    <s v="ORD-2024-10406"/>
    <x v="371"/>
    <s v="24 Sep 2024"/>
    <m/>
    <n v="0"/>
    <s v="CUST-9961"/>
    <s v="Aditi Sen"/>
    <s v="Aditi Sen"/>
    <s v="Home Office"/>
    <x v="3"/>
    <x v="3"/>
    <s v="Gujarat"/>
    <s v="Ahmedabad"/>
    <s v="Furniture"/>
    <x v="1"/>
    <x v="10"/>
    <s v="Max Bookcases 812"/>
    <x v="4"/>
    <s v=""/>
    <n v="7"/>
    <n v="3878.01"/>
    <n v="0.1"/>
    <n v="24431.46"/>
    <n v="18202.36"/>
    <n v="6229.1"/>
    <s v="Paid"/>
    <x v="0"/>
    <m/>
    <m/>
    <m/>
    <m/>
    <m/>
    <x v="1"/>
    <m/>
    <m/>
  </r>
  <r>
    <s v="ORD-2025-10407"/>
    <x v="372"/>
    <s v="25 Feb 2025"/>
    <m/>
    <n v="0"/>
    <s v="CUST-9909"/>
    <s v="Kabir Singh"/>
    <s v="Kabir Singh"/>
    <s v="Small Business"/>
    <x v="1"/>
    <x v="3"/>
    <s v="Goa"/>
    <s v="Panaji"/>
    <s v="Furniture"/>
    <x v="1"/>
    <x v="3"/>
    <s v="Basic Furnishings 164"/>
    <x v="3"/>
    <s v="Standard Class"/>
    <n v="2"/>
    <n v="3924.2"/>
    <n v="0.25"/>
    <n v="5886.3"/>
    <n v="3621.76"/>
    <n v="2264.54"/>
    <s v="Pending"/>
    <x v="2"/>
    <m/>
    <m/>
    <m/>
    <m/>
    <m/>
    <x v="1"/>
    <m/>
    <m/>
  </r>
  <r>
    <s v="ORD-2024-10408"/>
    <x v="373"/>
    <s v="13 May 2024"/>
    <m/>
    <n v="0"/>
    <s v="CUST-8520"/>
    <s v="Rahul Verma"/>
    <s v="Rahul Verma"/>
    <s v="Corporate"/>
    <x v="2"/>
    <x v="3"/>
    <s v="Goa"/>
    <s v="Panaji"/>
    <s v="Office Supplies"/>
    <x v="0"/>
    <x v="7"/>
    <s v="Smart Labels 261"/>
    <x v="0"/>
    <s v="Second Class"/>
    <n v="3"/>
    <n v="2644.55"/>
    <n v="0"/>
    <n v="7933.65"/>
    <n v="5698.42"/>
    <n v="2235.23"/>
    <s v="Paid"/>
    <x v="0"/>
    <m/>
    <m/>
    <m/>
    <m/>
    <m/>
    <x v="1"/>
    <m/>
    <m/>
  </r>
  <r>
    <s v="ORD-2025-10409"/>
    <x v="232"/>
    <s v="08/03/2025"/>
    <m/>
    <n v="0"/>
    <s v="CUST-5036"/>
    <s v="Sneha Kapoor"/>
    <s v="Sneha Kapoor"/>
    <s v="Consumer"/>
    <x v="0"/>
    <x v="3"/>
    <s v="Maharashtra"/>
    <s v="Mumbai"/>
    <s v="Furniture"/>
    <x v="1"/>
    <x v="4"/>
    <s v="Max Chairs 765"/>
    <x v="2"/>
    <s v="First Class"/>
    <n v="4"/>
    <n v="1773.46"/>
    <n v="0"/>
    <n v="7093.84"/>
    <n v="4587.49"/>
    <n v="2506.35"/>
    <s v="Failed"/>
    <x v="2"/>
    <m/>
    <m/>
    <m/>
    <m/>
    <m/>
    <x v="1"/>
    <m/>
    <m/>
  </r>
  <r>
    <s v="ORD-2025-10410"/>
    <x v="374"/>
    <s v="15-02-2025"/>
    <m/>
    <n v="0"/>
    <s v="CUST-7721"/>
    <s v="Karan Malhotra"/>
    <s v="Karan Malhotra"/>
    <s v="Consumer"/>
    <x v="0"/>
    <x v="1"/>
    <s v="Assam"/>
    <s v="Guwahati"/>
    <s v="Technology"/>
    <x v="2"/>
    <x v="5"/>
    <s v="Pro Accessories 686"/>
    <x v="1"/>
    <s v="Same Day"/>
    <n v="1"/>
    <n v="3025.46"/>
    <n v="0.25"/>
    <n v="2269.1"/>
    <n v="1593.59"/>
    <n v="675.51"/>
    <s v="Refunded"/>
    <x v="2"/>
    <m/>
    <m/>
    <m/>
    <m/>
    <m/>
    <x v="1"/>
    <m/>
    <m/>
  </r>
  <r>
    <s v="ORD-2024-10411"/>
    <x v="375"/>
    <s v="20 Apr 2024"/>
    <m/>
    <n v="0"/>
    <s v="CUST-9495"/>
    <s v="Diya Patel"/>
    <s v="Diya Patel"/>
    <s v="Consumer"/>
    <x v="0"/>
    <x v="3"/>
    <s v="Goa"/>
    <s v="Panaji"/>
    <s v="Furniture"/>
    <x v="1"/>
    <x v="1"/>
    <s v="Smart Tables 100"/>
    <x v="2"/>
    <s v="First Class"/>
    <n v="9"/>
    <n v="1302.6099999999999"/>
    <n v="0.2"/>
    <n v="9378.7900000000009"/>
    <n v="6774.48"/>
    <n v="2604.31"/>
    <s v="Paid"/>
    <x v="0"/>
    <m/>
    <m/>
    <m/>
    <m/>
    <m/>
    <x v="1"/>
    <m/>
    <m/>
  </r>
  <r>
    <s v="ORD-2025-10412"/>
    <x v="376"/>
    <s v="2025-08-28"/>
    <m/>
    <n v="0"/>
    <s v="CUST-2855"/>
    <s v="Arjun Bose"/>
    <s v="Arjun Bose"/>
    <s v="Home Office"/>
    <x v="3"/>
    <x v="3"/>
    <s v="Rajasthan"/>
    <s v="Udaipur"/>
    <s v="Furniture"/>
    <x v="1"/>
    <x v="1"/>
    <s v="Basic Tables 615"/>
    <x v="2"/>
    <s v="First Class"/>
    <n v="1"/>
    <n v="4167.8100000000004"/>
    <n v="0.2"/>
    <n v="3334.25"/>
    <n v="2768.77"/>
    <n v="565.48"/>
    <s v="Failed"/>
    <x v="2"/>
    <m/>
    <m/>
    <m/>
    <m/>
    <m/>
    <x v="1"/>
    <m/>
    <m/>
  </r>
  <r>
    <s v="ORD-2024-10413"/>
    <x v="377"/>
    <s v="30-01-2024"/>
    <m/>
    <n v="0"/>
    <s v="CUST-4329"/>
    <s v="Isha Nair"/>
    <s v="Isha Nair"/>
    <s v="Corporate"/>
    <x v="2"/>
    <x v="2"/>
    <s v="Karnataka"/>
    <s v="Bengaluru"/>
    <s v="Furniture"/>
    <x v="1"/>
    <x v="4"/>
    <s v="Basic Chairs 790"/>
    <x v="1"/>
    <s v="Same Day"/>
    <n v="1"/>
    <n v="2111.39"/>
    <n v="0.25"/>
    <n v="1583.54"/>
    <n v="1014.19"/>
    <n v="569.35"/>
    <s v="Paid"/>
    <x v="0"/>
    <m/>
    <m/>
    <m/>
    <m/>
    <m/>
    <x v="1"/>
    <m/>
    <m/>
  </r>
  <r>
    <s v="ORD-2025-10414"/>
    <x v="378"/>
    <s v="17-08-2025"/>
    <m/>
    <n v="0"/>
    <s v="CUST-5094"/>
    <s v="Neha Gupta"/>
    <s v="Neha Gupta"/>
    <s v="Home Office"/>
    <x v="3"/>
    <x v="3"/>
    <s v="Madhya Pradesh"/>
    <s v="Indore"/>
    <s v="Technology"/>
    <x v="2"/>
    <x v="5"/>
    <s v="Smart Accessories 226"/>
    <x v="0"/>
    <s v="Second Class"/>
    <n v="8"/>
    <n v="1918.23"/>
    <n v="0"/>
    <n v="15345.84"/>
    <n v="10735.33"/>
    <n v="4610.51"/>
    <s v="Pending"/>
    <x v="1"/>
    <m/>
    <m/>
    <m/>
    <m/>
    <m/>
    <x v="1"/>
    <m/>
    <m/>
  </r>
  <r>
    <s v="ORD-2024-10415"/>
    <x v="379"/>
    <s v="08/30/2024"/>
    <m/>
    <n v="0"/>
    <s v="CUST-4194"/>
    <s v="Arjun Bose"/>
    <s v="Arjun Bose"/>
    <s v="Home Office"/>
    <x v="3"/>
    <x v="1"/>
    <s v="Assam"/>
    <s v="Guwahati"/>
    <s v="Office Supplies"/>
    <x v="0"/>
    <x v="8"/>
    <s v="Max Storage 692"/>
    <x v="2"/>
    <s v="First Class"/>
    <n v="4"/>
    <n v="2484.08"/>
    <n v="0.05"/>
    <n v="9439.5"/>
    <n v="5519.39"/>
    <n v="3920.11"/>
    <s v="Paid"/>
    <x v="0"/>
    <m/>
    <m/>
    <m/>
    <m/>
    <m/>
    <x v="1"/>
    <m/>
    <m/>
  </r>
  <r>
    <s v="ORD-2024-10416"/>
    <x v="380"/>
    <s v="27 Jan 2024"/>
    <m/>
    <n v="0"/>
    <s v="CUST-7087"/>
    <s v="Aarav Sharma"/>
    <s v="Aarav Sharma"/>
    <s v="Corporate"/>
    <x v="2"/>
    <x v="2"/>
    <s v="Karnataka"/>
    <s v="Bengaluru"/>
    <s v="Office Supplies"/>
    <x v="0"/>
    <x v="8"/>
    <s v="Basic Storage 684"/>
    <x v="1"/>
    <s v="Same Day"/>
    <n v="7"/>
    <n v="1727.26"/>
    <n v="0.15"/>
    <n v="10277.200000000001"/>
    <n v="7906.5"/>
    <n v="2370.6999999999998"/>
    <s v="Paid"/>
    <x v="2"/>
    <m/>
    <m/>
    <m/>
    <m/>
    <m/>
    <x v="1"/>
    <m/>
    <m/>
  </r>
  <r>
    <s v="ORD-2025-10417"/>
    <x v="381"/>
    <s v="16-01-2025"/>
    <m/>
    <n v="0"/>
    <s v="CUST-7608"/>
    <s v="Neha Gupta"/>
    <s v="Neha Gupta"/>
    <s v="Consumer"/>
    <x v="0"/>
    <x v="2"/>
    <s v="Telangana"/>
    <s v="Hyderabad"/>
    <s v="Furniture"/>
    <x v="1"/>
    <x v="3"/>
    <s v="Smart Furnishings 152"/>
    <x v="2"/>
    <s v="First Class"/>
    <n v="8"/>
    <n v="638.95000000000005"/>
    <n v="0.25"/>
    <n v="3833.7"/>
    <n v="2886.35"/>
    <n v="947.35"/>
    <s v="Paid"/>
    <x v="0"/>
    <m/>
    <m/>
    <m/>
    <m/>
    <m/>
    <x v="1"/>
    <m/>
    <m/>
  </r>
  <r>
    <s v="ORD-2025-10418"/>
    <x v="382"/>
    <s v="02/05/2025"/>
    <m/>
    <n v="0"/>
    <s v="CUST-5269"/>
    <s v="Mira Das"/>
    <s v="Mira Das"/>
    <s v="Consumer"/>
    <x v="0"/>
    <x v="3"/>
    <s v="Gujarat"/>
    <s v="Ahmedabad"/>
    <s v="Office Supplies"/>
    <x v="0"/>
    <x v="2"/>
    <s v="Max Art 736"/>
    <x v="2"/>
    <s v="First Class"/>
    <n v="6"/>
    <n v="3863"/>
    <n v="0.2"/>
    <n v="18542.400000000001"/>
    <n v="11193.75"/>
    <n v="7348.65"/>
    <s v="Paid"/>
    <x v="0"/>
    <m/>
    <m/>
    <m/>
    <m/>
    <m/>
    <x v="1"/>
    <m/>
    <m/>
  </r>
  <r>
    <s v="ORD-2024-10419"/>
    <x v="383"/>
    <s v="11/17/2024"/>
    <m/>
    <n v="0"/>
    <s v="CUST-7925"/>
    <s v="Sneha Kapoor"/>
    <s v="Sneha Kapoor"/>
    <s v="Corporate"/>
    <x v="2"/>
    <x v="1"/>
    <s v="Odisha"/>
    <s v="Bhubaneswar"/>
    <s v="Technology"/>
    <x v="2"/>
    <x v="6"/>
    <s v="Elite Copiers 971"/>
    <x v="3"/>
    <s v="Standard Class"/>
    <n v="6"/>
    <n v="3660.4"/>
    <n v="0"/>
    <n v="21962.400000000001"/>
    <n v="15331.99"/>
    <n v="6630.41"/>
    <s v="Failed"/>
    <x v="1"/>
    <m/>
    <m/>
    <m/>
    <m/>
    <m/>
    <x v="1"/>
    <m/>
    <m/>
  </r>
  <r>
    <s v="ORD-2025-10420"/>
    <x v="384"/>
    <s v="09/30/2025"/>
    <m/>
    <n v="0"/>
    <s v="CUST-6552"/>
    <s v="Sneha Kapoor"/>
    <s v="Sneha Kapoor"/>
    <s v="Home Office"/>
    <x v="3"/>
    <x v="0"/>
    <s v="Haryana"/>
    <s v="Gurugram"/>
    <s v="Technology"/>
    <x v="2"/>
    <x v="11"/>
    <s v="Classic Phones 940"/>
    <x v="1"/>
    <s v="Same Day"/>
    <n v="2"/>
    <n v="688.83"/>
    <n v="0.05"/>
    <n v="1308.78"/>
    <n v="843"/>
    <n v="465.78"/>
    <s v="Paid"/>
    <x v="0"/>
    <m/>
    <m/>
    <m/>
    <m/>
    <m/>
    <x v="1"/>
    <m/>
    <m/>
  </r>
  <r>
    <s v="ORD-2025-10421"/>
    <x v="166"/>
    <s v="2025-03-19"/>
    <m/>
    <n v="0"/>
    <s v="CUST-7131"/>
    <s v="Isha Nair"/>
    <s v="Isha Nair"/>
    <s v="Corporate"/>
    <x v="2"/>
    <x v="2"/>
    <s v="Tamil Nadu"/>
    <s v="Chennai"/>
    <s v="Technology"/>
    <x v="2"/>
    <x v="12"/>
    <s v="Pro Machines 579"/>
    <x v="3"/>
    <s v="Standard Class"/>
    <n v="2"/>
    <n v="1209.99"/>
    <n v="0.25"/>
    <n v="1814.99"/>
    <n v="1120.06"/>
    <n v="694.93"/>
    <s v="Pending"/>
    <x v="1"/>
    <m/>
    <m/>
    <m/>
    <m/>
    <m/>
    <x v="1"/>
    <m/>
    <m/>
  </r>
  <r>
    <s v="ORD-2025-10422"/>
    <x v="385"/>
    <s v="19 Jun 2025"/>
    <m/>
    <n v="0"/>
    <s v="CUST-2779"/>
    <s v="Rohan Mehta"/>
    <s v="Rohan Mehta"/>
    <s v="Small Business"/>
    <x v="1"/>
    <x v="0"/>
    <s v="Delhi"/>
    <s v="New Delhi"/>
    <s v="Office Supplies"/>
    <x v="0"/>
    <x v="9"/>
    <s v="Elite Binders 943"/>
    <x v="1"/>
    <s v="Same Day"/>
    <n v="3"/>
    <n v="1037.45"/>
    <n v="0.2"/>
    <n v="2489.88"/>
    <n v="1707.52"/>
    <n v="782.36"/>
    <s v="Pending"/>
    <x v="2"/>
    <m/>
    <m/>
    <m/>
    <m/>
    <m/>
    <x v="1"/>
    <m/>
    <m/>
  </r>
  <r>
    <s v="ORD-2025-10423"/>
    <x v="386"/>
    <s v="06 Sep 2025"/>
    <m/>
    <n v="0"/>
    <s v="CUST-6077"/>
    <s v="Kabir Singh"/>
    <s v="Kabir Singh"/>
    <s v="Consumer"/>
    <x v="0"/>
    <x v="3"/>
    <s v="Madhya Pradesh"/>
    <s v="Indore"/>
    <s v="Technology"/>
    <x v="2"/>
    <x v="6"/>
    <s v="Elite Copiers 474"/>
    <x v="1"/>
    <s v="Same Day"/>
    <n v="7"/>
    <n v="688.85"/>
    <n v="0.15"/>
    <n v="4098.66"/>
    <n v="2678.06"/>
    <n v="1420.6"/>
    <s v="Paid"/>
    <x v="0"/>
    <m/>
    <m/>
    <m/>
    <m/>
    <m/>
    <x v="1"/>
    <m/>
    <m/>
  </r>
  <r>
    <s v="ORD-2024-10424"/>
    <x v="387"/>
    <s v="27-02-2024"/>
    <m/>
    <n v="0"/>
    <s v="CUST-6169"/>
    <s v="Diya Patel"/>
    <s v="Diya Patel"/>
    <s v="Consumer"/>
    <x v="0"/>
    <x v="2"/>
    <s v="Kerala"/>
    <s v="Kochi"/>
    <s v="Technology"/>
    <x v="2"/>
    <x v="5"/>
    <s v="Prime Accessories 236"/>
    <x v="2"/>
    <s v="First Class"/>
    <n v="9"/>
    <n v="3779.31"/>
    <n v="0.2"/>
    <n v="27211.03"/>
    <n v="17940.43"/>
    <n v="9270.6"/>
    <s v="Paid"/>
    <x v="0"/>
    <m/>
    <m/>
    <m/>
    <m/>
    <m/>
    <x v="1"/>
    <m/>
    <m/>
  </r>
  <r>
    <s v="ORD-2024-10425"/>
    <x v="388"/>
    <s v="2024-06-29"/>
    <m/>
    <n v="0"/>
    <s v="CUST-8904"/>
    <s v="Neha Gupta"/>
    <s v="Neha Gupta"/>
    <s v="Corporate"/>
    <x v="2"/>
    <x v="0"/>
    <s v="Punjab"/>
    <s v="Ludhiana"/>
    <s v="Technology"/>
    <x v="2"/>
    <x v="11"/>
    <s v="Prime Phones 881"/>
    <x v="3"/>
    <s v="Standard Class"/>
    <n v="8"/>
    <n v="804.52"/>
    <n v="0"/>
    <n v="6436.16"/>
    <n v="4263.83"/>
    <n v="2172.33"/>
    <s v="Paid"/>
    <x v="0"/>
    <m/>
    <m/>
    <m/>
    <m/>
    <m/>
    <x v="1"/>
    <m/>
    <m/>
  </r>
  <r>
    <s v="ORD-2024-10426"/>
    <x v="389"/>
    <s v="09/27/2024"/>
    <m/>
    <n v="0"/>
    <s v="CUST-9586"/>
    <s v="Isha Nair"/>
    <s v="Isha Nair"/>
    <s v="Home Office"/>
    <x v="3"/>
    <x v="0"/>
    <s v="Delhi"/>
    <s v="New Delhi"/>
    <s v="Office Supplies"/>
    <x v="0"/>
    <x v="7"/>
    <s v="Pro Labels 903"/>
    <x v="2"/>
    <s v="First Class"/>
    <n v="2"/>
    <n v="1065.69"/>
    <n v="0.1"/>
    <n v="1918.24"/>
    <n v="1373.52"/>
    <n v="544.72"/>
    <s v="Refunded"/>
    <x v="1"/>
    <m/>
    <m/>
    <m/>
    <m/>
    <m/>
    <x v="1"/>
    <m/>
    <m/>
  </r>
  <r>
    <s v="ORD-2024-10427"/>
    <x v="390"/>
    <s v="01-07-2024"/>
    <m/>
    <n v="0"/>
    <s v="CUST-5431"/>
    <s v="Aditi Sen"/>
    <s v="Aditi Sen"/>
    <s v="Consumer"/>
    <x v="0"/>
    <x v="0"/>
    <s v="Haryana"/>
    <s v="Gurugram"/>
    <s v="Technology"/>
    <x v="2"/>
    <x v="6"/>
    <s v="Max Copiers 402"/>
    <x v="1"/>
    <s v="Same Day"/>
    <n v="8"/>
    <n v="3756.66"/>
    <n v="0.1"/>
    <n v="27047.95"/>
    <n v="18431.330000000002"/>
    <n v="8616.6200000000008"/>
    <s v="Paid"/>
    <x v="0"/>
    <m/>
    <m/>
    <m/>
    <m/>
    <m/>
    <x v="1"/>
    <m/>
    <m/>
  </r>
  <r>
    <s v="ORD-2025-10428"/>
    <x v="391"/>
    <s v="24-04-2025"/>
    <s v="OK"/>
    <s v="OK"/>
    <s v="CUST-8843"/>
    <s v="Isha Nair"/>
    <s v="Isha Nair"/>
    <s v="Corporate"/>
    <x v="2"/>
    <x v="1"/>
    <s v="Jharkhand"/>
    <s v="Ranchi"/>
    <s v="Technology"/>
    <x v="2"/>
    <x v="5"/>
    <s v="Prime Accessories 419"/>
    <x v="3"/>
    <s v="Standard Class"/>
    <n v="9"/>
    <n v="2939.44"/>
    <n v="0"/>
    <n v="26454.959999999999"/>
    <n v="17630.25"/>
    <n v="8824.7099999999991"/>
    <s v="Paid"/>
    <x v="0"/>
    <m/>
    <m/>
    <m/>
    <m/>
    <m/>
    <x v="1"/>
    <m/>
    <m/>
  </r>
  <r>
    <s v="ORD-2025-10429"/>
    <x v="392"/>
    <s v="22 Mar 2025"/>
    <m/>
    <n v="0"/>
    <s v="CUST-7626"/>
    <s v="Karan Malhotra"/>
    <s v="Karan Malhotra"/>
    <s v="Small Business"/>
    <x v="1"/>
    <x v="1"/>
    <s v="West Bengal"/>
    <s v="Kolkata"/>
    <s v="Technology"/>
    <x v="2"/>
    <x v="11"/>
    <s v="Elite Phones 488"/>
    <x v="1"/>
    <s v="Same Day"/>
    <n v="2"/>
    <n v="1235.93"/>
    <n v="0.25"/>
    <n v="1853.89"/>
    <n v="1101.23"/>
    <n v="752.66"/>
    <s v="Pending"/>
    <x v="1"/>
    <m/>
    <m/>
    <m/>
    <m/>
    <m/>
    <x v="1"/>
    <m/>
    <m/>
  </r>
  <r>
    <s v="ORD-2025-10430"/>
    <x v="393"/>
    <s v="08-03-2025"/>
    <m/>
    <n v="0"/>
    <s v="CUST-8562"/>
    <s v="Neha Gupta"/>
    <s v="Neha Gupta"/>
    <s v="Home Office"/>
    <x v="3"/>
    <x v="0"/>
    <s v="Rajasthan"/>
    <s v="Jaipur"/>
    <s v="Technology"/>
    <x v="2"/>
    <x v="6"/>
    <s v="Prime Copiers 109"/>
    <x v="1"/>
    <s v="Same Day"/>
    <n v="8"/>
    <n v="2943.1"/>
    <n v="0.25"/>
    <n v="17658.599999999999"/>
    <n v="13842.48"/>
    <n v="3816.12"/>
    <s v="Paid"/>
    <x v="0"/>
    <m/>
    <m/>
    <m/>
    <m/>
    <m/>
    <x v="1"/>
    <m/>
    <m/>
  </r>
  <r>
    <s v="ORD-2024-10431"/>
    <x v="394"/>
    <s v="02-09-2024"/>
    <m/>
    <n v="0"/>
    <s v="CUST-2732"/>
    <s v="Neha Gupta"/>
    <s v="Neha Gupta"/>
    <s v="Small Business"/>
    <x v="1"/>
    <x v="0"/>
    <s v="Haryana"/>
    <s v="Gurugram"/>
    <s v="Office Supplies"/>
    <x v="0"/>
    <x v="0"/>
    <s v="Max Paper 576"/>
    <x v="0"/>
    <s v="Second Class"/>
    <n v="1"/>
    <n v="4320.84"/>
    <n v="0.15"/>
    <n v="3672.71"/>
    <n v="2714.23"/>
    <n v="763.38"/>
    <s v="Paid"/>
    <x v="0"/>
    <m/>
    <m/>
    <m/>
    <m/>
    <m/>
    <x v="1"/>
    <m/>
    <m/>
  </r>
  <r>
    <s v="ORD-2024-10432"/>
    <x v="395"/>
    <s v="02/13/2024"/>
    <m/>
    <n v="0"/>
    <s v="CUST-3989"/>
    <s v="Karan Malhotra"/>
    <s v="Karan Malhotra"/>
    <s v="Home Office"/>
    <x v="3"/>
    <x v="3"/>
    <s v="Goa"/>
    <s v="Panaji"/>
    <s v="Technology"/>
    <x v="2"/>
    <x v="12"/>
    <s v="Max Machines 412"/>
    <x v="1"/>
    <s v="Same Day"/>
    <n v="2"/>
    <n v="4118.45"/>
    <n v="0.25"/>
    <n v="6177.67"/>
    <n v="4520.75"/>
    <n v="1656.92"/>
    <s v="Paid"/>
    <x v="0"/>
    <m/>
    <m/>
    <m/>
    <m/>
    <m/>
    <x v="1"/>
    <m/>
    <m/>
  </r>
  <r>
    <s v="ORD-2024-10433"/>
    <x v="396"/>
    <s v="02-09-2024"/>
    <m/>
    <n v="0"/>
    <s v="CUST-3522"/>
    <s v="Priya Menon"/>
    <s v="Priya Menon"/>
    <s v="Small Business"/>
    <x v="1"/>
    <x v="3"/>
    <s v="Maharashtra"/>
    <s v="Mumbai"/>
    <s v="Furniture"/>
    <x v="1"/>
    <x v="10"/>
    <s v="Classic Bookcases 291"/>
    <x v="3"/>
    <s v="Standard Class"/>
    <n v="6"/>
    <n v="172.82"/>
    <n v="0.05"/>
    <n v="985.07"/>
    <n v="844.48"/>
    <n v="140.59"/>
    <s v="Paid"/>
    <x v="0"/>
    <m/>
    <m/>
    <m/>
    <m/>
    <m/>
    <x v="1"/>
    <m/>
    <m/>
  </r>
  <r>
    <s v="ORD-2024-10434"/>
    <x v="397"/>
    <s v="20-04-2024"/>
    <m/>
    <n v="0"/>
    <s v="CUST-7066"/>
    <s v="Priya Menon"/>
    <s v="Priya Menon"/>
    <s v="Corporate"/>
    <x v="2"/>
    <x v="2"/>
    <s v="Kerala"/>
    <s v="Kochi"/>
    <s v="Office Supplies"/>
    <x v="0"/>
    <x v="2"/>
    <s v="Elite Art 946"/>
    <x v="0"/>
    <s v="Second Class"/>
    <n v="4"/>
    <n v="1540.22"/>
    <n v="0"/>
    <n v="6160.88"/>
    <n v="4938.7"/>
    <n v="1222.18"/>
    <s v="Refunded"/>
    <x v="2"/>
    <m/>
    <m/>
    <m/>
    <m/>
    <m/>
    <x v="1"/>
    <m/>
    <m/>
  </r>
  <r>
    <s v="ORD-2025-10435"/>
    <x v="398"/>
    <s v="2025-04-15"/>
    <m/>
    <n v="0"/>
    <s v="CUST-2351"/>
    <s v="Mira Das"/>
    <s v="Mira Das"/>
    <s v="Home Office"/>
    <x v="3"/>
    <x v="0"/>
    <s v="Uttar Pradesh"/>
    <s v="Noida"/>
    <s v="Technology"/>
    <x v="2"/>
    <x v="5"/>
    <s v="Eco Accessories 705"/>
    <x v="0"/>
    <s v="Second Class"/>
    <n v="5"/>
    <n v="652.78"/>
    <n v="0"/>
    <n v="3263.9"/>
    <n v="2068.44"/>
    <n v="1195.46"/>
    <s v="Paid"/>
    <x v="0"/>
    <m/>
    <m/>
    <m/>
    <m/>
    <m/>
    <x v="1"/>
    <m/>
    <m/>
  </r>
  <r>
    <s v="ORD-2025-10436"/>
    <x v="399"/>
    <s v="20-04-2025"/>
    <m/>
    <n v="0"/>
    <s v="CUST-7291"/>
    <s v="Kabir Singh"/>
    <s v="Kabir Singh"/>
    <s v="Home Office"/>
    <x v="3"/>
    <x v="0"/>
    <s v="Delhi"/>
    <s v="New Delhi"/>
    <s v="Technology"/>
    <x v="2"/>
    <x v="12"/>
    <s v="Max Machines 151"/>
    <x v="3"/>
    <s v="Standard Class"/>
    <n v="1"/>
    <n v="2737.71"/>
    <n v="0.15"/>
    <n v="2327.0500000000002"/>
    <n v="1919.42"/>
    <n v="407.63"/>
    <s v="Paid"/>
    <x v="1"/>
    <m/>
    <m/>
    <m/>
    <m/>
    <m/>
    <x v="1"/>
    <m/>
    <m/>
  </r>
  <r>
    <s v="ORD-2024-10437"/>
    <x v="400"/>
    <s v="21 Jun 2024"/>
    <m/>
    <n v="0"/>
    <s v="CUST-4492"/>
    <s v="Neha Gupta"/>
    <s v="Neha Gupta"/>
    <s v="Consumer"/>
    <x v="0"/>
    <x v="2"/>
    <s v="Kerala"/>
    <s v="Kochi"/>
    <s v="Furniture"/>
    <x v="1"/>
    <x v="3"/>
    <s v="Max Furnishings 803"/>
    <x v="1"/>
    <s v="Same Day"/>
    <n v="6"/>
    <n v="1156.78"/>
    <n v="0.05"/>
    <n v="6593.65"/>
    <n v="4359.3900000000003"/>
    <n v="2234.2600000000002"/>
    <s v="Paid"/>
    <x v="2"/>
    <m/>
    <m/>
    <m/>
    <m/>
    <m/>
    <x v="1"/>
    <m/>
    <m/>
  </r>
  <r>
    <s v="ORD-2024-10438"/>
    <x v="401"/>
    <s v="2024-02-18"/>
    <m/>
    <n v="0"/>
    <s v="CUST-5029"/>
    <s v="Aditi Sen"/>
    <s v="Aditi Sen"/>
    <s v="Small Business"/>
    <x v="1"/>
    <x v="2"/>
    <s v="Kerala"/>
    <s v="Kochi"/>
    <s v="Technology"/>
    <x v="2"/>
    <x v="5"/>
    <s v="Max Accessories 423"/>
    <x v="1"/>
    <s v="Same Day"/>
    <n v="8"/>
    <n v="379.82"/>
    <n v="0.05"/>
    <n v="2886.63"/>
    <n v="1588.23"/>
    <n v="1298.4000000000001"/>
    <s v="Failed"/>
    <x v="2"/>
    <m/>
    <m/>
    <m/>
    <m/>
    <m/>
    <x v="1"/>
    <m/>
    <m/>
  </r>
  <r>
    <s v="ORD-2025-10439"/>
    <x v="402"/>
    <s v="05/05/2025"/>
    <m/>
    <n v="0"/>
    <s v="CUST-7252"/>
    <s v="Neha Gupta"/>
    <s v="Neha Gupta"/>
    <s v="Corporate"/>
    <x v="2"/>
    <x v="1"/>
    <s v="Jharkhand"/>
    <s v="Ranchi"/>
    <s v="Technology"/>
    <x v="2"/>
    <x v="11"/>
    <s v="Elite Phones 276"/>
    <x v="3"/>
    <s v="Standard Class"/>
    <n v="1"/>
    <n v="2266.4699999999998"/>
    <n v="0.2"/>
    <n v="1813.18"/>
    <n v="1363.64"/>
    <n v="449.54"/>
    <s v="Paid"/>
    <x v="0"/>
    <m/>
    <m/>
    <m/>
    <m/>
    <m/>
    <x v="1"/>
    <m/>
    <m/>
  </r>
  <r>
    <s v="ORD-2025-10440"/>
    <x v="403"/>
    <s v="03 Jul 2025"/>
    <m/>
    <n v="0"/>
    <s v="CUST-7346"/>
    <s v="Aarav Sharma"/>
    <s v="Aarav Sharma"/>
    <s v="Home Office"/>
    <x v="3"/>
    <x v="3"/>
    <s v="Goa"/>
    <s v="Panaji"/>
    <s v="Office Supplies"/>
    <x v="0"/>
    <x v="8"/>
    <s v="Smart Storage 287"/>
    <x v="1"/>
    <s v="Same Day"/>
    <n v="5"/>
    <n v="665.25"/>
    <n v="0"/>
    <n v="3326.25"/>
    <n v="2689.36"/>
    <n v="636.89"/>
    <s v="Refunded"/>
    <x v="2"/>
    <m/>
    <m/>
    <m/>
    <m/>
    <m/>
    <x v="1"/>
    <m/>
    <m/>
  </r>
  <r>
    <s v="ORD-2024-10441"/>
    <x v="404"/>
    <s v="04/08/2024"/>
    <m/>
    <n v="0"/>
    <s v="CUST-9039"/>
    <s v="Vikram Iyer"/>
    <s v="Vikram Iyer"/>
    <s v="Corporate"/>
    <x v="2"/>
    <x v="1"/>
    <s v="Odisha"/>
    <s v="Bhubaneswar"/>
    <s v="Technology"/>
    <x v="2"/>
    <x v="12"/>
    <s v="Basic Machines 610"/>
    <x v="0"/>
    <s v="Second Class"/>
    <n v="6"/>
    <n v="3722.84"/>
    <n v="0.2"/>
    <n v="17869.63"/>
    <n v="12163.8"/>
    <n v="5705.83"/>
    <s v="Paid"/>
    <x v="0"/>
    <m/>
    <m/>
    <m/>
    <m/>
    <m/>
    <x v="1"/>
    <m/>
    <m/>
  </r>
  <r>
    <s v="ORD-2024-10442"/>
    <x v="405"/>
    <s v="2024-10-03"/>
    <m/>
    <n v="0"/>
    <s v="CUST-3975"/>
    <s v="Karan Malhotra"/>
    <s v="Karan Malhotra"/>
    <s v="Consumer"/>
    <x v="0"/>
    <x v="1"/>
    <s v="Bihar"/>
    <s v="Patna"/>
    <s v="Furniture"/>
    <x v="1"/>
    <x v="10"/>
    <s v="Elite Bookcases 393"/>
    <x v="3"/>
    <s v="Standard Class"/>
    <n v="6"/>
    <n v="4217.49"/>
    <n v="0"/>
    <n v="25304.94"/>
    <n v="20771.95"/>
    <n v="4532.99"/>
    <s v="Paid"/>
    <x v="1"/>
    <m/>
    <m/>
    <m/>
    <m/>
    <m/>
    <x v="1"/>
    <m/>
    <m/>
  </r>
  <r>
    <s v="ORD-2025-10443"/>
    <x v="406"/>
    <s v="2025-01-19"/>
    <m/>
    <n v="0"/>
    <s v="CUST-6588"/>
    <s v="Aarav Sharma"/>
    <s v="Aarav Sharma"/>
    <s v="Consumer"/>
    <x v="0"/>
    <x v="1"/>
    <s v="Jharkhand"/>
    <s v="Ranchi"/>
    <s v="Furniture"/>
    <x v="1"/>
    <x v="1"/>
    <s v="Prime Tables 242"/>
    <x v="2"/>
    <s v="First Class"/>
    <n v="1"/>
    <n v="1842.31"/>
    <n v="0"/>
    <n v="1842.31"/>
    <n v="1019.17"/>
    <n v="823.14"/>
    <s v="Paid"/>
    <x v="0"/>
    <m/>
    <m/>
    <m/>
    <m/>
    <m/>
    <x v="1"/>
    <m/>
    <m/>
  </r>
  <r>
    <s v="ORD-2024-10444"/>
    <x v="407"/>
    <s v="07 Apr 2024"/>
    <m/>
    <n v="0"/>
    <s v="CUST-2207"/>
    <s v="Rohan Mehta"/>
    <s v="Rohan Mehta"/>
    <s v="Home Office"/>
    <x v="3"/>
    <x v="1"/>
    <s v="Odisha"/>
    <s v="Bhubaneswar"/>
    <s v="Furniture"/>
    <x v="1"/>
    <x v="3"/>
    <s v="Basic Furnishings 563"/>
    <x v="2"/>
    <s v="First Class"/>
    <n v="1"/>
    <n v="3683.75"/>
    <n v="0.1"/>
    <n v="3315.38"/>
    <n v="2347.6799999999998"/>
    <n v="967.7"/>
    <s v="Paid"/>
    <x v="0"/>
    <m/>
    <m/>
    <m/>
    <m/>
    <m/>
    <x v="1"/>
    <m/>
    <m/>
  </r>
  <r>
    <s v="ORD-2025-10445"/>
    <x v="408"/>
    <s v="2025-08-16"/>
    <m/>
    <n v="0"/>
    <s v="CUST-4475"/>
    <s v="Ananya Rao"/>
    <s v="Ananya Rao"/>
    <s v="Consumer"/>
    <x v="0"/>
    <x v="1"/>
    <s v="Assam"/>
    <s v="Guwahati"/>
    <s v="Technology"/>
    <x v="2"/>
    <x v="5"/>
    <s v="Prime Accessories 482"/>
    <x v="1"/>
    <s v="Same Day"/>
    <n v="9"/>
    <n v="2379.2399999999998"/>
    <n v="0.05"/>
    <n v="20342.5"/>
    <n v="12407.51"/>
    <n v="7934.99"/>
    <s v="Paid"/>
    <x v="0"/>
    <m/>
    <m/>
    <m/>
    <m/>
    <m/>
    <x v="1"/>
    <m/>
    <m/>
  </r>
  <r>
    <s v="ORD-2024-10446"/>
    <x v="409"/>
    <s v="05-05-2024"/>
    <m/>
    <n v="0"/>
    <s v="CUST-1351"/>
    <s v="Arjun Bose"/>
    <s v="Arjun Bose"/>
    <s v="Consumer"/>
    <x v="0"/>
    <x v="1"/>
    <s v="Assam"/>
    <s v="Guwahati"/>
    <s v="Furniture"/>
    <x v="1"/>
    <x v="10"/>
    <s v="Eco Bookcases 215"/>
    <x v="1"/>
    <s v="Same Day"/>
    <n v="2"/>
    <n v="2111.23"/>
    <n v="0.2"/>
    <n v="3377.97"/>
    <n v="2496.29"/>
    <n v="881.68"/>
    <s v="Paid"/>
    <x v="0"/>
    <m/>
    <m/>
    <m/>
    <m/>
    <m/>
    <x v="1"/>
    <m/>
    <m/>
  </r>
  <r>
    <s v="ORD-2025-10447"/>
    <x v="410"/>
    <s v="19-09-2025"/>
    <m/>
    <n v="0"/>
    <s v="CUST-9295"/>
    <s v="Sneha Kapoor"/>
    <s v="Sneha Kapoor"/>
    <s v="Home Office"/>
    <x v="3"/>
    <x v="2"/>
    <s v="Andhra Pradesh"/>
    <s v="Vijayawada"/>
    <s v="Office Supplies"/>
    <x v="0"/>
    <x v="8"/>
    <s v="Eco Storage 793"/>
    <x v="1"/>
    <s v="Same Day"/>
    <n v="8"/>
    <n v="4242.51"/>
    <n v="0"/>
    <n v="33940.080000000002"/>
    <n v="23754.19"/>
    <n v="10185.89"/>
    <s v="Paid"/>
    <x v="0"/>
    <m/>
    <m/>
    <m/>
    <m/>
    <m/>
    <x v="1"/>
    <m/>
    <m/>
  </r>
  <r>
    <s v="ORD-2025-10448"/>
    <x v="353"/>
    <s v="10 Aug 2025"/>
    <m/>
    <n v="0"/>
    <s v="CUST-3614"/>
    <s v="Rohan Mehta"/>
    <s v="Rohan Mehta"/>
    <s v="Home Office"/>
    <x v="3"/>
    <x v="2"/>
    <s v="Telangana"/>
    <s v="Hyderabad"/>
    <s v="Furniture"/>
    <x v="1"/>
    <x v="10"/>
    <s v="Basic Bookcases 182"/>
    <x v="3"/>
    <s v="Standard Class"/>
    <n v="6"/>
    <n v="4288.7"/>
    <n v="0.15"/>
    <n v="21872.37"/>
    <n v="13829.5"/>
    <n v="8042.87"/>
    <s v="Pending"/>
    <x v="2"/>
    <m/>
    <m/>
    <m/>
    <m/>
    <m/>
    <x v="1"/>
    <m/>
    <m/>
  </r>
  <r>
    <s v="ORD-2024-10449"/>
    <x v="411"/>
    <s v="18 Jan 2024"/>
    <m/>
    <n v="0"/>
    <s v="CUST-1932"/>
    <s v="Mira Das"/>
    <s v="Mira Das"/>
    <s v="Small Business"/>
    <x v="1"/>
    <x v="2"/>
    <s v="Andhra Pradesh"/>
    <s v="Vijayawada"/>
    <s v="Furniture"/>
    <x v="1"/>
    <x v="4"/>
    <s v="Prime Chairs 631"/>
    <x v="2"/>
    <s v="First Class"/>
    <n v="2"/>
    <n v="201.21"/>
    <n v="0.15"/>
    <n v="342.06"/>
    <n v="244.57"/>
    <n v="97.49"/>
    <s v="Paid"/>
    <x v="0"/>
    <m/>
    <m/>
    <m/>
    <m/>
    <m/>
    <x v="1"/>
    <m/>
    <m/>
  </r>
  <r>
    <s v="ORD-2024-10450"/>
    <x v="412"/>
    <s v="13 Jun 2024"/>
    <m/>
    <n v="0"/>
    <s v="CUST-5094"/>
    <s v="Aditi Sen"/>
    <s v="Aditi Sen"/>
    <s v="Corporate"/>
    <x v="2"/>
    <x v="1"/>
    <s v="Assam"/>
    <s v="Guwahati"/>
    <s v="Technology"/>
    <x v="2"/>
    <x v="12"/>
    <s v="Basic Machines 808"/>
    <x v="0"/>
    <s v="Second Class"/>
    <n v="6"/>
    <n v="3270.36"/>
    <n v="0"/>
    <n v="19622.16"/>
    <n v="14271.27"/>
    <n v="5350.89"/>
    <s v="Paid"/>
    <x v="0"/>
    <m/>
    <m/>
    <m/>
    <m/>
    <m/>
    <x v="1"/>
    <m/>
    <m/>
  </r>
  <r>
    <s v="ORD-2025-10451"/>
    <x v="413"/>
    <s v="2025-06-19"/>
    <m/>
    <n v="0"/>
    <s v="CUST-8672"/>
    <s v="Ananya Rao"/>
    <s v="Ananya Rao"/>
    <s v="Corporate"/>
    <x v="2"/>
    <x v="0"/>
    <s v="Delhi"/>
    <s v="New Delhi"/>
    <s v="Furniture"/>
    <x v="1"/>
    <x v="4"/>
    <s v="Pro Chairs 302"/>
    <x v="3"/>
    <s v="Standard Class"/>
    <n v="9"/>
    <n v="2278.5700000000002"/>
    <n v="0.25"/>
    <n v="15380.35"/>
    <n v="9907.3700000000008"/>
    <n v="5472.98"/>
    <s v="Paid"/>
    <x v="0"/>
    <m/>
    <m/>
    <m/>
    <m/>
    <m/>
    <x v="1"/>
    <m/>
    <m/>
  </r>
  <r>
    <s v="ORD-2024-10452"/>
    <x v="414"/>
    <s v="26-03-2024"/>
    <m/>
    <n v="0"/>
    <s v="CUST-3907"/>
    <s v="Rohan Mehta"/>
    <s v="Rohan Mehta"/>
    <s v="Small Business"/>
    <x v="1"/>
    <x v="0"/>
    <s v="Haryana"/>
    <s v="Gurugram"/>
    <s v="Office Supplies"/>
    <x v="0"/>
    <x v="0"/>
    <s v="Classic Paper 272"/>
    <x v="0"/>
    <s v="Second Class"/>
    <n v="8"/>
    <n v="1917.64"/>
    <n v="0.15"/>
    <n v="13039.95"/>
    <n v="11127.82"/>
    <n v="1912.13"/>
    <s v="Paid"/>
    <x v="1"/>
    <m/>
    <m/>
    <m/>
    <m/>
    <m/>
    <x v="1"/>
    <m/>
    <m/>
  </r>
  <r>
    <s v="ORD-2024-10453"/>
    <x v="415"/>
    <s v="16-05-2024"/>
    <m/>
    <n v="0"/>
    <s v="CUST-8796"/>
    <s v="Diya Patel"/>
    <s v="Diya Patel"/>
    <s v="Home Office"/>
    <x v="3"/>
    <x v="1"/>
    <s v="Jharkhand"/>
    <s v="Ranchi"/>
    <s v="Technology"/>
    <x v="2"/>
    <x v="5"/>
    <s v="Smart Accessories 149"/>
    <x v="0"/>
    <s v="Second Class"/>
    <n v="6"/>
    <n v="2013.33"/>
    <n v="0.2"/>
    <n v="9663.98"/>
    <n v="5628.93"/>
    <n v="4035.05"/>
    <s v="Paid"/>
    <x v="0"/>
    <m/>
    <m/>
    <m/>
    <m/>
    <m/>
    <x v="1"/>
    <m/>
    <m/>
  </r>
  <r>
    <s v="ORD-2025-10454"/>
    <x v="416"/>
    <s v="2025-05-11"/>
    <m/>
    <n v="0"/>
    <s v="CUST-2317"/>
    <s v="Rohan Mehta"/>
    <s v="Rohan Mehta"/>
    <s v="Small Business"/>
    <x v="1"/>
    <x v="3"/>
    <s v="Madhya Pradesh"/>
    <s v="Indore"/>
    <s v="Office Supplies"/>
    <x v="0"/>
    <x v="7"/>
    <s v="Elite Labels 322"/>
    <x v="1"/>
    <s v="Same Day"/>
    <n v="5"/>
    <n v="1483.52"/>
    <n v="0"/>
    <n v="7417.6"/>
    <n v="4955.8599999999997"/>
    <n v="2461.7399999999998"/>
    <s v="Paid"/>
    <x v="0"/>
    <m/>
    <m/>
    <m/>
    <m/>
    <m/>
    <x v="1"/>
    <m/>
    <m/>
  </r>
  <r>
    <s v="ORD-2025-10455"/>
    <x v="417"/>
    <s v="28-03-2025"/>
    <m/>
    <n v="0"/>
    <s v="CUST-8643"/>
    <s v="Vikram Iyer"/>
    <s v="Vikram Iyer"/>
    <s v="Small Business"/>
    <x v="1"/>
    <x v="0"/>
    <s v="Rajasthan"/>
    <s v="Jaipur"/>
    <s v="Furniture"/>
    <x v="1"/>
    <x v="3"/>
    <s v="Max Furnishings 821"/>
    <x v="3"/>
    <s v="Standard Class"/>
    <n v="9"/>
    <n v="3298"/>
    <n v="0.15"/>
    <n v="25229.7"/>
    <n v="20170.43"/>
    <n v="5059.2700000000004"/>
    <s v="Paid"/>
    <x v="0"/>
    <m/>
    <m/>
    <m/>
    <m/>
    <m/>
    <x v="1"/>
    <m/>
    <m/>
  </r>
  <r>
    <s v="ORD-2024-10456"/>
    <x v="418"/>
    <s v="22-07-2024"/>
    <m/>
    <n v="0"/>
    <s v="CUST-1800"/>
    <s v="Neha Gupta"/>
    <s v="Neha Gupta"/>
    <s v="Small Business"/>
    <x v="1"/>
    <x v="2"/>
    <s v="Telangana"/>
    <s v="Hyderabad"/>
    <s v="Office Supplies"/>
    <x v="0"/>
    <x v="2"/>
    <s v="Basic Art 556"/>
    <x v="3"/>
    <s v="Standard Class"/>
    <n v="4"/>
    <n v="808.77"/>
    <n v="0"/>
    <n v="3235.08"/>
    <n v="1848.6"/>
    <n v="1386.48"/>
    <s v="Paid"/>
    <x v="0"/>
    <m/>
    <m/>
    <m/>
    <m/>
    <m/>
    <x v="1"/>
    <m/>
    <m/>
  </r>
  <r>
    <s v="ORD-2024-10457"/>
    <x v="387"/>
    <s v="2024-02-20"/>
    <m/>
    <n v="0"/>
    <s v="CUST-7688"/>
    <s v="Neha Gupta"/>
    <s v="Neha Gupta"/>
    <s v="Corporate"/>
    <x v="2"/>
    <x v="0"/>
    <s v="Uttar Pradesh"/>
    <s v="Noida"/>
    <s v="Technology"/>
    <x v="2"/>
    <x v="5"/>
    <s v="Smart Accessories 265"/>
    <x v="1"/>
    <s v="Same Day"/>
    <n v="5"/>
    <n v="2604.91"/>
    <n v="0.15"/>
    <n v="11070.87"/>
    <n v="6623.61"/>
    <n v="4447.26"/>
    <s v="Paid"/>
    <x v="2"/>
    <m/>
    <m/>
    <m/>
    <m/>
    <m/>
    <x v="1"/>
    <m/>
    <m/>
  </r>
  <r>
    <s v="ORD-2024-10458"/>
    <x v="419"/>
    <s v="2024-05-04"/>
    <m/>
    <n v="0"/>
    <s v="CUST-4957"/>
    <s v="Mira Das"/>
    <s v="Mira Das"/>
    <s v="Small Business"/>
    <x v="1"/>
    <x v="3"/>
    <s v="Goa"/>
    <s v="Panaji"/>
    <s v="Furniture"/>
    <x v="1"/>
    <x v="1"/>
    <s v="Elite Tables 418"/>
    <x v="3"/>
    <s v="Standard Class"/>
    <n v="7"/>
    <n v="2851.51"/>
    <n v="0"/>
    <n v="19960.57"/>
    <n v="16603.599999999999"/>
    <n v="3356.97"/>
    <s v="Paid"/>
    <x v="0"/>
    <m/>
    <m/>
    <m/>
    <m/>
    <m/>
    <x v="1"/>
    <m/>
    <m/>
  </r>
  <r>
    <s v="ORD-2024-10459"/>
    <x v="420"/>
    <s v="02/11/2024"/>
    <m/>
    <n v="0"/>
    <s v="CUST-1263"/>
    <s v="Karan Malhotra"/>
    <s v="Karan Malhotra"/>
    <s v="Corporate"/>
    <x v="2"/>
    <x v="0"/>
    <s v="Rajasthan"/>
    <s v="Jaipur"/>
    <s v="Technology"/>
    <x v="2"/>
    <x v="11"/>
    <s v="Pro Phones 907"/>
    <x v="0"/>
    <s v="Second Class"/>
    <n v="3"/>
    <n v="3183.72"/>
    <n v="0.1"/>
    <n v="8596.0400000000009"/>
    <n v="5378.16"/>
    <n v="3217.88"/>
    <s v="Paid"/>
    <x v="0"/>
    <m/>
    <m/>
    <m/>
    <m/>
    <m/>
    <x v="1"/>
    <m/>
    <m/>
  </r>
  <r>
    <s v="ORD-2024-10460"/>
    <x v="421"/>
    <s v="04-04-2024"/>
    <m/>
    <n v="0"/>
    <s v="CUST-4745"/>
    <s v="Ananya Rao"/>
    <s v="Ananya Rao"/>
    <s v="Home Office"/>
    <x v="3"/>
    <x v="3"/>
    <s v="Goa"/>
    <s v="Panaji"/>
    <s v="Office Supplies"/>
    <x v="0"/>
    <x v="0"/>
    <s v="Basic Paper 233"/>
    <x v="2"/>
    <s v="First Class"/>
    <n v="3"/>
    <n v="1150.92"/>
    <n v="0"/>
    <n v="3452.76"/>
    <n v="2077.96"/>
    <n v="1374.8"/>
    <s v="Paid"/>
    <x v="0"/>
    <m/>
    <m/>
    <m/>
    <m/>
    <m/>
    <x v="1"/>
    <m/>
    <m/>
  </r>
  <r>
    <s v="ORD-2025-10461"/>
    <x v="422"/>
    <s v="06 Oct 2025"/>
    <s v="OK"/>
    <s v="OK"/>
    <s v="CUST-5551"/>
    <s v="Aarav Sharma"/>
    <s v="Aarav Sharma"/>
    <s v="Corporate"/>
    <x v="2"/>
    <x v="0"/>
    <s v="Rajasthan"/>
    <s v="Jaipur"/>
    <s v="Technology"/>
    <x v="2"/>
    <x v="6"/>
    <s v="Eco Copiers 603"/>
    <x v="0"/>
    <s v="Second Class"/>
    <n v="9"/>
    <n v="1359.88"/>
    <n v="0.05"/>
    <n v="11626.97"/>
    <n v="7394.07"/>
    <n v="4232.8999999999996"/>
    <s v="Paid"/>
    <x v="0"/>
    <m/>
    <m/>
    <m/>
    <m/>
    <m/>
    <x v="1"/>
    <m/>
    <m/>
  </r>
  <r>
    <s v="ORD-2025-10462"/>
    <x v="423"/>
    <s v="05/26/2025"/>
    <m/>
    <n v="0"/>
    <s v="CUST-3659"/>
    <s v="Neha Gupta"/>
    <s v="Neha Gupta"/>
    <s v="Corporate"/>
    <x v="2"/>
    <x v="2"/>
    <s v="Andhra Pradesh"/>
    <s v="Vijayawada"/>
    <s v="Office Supplies"/>
    <x v="0"/>
    <x v="0"/>
    <s v="Max Paper 700"/>
    <x v="3"/>
    <s v="Standard Class"/>
    <n v="3"/>
    <n v="3378.15"/>
    <n v="0.15"/>
    <n v="8614.2800000000007"/>
    <n v="7052.08"/>
    <n v="1562.2"/>
    <s v="Paid"/>
    <x v="0"/>
    <m/>
    <m/>
    <m/>
    <m/>
    <m/>
    <x v="1"/>
    <m/>
    <m/>
  </r>
  <r>
    <s v="ORD-2024-10463"/>
    <x v="371"/>
    <s v="25-09-2024"/>
    <m/>
    <n v="0"/>
    <s v="CUST-6594"/>
    <s v="Aarav Sharma"/>
    <s v="Aarav Sharma"/>
    <s v="Home Office"/>
    <x v="3"/>
    <x v="0"/>
    <s v="Delhi"/>
    <s v="New Delhi"/>
    <s v="Office Supplies"/>
    <x v="0"/>
    <x v="9"/>
    <s v="Pro Binders 404"/>
    <x v="2"/>
    <s v="First Class"/>
    <n v="2"/>
    <n v="1275.1400000000001"/>
    <n v="0.2"/>
    <n v="2040.22"/>
    <n v="1395.71"/>
    <n v="644.51"/>
    <s v="Paid"/>
    <x v="0"/>
    <m/>
    <m/>
    <m/>
    <m/>
    <m/>
    <x v="1"/>
    <m/>
    <m/>
  </r>
  <r>
    <s v="ORD-2025-10464"/>
    <x v="424"/>
    <s v="2025-02-08"/>
    <m/>
    <n v="0"/>
    <s v="CUST-2626"/>
    <s v="Arjun Bose"/>
    <s v="Arjun Bose"/>
    <s v="Corporate"/>
    <x v="2"/>
    <x v="3"/>
    <s v="Madhya Pradesh"/>
    <s v="Indore"/>
    <s v="Technology"/>
    <x v="2"/>
    <x v="11"/>
    <s v="Eco Phones 208"/>
    <x v="3"/>
    <s v="Standard Class"/>
    <n v="4"/>
    <n v="889.5"/>
    <n v="0.2"/>
    <n v="2846.4"/>
    <n v="2132.37"/>
    <n v="714.03"/>
    <s v="Paid"/>
    <x v="0"/>
    <m/>
    <m/>
    <m/>
    <m/>
    <m/>
    <x v="1"/>
    <m/>
    <m/>
  </r>
  <r>
    <s v="ORD-2025-10465"/>
    <x v="425"/>
    <s v="03/15/2025"/>
    <m/>
    <n v="0"/>
    <s v="CUST-7362"/>
    <s v="Arjun Bose"/>
    <s v="Arjun Bose"/>
    <s v="Corporate"/>
    <x v="2"/>
    <x v="1"/>
    <s v="Bihar"/>
    <s v="Patna"/>
    <s v="Office Supplies"/>
    <x v="0"/>
    <x v="0"/>
    <s v="Elite Paper 106"/>
    <x v="1"/>
    <s v="Same Day"/>
    <n v="3"/>
    <n v="3625.08"/>
    <n v="0.05"/>
    <n v="10331.48"/>
    <n v="7131.91"/>
    <n v="3199.57"/>
    <s v="Pending"/>
    <x v="1"/>
    <m/>
    <m/>
    <m/>
    <m/>
    <m/>
    <x v="1"/>
    <m/>
    <m/>
  </r>
  <r>
    <s v="ORD-2024-10466"/>
    <x v="426"/>
    <s v="2024-02-06"/>
    <m/>
    <n v="0"/>
    <s v="CUST-1748"/>
    <s v="Aarav Sharma"/>
    <s v="Aarav Sharma"/>
    <s v="Small Business"/>
    <x v="1"/>
    <x v="3"/>
    <s v="Madhya Pradesh"/>
    <s v="Indore"/>
    <s v="Office Supplies"/>
    <x v="0"/>
    <x v="7"/>
    <s v="Eco Labels 914"/>
    <x v="3"/>
    <s v="Standard Class"/>
    <n v="2"/>
    <n v="1258.9000000000001"/>
    <n v="0"/>
    <n v="2517.8000000000002"/>
    <n v="1478.54"/>
    <n v="1039.26"/>
    <s v="Paid"/>
    <x v="0"/>
    <m/>
    <m/>
    <m/>
    <m/>
    <m/>
    <x v="1"/>
    <m/>
    <m/>
  </r>
  <r>
    <s v="ORD-2024-10467"/>
    <x v="427"/>
    <s v="01/08/2024"/>
    <m/>
    <n v="0"/>
    <s v="CUST-2725"/>
    <s v="Mira Das"/>
    <s v="Mira Das"/>
    <s v="Small Business"/>
    <x v="1"/>
    <x v="1"/>
    <s v="Bihar"/>
    <s v="Patna"/>
    <s v="Technology"/>
    <x v="2"/>
    <x v="5"/>
    <s v="Max Accessories 486"/>
    <x v="1"/>
    <s v="Same Day"/>
    <n v="9"/>
    <n v="1591.96"/>
    <n v="0.2"/>
    <n v="11462.11"/>
    <n v="7105.48"/>
    <n v="4356.63"/>
    <s v="Paid"/>
    <x v="0"/>
    <m/>
    <m/>
    <m/>
    <m/>
    <m/>
    <x v="1"/>
    <m/>
    <m/>
  </r>
  <r>
    <s v="ORD-2024-10468"/>
    <x v="428"/>
    <s v="21 Aug 2024"/>
    <m/>
    <n v="0"/>
    <s v="CUST-9470"/>
    <s v="Aditi Sen"/>
    <s v="Aditi Sen"/>
    <s v="Corporate"/>
    <x v="2"/>
    <x v="1"/>
    <s v="Odisha"/>
    <s v="Bhubaneswar"/>
    <s v="Technology"/>
    <x v="2"/>
    <x v="6"/>
    <s v="Max Copiers 867"/>
    <x v="2"/>
    <s v="First Class"/>
    <n v="5"/>
    <n v="4288.33"/>
    <n v="0.1"/>
    <n v="19297.490000000002"/>
    <n v="15451.66"/>
    <n v="3845.83"/>
    <s v="Refunded"/>
    <x v="1"/>
    <m/>
    <m/>
    <m/>
    <m/>
    <m/>
    <x v="1"/>
    <m/>
    <m/>
  </r>
  <r>
    <s v="ORD-2025-10469"/>
    <x v="429"/>
    <s v="07 Jan 2025"/>
    <m/>
    <n v="0"/>
    <s v="CUST-4176"/>
    <s v="Aarav Sharma"/>
    <s v="Aarav Sharma"/>
    <s v="Home Office"/>
    <x v="3"/>
    <x v="1"/>
    <s v="West Bengal"/>
    <s v="Kolkata"/>
    <s v="Office Supplies"/>
    <x v="0"/>
    <x v="9"/>
    <s v="Pro Binders 555"/>
    <x v="0"/>
    <s v="Second Class"/>
    <n v="3"/>
    <n v="2188.33"/>
    <n v="0"/>
    <n v="6564.99"/>
    <n v="5407.24"/>
    <n v="1157.75"/>
    <s v="Paid"/>
    <x v="0"/>
    <m/>
    <m/>
    <m/>
    <m/>
    <m/>
    <x v="1"/>
    <m/>
    <m/>
  </r>
  <r>
    <s v="ORD-2024-10470"/>
    <x v="430"/>
    <s v="01/25/2024"/>
    <m/>
    <n v="0"/>
    <s v="CUST-3448"/>
    <s v="Aditi Sen"/>
    <s v="Aditi Sen"/>
    <s v="Corporate"/>
    <x v="2"/>
    <x v="3"/>
    <s v="Goa"/>
    <s v="Panaji"/>
    <s v="Technology"/>
    <x v="2"/>
    <x v="6"/>
    <s v="Pro Copiers 971"/>
    <x v="2"/>
    <s v="First Class"/>
    <n v="3"/>
    <n v="1041.6600000000001"/>
    <n v="0.1"/>
    <n v="2812.48"/>
    <n v="2282.12"/>
    <n v="530.36"/>
    <s v="Paid"/>
    <x v="0"/>
    <m/>
    <m/>
    <m/>
    <m/>
    <m/>
    <x v="1"/>
    <m/>
    <m/>
  </r>
  <r>
    <s v="ORD-2024-10471"/>
    <x v="431"/>
    <s v="07/31/2024"/>
    <m/>
    <n v="0"/>
    <s v="CUST-4970"/>
    <s v="Aditi Sen"/>
    <s v="Aditi Sen"/>
    <s v="Consumer"/>
    <x v="0"/>
    <x v="0"/>
    <s v="Rajasthan"/>
    <s v="Jaipur"/>
    <s v="Furniture"/>
    <x v="1"/>
    <x v="1"/>
    <s v="Pro Tables 833"/>
    <x v="1"/>
    <s v="Same Day"/>
    <n v="2"/>
    <n v="4424.78"/>
    <n v="0.2"/>
    <n v="7079.65"/>
    <n v="4465.91"/>
    <n v="2613.7399999999998"/>
    <s v="Paid"/>
    <x v="0"/>
    <m/>
    <m/>
    <m/>
    <m/>
    <m/>
    <x v="1"/>
    <m/>
    <m/>
  </r>
  <r>
    <s v="ORD-2024-10472"/>
    <x v="432"/>
    <s v="02/15/2024"/>
    <m/>
    <n v="0"/>
    <s v="CUST-6147"/>
    <s v="Kabir Singh"/>
    <s v="Kabir Singh"/>
    <s v="Consumer"/>
    <x v="0"/>
    <x v="2"/>
    <s v="Telangana"/>
    <s v="Hyderabad"/>
    <s v="Office Supplies"/>
    <x v="0"/>
    <x v="9"/>
    <s v="Prime Binders 497"/>
    <x v="3"/>
    <s v="Standard Class"/>
    <n v="3"/>
    <n v="3019.14"/>
    <n v="0.25"/>
    <n v="6793.07"/>
    <n v="4985.22"/>
    <n v="1807.85"/>
    <s v="Paid"/>
    <x v="0"/>
    <m/>
    <m/>
    <m/>
    <m/>
    <m/>
    <x v="1"/>
    <m/>
    <m/>
  </r>
  <r>
    <s v="ORD-2024-10473"/>
    <x v="433"/>
    <s v="03/07/2024"/>
    <m/>
    <n v="0"/>
    <s v="CUST-7208"/>
    <s v="Rohan Mehta"/>
    <s v="Rohan Mehta"/>
    <s v="Corporate"/>
    <x v="2"/>
    <x v="1"/>
    <s v="Odisha"/>
    <s v="Bhubaneswar"/>
    <s v="Office Supplies"/>
    <x v="0"/>
    <x v="8"/>
    <s v="Pro Storage 756"/>
    <x v="3"/>
    <s v="Standard Class"/>
    <n v="7"/>
    <n v="263.45999999999998"/>
    <n v="0"/>
    <n v="1844.22"/>
    <n v="1094.21"/>
    <n v="750.01"/>
    <s v="Paid"/>
    <x v="0"/>
    <m/>
    <m/>
    <m/>
    <m/>
    <m/>
    <x v="1"/>
    <m/>
    <m/>
  </r>
  <r>
    <s v="ORD-2024-10474"/>
    <x v="434"/>
    <s v="13 Nov 2024"/>
    <m/>
    <n v="0"/>
    <s v="CUST-2794"/>
    <s v="Priya Menon"/>
    <s v="Priya Menon"/>
    <s v="Consumer"/>
    <x v="0"/>
    <x v="3"/>
    <s v="Goa"/>
    <s v="Panaji"/>
    <s v="Technology"/>
    <x v="2"/>
    <x v="6"/>
    <s v="Max Copiers 829"/>
    <x v="3"/>
    <s v="Standard Class"/>
    <n v="6"/>
    <n v="191.45"/>
    <n v="0.2"/>
    <n v="918.96"/>
    <n v="554.17999999999995"/>
    <n v="364.78"/>
    <s v="Paid"/>
    <x v="0"/>
    <m/>
    <m/>
    <m/>
    <m/>
    <m/>
    <x v="1"/>
    <m/>
    <m/>
  </r>
  <r>
    <s v="ORD-2024-10475"/>
    <x v="435"/>
    <s v="2024-06-10"/>
    <m/>
    <n v="0"/>
    <s v="CUST-6249"/>
    <s v="Diya Patel"/>
    <s v="Diya Patel"/>
    <s v="Corporate"/>
    <x v="2"/>
    <x v="0"/>
    <s v="Punjab"/>
    <s v="Ludhiana"/>
    <s v="Furniture"/>
    <x v="1"/>
    <x v="3"/>
    <s v="Prime Furnishings 827"/>
    <x v="3"/>
    <s v="Standard Class"/>
    <n v="3"/>
    <n v="1633.57"/>
    <n v="0"/>
    <n v="4900.71"/>
    <n v="2713.9"/>
    <n v="2186.81"/>
    <s v="Paid"/>
    <x v="0"/>
    <m/>
    <m/>
    <m/>
    <m/>
    <m/>
    <x v="1"/>
    <m/>
    <m/>
  </r>
  <r>
    <s v="ORD-2025-10476"/>
    <x v="436"/>
    <s v="08 Mar 2025"/>
    <m/>
    <n v="0"/>
    <s v="CUST-5712"/>
    <s v="Vikram Iyer"/>
    <s v="Vikram Iyer"/>
    <s v="Consumer"/>
    <x v="0"/>
    <x v="1"/>
    <s v="West Bengal"/>
    <s v="Kolkata"/>
    <s v="Furniture"/>
    <x v="1"/>
    <x v="4"/>
    <s v="Eco Chairs 365"/>
    <x v="1"/>
    <s v="Same Day"/>
    <n v="8"/>
    <n v="3378.82"/>
    <n v="0.25"/>
    <n v="20272.919999999998"/>
    <n v="15873.38"/>
    <n v="4399.54"/>
    <s v="Pending"/>
    <x v="2"/>
    <m/>
    <m/>
    <m/>
    <m/>
    <m/>
    <x v="1"/>
    <m/>
    <m/>
  </r>
  <r>
    <s v="ORD-2024-10477"/>
    <x v="437"/>
    <s v="05/14/2024"/>
    <m/>
    <n v="0"/>
    <s v="CUST-3004"/>
    <s v="Sneha Kapoor"/>
    <s v="Sneha Kapoor"/>
    <s v="Small Business"/>
    <x v="1"/>
    <x v="0"/>
    <s v="Rajasthan"/>
    <s v="Jaipur"/>
    <s v="Office Supplies"/>
    <x v="0"/>
    <x v="8"/>
    <s v="Classic Storage 545"/>
    <x v="2"/>
    <s v="First Class"/>
    <n v="3"/>
    <n v="383.58"/>
    <n v="0.1"/>
    <n v="1035.67"/>
    <n v="595.41999999999996"/>
    <n v="440.25"/>
    <s v="Paid"/>
    <x v="0"/>
    <m/>
    <m/>
    <m/>
    <m/>
    <m/>
    <x v="1"/>
    <m/>
    <m/>
  </r>
  <r>
    <s v="ORD-2025-10478"/>
    <x v="438"/>
    <s v="28-08-2025"/>
    <m/>
    <n v="0"/>
    <s v="CUST-6920"/>
    <s v="Vikram Iyer"/>
    <s v="Vikram Iyer"/>
    <s v="Corporate"/>
    <x v="2"/>
    <x v="3"/>
    <s v="Gujarat"/>
    <s v="Ahmedabad"/>
    <s v="Furniture"/>
    <x v="1"/>
    <x v="4"/>
    <s v="Pro Chairs 186"/>
    <x v="3"/>
    <s v="Standard Class"/>
    <n v="6"/>
    <n v="2193.23"/>
    <n v="0.1"/>
    <n v="11843.44"/>
    <n v="9356.8799999999992"/>
    <n v="2486.56"/>
    <s v="Paid"/>
    <x v="1"/>
    <m/>
    <m/>
    <m/>
    <m/>
    <m/>
    <x v="1"/>
    <m/>
    <m/>
  </r>
  <r>
    <s v="ORD-2024-10479"/>
    <x v="439"/>
    <s v="2024-06-13"/>
    <s v="OK"/>
    <s v="OK"/>
    <s v="CUST-4838"/>
    <s v="Mira Das"/>
    <s v="Mira Das"/>
    <s v="Home Office"/>
    <x v="3"/>
    <x v="0"/>
    <s v="Uttar Pradesh"/>
    <s v="Noida"/>
    <s v="Technology"/>
    <x v="2"/>
    <x v="12"/>
    <s v="Classic Machines 561"/>
    <x v="1"/>
    <s v="Same Day"/>
    <n v="7"/>
    <n v="4079.71"/>
    <n v="0.1"/>
    <n v="25702.17"/>
    <n v="14571.48"/>
    <n v="11130.69"/>
    <s v="Refunded"/>
    <x v="2"/>
    <m/>
    <m/>
    <m/>
    <m/>
    <m/>
    <x v="1"/>
    <m/>
    <m/>
  </r>
  <r>
    <s v="ORD-2024-10480"/>
    <x v="440"/>
    <s v="2024-02-20"/>
    <m/>
    <n v="0"/>
    <s v="CUST-7520"/>
    <s v="Arjun Bose"/>
    <s v="Arjun Bose"/>
    <s v="Corporate"/>
    <x v="2"/>
    <x v="1"/>
    <s v="Odisha"/>
    <s v="Bhubaneswar"/>
    <s v="Furniture"/>
    <x v="1"/>
    <x v="4"/>
    <s v="Max Chairs 594"/>
    <x v="0"/>
    <s v="Second Class"/>
    <n v="1"/>
    <n v="2202.5500000000002"/>
    <m/>
    <n v="1651.91"/>
    <n v="1034.57"/>
    <n v="617.34"/>
    <s v="Paid"/>
    <x v="0"/>
    <m/>
    <m/>
    <m/>
    <m/>
    <m/>
    <x v="1"/>
    <m/>
    <m/>
  </r>
  <r>
    <s v="ORD-2025-10481"/>
    <x v="54"/>
    <s v="09 Jan 2025"/>
    <m/>
    <n v="0"/>
    <s v="CUST-9947"/>
    <s v="Neha Gupta"/>
    <s v="Neha Gupta"/>
    <s v="Small Business"/>
    <x v="1"/>
    <x v="2"/>
    <s v="Tamil Nadu"/>
    <s v="Chennai"/>
    <s v="Office Supplies"/>
    <x v="0"/>
    <x v="8"/>
    <s v="Eco Storage 923"/>
    <x v="4"/>
    <s v=""/>
    <n v="5"/>
    <n v="905.16"/>
    <n v="0"/>
    <n v="4525.8"/>
    <n v="2714.51"/>
    <n v="1811.29"/>
    <s v="Paid"/>
    <x v="0"/>
    <m/>
    <m/>
    <m/>
    <m/>
    <m/>
    <x v="1"/>
    <m/>
    <m/>
  </r>
  <r>
    <s v="ORD-2025-10482"/>
    <x v="441"/>
    <s v="06/13/2025"/>
    <m/>
    <n v="0"/>
    <s v="CUST-4403"/>
    <s v="Isha Nair"/>
    <s v="Isha Nair"/>
    <s v="Consumer"/>
    <x v="0"/>
    <x v="0"/>
    <s v="Uttar Pradesh"/>
    <s v="Noida"/>
    <s v="Technology"/>
    <x v="2"/>
    <x v="12"/>
    <s v="Classic Machines 287"/>
    <x v="1"/>
    <s v="Same Day"/>
    <n v="4"/>
    <n v="2793.88"/>
    <s v="85%"/>
    <n v="10616.74"/>
    <n v="6353.59"/>
    <n v="4263.1499999999996"/>
    <s v="Paid"/>
    <x v="0"/>
    <m/>
    <m/>
    <m/>
    <m/>
    <m/>
    <x v="1"/>
    <m/>
    <m/>
  </r>
  <r>
    <s v="ORD-2024-10483"/>
    <x v="31"/>
    <s v="07/22/2024"/>
    <m/>
    <n v="0"/>
    <s v="CUST-3583"/>
    <s v="Priya Menon"/>
    <s v="Priya Menon"/>
    <s v="Consumer"/>
    <x v="0"/>
    <x v="2"/>
    <s v="Karnataka"/>
    <s v="Bengaluru"/>
    <s v="Technology"/>
    <x v="2"/>
    <x v="5"/>
    <s v="Basic Accessories 518"/>
    <x v="0"/>
    <s v="Second Class"/>
    <n v="3"/>
    <n v="1286.22"/>
    <n v="0.25"/>
    <n v="2893.99"/>
    <n v="1856.03"/>
    <n v="1037.96"/>
    <s v="Paid"/>
    <x v="0"/>
    <m/>
    <m/>
    <m/>
    <m/>
    <m/>
    <x v="1"/>
    <m/>
    <m/>
  </r>
  <r>
    <s v="ORD-2024-10484"/>
    <x v="442"/>
    <s v="25-12-2024"/>
    <m/>
    <n v="0"/>
    <s v="CUST-9432"/>
    <s v="Mira Das"/>
    <s v="Mira Das"/>
    <s v="Corporate"/>
    <x v="2"/>
    <x v="1"/>
    <s v="Bihar"/>
    <s v="Patna"/>
    <s v="Technology"/>
    <x v="2"/>
    <x v="6"/>
    <s v="Pro Copiers 984"/>
    <x v="3"/>
    <s v="Standard Class"/>
    <n v="1"/>
    <n v="829.66"/>
    <n v="0.15"/>
    <n v="705.21"/>
    <n v="438.32"/>
    <n v="266.89"/>
    <s v="Paid"/>
    <x v="0"/>
    <m/>
    <m/>
    <m/>
    <m/>
    <m/>
    <x v="1"/>
    <m/>
    <m/>
  </r>
  <r>
    <s v="ORD-2024-10485"/>
    <x v="443"/>
    <s v="12/31/2024"/>
    <m/>
    <n v="0"/>
    <s v="CUST-1801"/>
    <s v="Mira Das"/>
    <s v="Mira Das"/>
    <s v="Small Business"/>
    <x v="1"/>
    <x v="2"/>
    <s v="Andhra Pradesh"/>
    <s v="Vijayawada"/>
    <s v="Furniture"/>
    <x v="1"/>
    <x v="3"/>
    <s v="Max Furnishings 297"/>
    <x v="2"/>
    <s v="First Class"/>
    <n v="6"/>
    <n v="3641.22"/>
    <n v="0.25"/>
    <n v="16385.490000000002"/>
    <n v="13679.24"/>
    <n v="2706.25"/>
    <s v="Paid"/>
    <x v="0"/>
    <m/>
    <m/>
    <m/>
    <m/>
    <m/>
    <x v="1"/>
    <m/>
    <m/>
  </r>
  <r>
    <s v="ORD-2025-10486"/>
    <x v="444"/>
    <s v="23 Jan 2025"/>
    <m/>
    <n v="0"/>
    <s v="CUST-1594"/>
    <s v="Rahul Verma"/>
    <s v="Rahul Verma"/>
    <s v="Corporate"/>
    <x v="2"/>
    <x v="3"/>
    <s v="Goa"/>
    <s v="Panaji"/>
    <s v="Furniture"/>
    <x v="1"/>
    <x v="10"/>
    <s v="Elite Bookcases 802"/>
    <x v="3"/>
    <s v="Standard Class"/>
    <n v="4"/>
    <n v="2555.19"/>
    <n v="0.25"/>
    <n v="7665.57"/>
    <n v="5595.6"/>
    <n v="2069.9699999999998"/>
    <s v="Paid"/>
    <x v="0"/>
    <m/>
    <m/>
    <m/>
    <m/>
    <m/>
    <x v="1"/>
    <m/>
    <m/>
  </r>
  <r>
    <s v="ORD-2025-10487"/>
    <x v="445"/>
    <s v="06/26/2025"/>
    <m/>
    <n v="0"/>
    <s v="CUST-8132"/>
    <s v="Rahul Verma"/>
    <s v="Rahul Verma"/>
    <s v="Corporate"/>
    <x v="2"/>
    <x v="3"/>
    <s v="Goa"/>
    <s v="Panaji"/>
    <s v="Furniture"/>
    <x v="1"/>
    <x v="1"/>
    <s v="Pro Tables 257"/>
    <x v="3"/>
    <s v="Standard Class"/>
    <n v="3"/>
    <n v="1946.18"/>
    <n v="0.2"/>
    <n v="4670.83"/>
    <n v="3166.49"/>
    <n v="1504.34"/>
    <s v="Paid"/>
    <x v="0"/>
    <m/>
    <m/>
    <m/>
    <m/>
    <m/>
    <x v="1"/>
    <m/>
    <m/>
  </r>
  <r>
    <s v="ORD-2025-10488"/>
    <x v="446"/>
    <s v="06/17/2025"/>
    <m/>
    <n v="0"/>
    <s v="CUST-7685"/>
    <s v="Rahul Verma"/>
    <s v="Rahul Verma"/>
    <s v="Corporate"/>
    <x v="2"/>
    <x v="2"/>
    <s v="Telangana"/>
    <s v="Hyderabad"/>
    <s v="Furniture"/>
    <x v="1"/>
    <x v="3"/>
    <s v="Prime Furnishings 299"/>
    <x v="3"/>
    <s v="Standard Class"/>
    <n v="5"/>
    <n v="1231.0999999999999"/>
    <n v="0"/>
    <n v="6155.5"/>
    <n v="4282.09"/>
    <n v="1873.41"/>
    <s v="Refunded"/>
    <x v="2"/>
    <m/>
    <m/>
    <m/>
    <m/>
    <m/>
    <x v="1"/>
    <m/>
    <m/>
  </r>
  <r>
    <s v="ORD-2024-10489"/>
    <x v="447"/>
    <s v="2024-10-20"/>
    <m/>
    <n v="0"/>
    <s v="CUST-2183"/>
    <s v="Aditi Sen"/>
    <s v="Aditi Sen"/>
    <s v="Small Business"/>
    <x v="1"/>
    <x v="0"/>
    <s v="Rajasthan"/>
    <s v="Jaipur"/>
    <s v="Furniture"/>
    <x v="1"/>
    <x v="1"/>
    <s v="Eco Tables 487"/>
    <x v="1"/>
    <s v="Same Day"/>
    <n v="7"/>
    <n v="1547.6"/>
    <n v="0.2"/>
    <n v="8666.56"/>
    <n v="5967.44"/>
    <n v="2699.12"/>
    <s v="Paid"/>
    <x v="0"/>
    <m/>
    <m/>
    <m/>
    <m/>
    <m/>
    <x v="1"/>
    <m/>
    <m/>
  </r>
  <r>
    <s v="ORD-2024-10490"/>
    <x v="55"/>
    <s v="2024-02-12"/>
    <m/>
    <n v="0"/>
    <s v="CUST-1636"/>
    <s v="Arjun Bose"/>
    <s v="Arjun Bose"/>
    <s v="Home Office"/>
    <x v="3"/>
    <x v="1"/>
    <s v="West Bengal"/>
    <s v="Kolkata"/>
    <s v="Technology"/>
    <x v="2"/>
    <x v="5"/>
    <s v="Prime Accessories 960"/>
    <x v="0"/>
    <s v="Second Class"/>
    <n v="1"/>
    <n v="452.19"/>
    <n v="0.2"/>
    <n v="361.75"/>
    <n v="262.52999999999997"/>
    <n v="99.22"/>
    <s v="Paid"/>
    <x v="0"/>
    <m/>
    <m/>
    <m/>
    <m/>
    <m/>
    <x v="1"/>
    <m/>
    <m/>
  </r>
  <r>
    <s v="ORD-2024-10491"/>
    <x v="448"/>
    <s v="09/19/2024"/>
    <m/>
    <n v="0"/>
    <s v="CUST-1350"/>
    <s v="Aditi Sen"/>
    <s v="Aditi Sen"/>
    <s v="Consumer"/>
    <x v="0"/>
    <x v="3"/>
    <s v="Rajasthan"/>
    <s v="Udaipur"/>
    <s v="Office Supplies"/>
    <x v="0"/>
    <x v="9"/>
    <s v="Smart Binders 191"/>
    <x v="2"/>
    <s v="First Class"/>
    <n v="7"/>
    <n v="406.42"/>
    <n v="0.15"/>
    <n v="2418.1999999999998"/>
    <n v="1613.82"/>
    <n v="804.38"/>
    <s v="Paid"/>
    <x v="0"/>
    <m/>
    <m/>
    <m/>
    <m/>
    <m/>
    <x v="1"/>
    <m/>
    <m/>
  </r>
  <r>
    <s v="ORD-2025-10492"/>
    <x v="449"/>
    <s v="30-04-2025"/>
    <m/>
    <n v="0"/>
    <s v="CUST-4101"/>
    <s v="Mira Das"/>
    <s v="Mira Das"/>
    <s v="Corporate"/>
    <x v="2"/>
    <x v="2"/>
    <s v="Kerala"/>
    <s v="Kochi"/>
    <s v="Technology"/>
    <x v="2"/>
    <x v="5"/>
    <s v="Prime Accessories 118"/>
    <x v="3"/>
    <s v="Standard Class"/>
    <n v="4"/>
    <n v="606.58000000000004"/>
    <n v="0.2"/>
    <n v="1941.06"/>
    <n v="1207.42"/>
    <n v="733.64"/>
    <s v="Paid"/>
    <x v="0"/>
    <m/>
    <m/>
    <m/>
    <m/>
    <m/>
    <x v="1"/>
    <m/>
    <m/>
  </r>
  <r>
    <s v="ORD-2025-10493"/>
    <x v="450"/>
    <s v="07/02/2025"/>
    <m/>
    <n v="0"/>
    <s v="CUST-4679"/>
    <s v="Ananya Rao"/>
    <s v="Ananya Rao"/>
    <s v="Corporate"/>
    <x v="2"/>
    <x v="2"/>
    <s v="Andhra Pradesh"/>
    <s v="Vijayawada"/>
    <s v="Office Supplies"/>
    <x v="0"/>
    <x v="8"/>
    <s v="Elite Storage 331"/>
    <x v="0"/>
    <s v="Second Class"/>
    <n v="2"/>
    <n v="2725.44"/>
    <n v="0.25"/>
    <n v="4088.16"/>
    <n v="3205.68"/>
    <n v="882.48"/>
    <s v="Paid"/>
    <x v="0"/>
    <m/>
    <m/>
    <m/>
    <m/>
    <m/>
    <x v="1"/>
    <m/>
    <m/>
  </r>
  <r>
    <s v="ORD-2025-10494"/>
    <x v="451"/>
    <s v="2025-02-13"/>
    <m/>
    <n v="0"/>
    <s v="CUST-3765"/>
    <s v="Kabir Singh"/>
    <s v="Kabir Singh"/>
    <s v="Corporate"/>
    <x v="2"/>
    <x v="1"/>
    <s v="Odisha"/>
    <s v="Bhubaneswar"/>
    <s v="Office Supplies"/>
    <x v="0"/>
    <x v="0"/>
    <s v="Prime Paper 996"/>
    <x v="0"/>
    <s v="Second Class"/>
    <n v="7"/>
    <n v="2296.6999999999998"/>
    <n v="0.05"/>
    <n v="15273.05"/>
    <n v="11088.76"/>
    <n v="4184.29"/>
    <s v="Paid"/>
    <x v="0"/>
    <m/>
    <m/>
    <m/>
    <m/>
    <m/>
    <x v="1"/>
    <m/>
    <m/>
  </r>
  <r>
    <s v="ORD-2024-10495"/>
    <x v="452"/>
    <s v="2024-11-22"/>
    <m/>
    <n v="0"/>
    <s v="CUST-9056"/>
    <s v="Isha Nair"/>
    <s v="Isha Nair"/>
    <s v="Consumer"/>
    <x v="0"/>
    <x v="3"/>
    <s v="Madhya Pradesh"/>
    <s v="Indore"/>
    <s v="Technology"/>
    <x v="2"/>
    <x v="11"/>
    <s v="Smart Phones 125"/>
    <x v="3"/>
    <s v="Standard Class"/>
    <n v="3"/>
    <n v="671.68"/>
    <n v="-0.13"/>
    <n v="1712.78"/>
    <n v="1569.38"/>
    <n v="360.66"/>
    <s v="Failed"/>
    <x v="1"/>
    <m/>
    <m/>
    <m/>
    <m/>
    <m/>
    <x v="1"/>
    <m/>
    <m/>
  </r>
  <r>
    <s v="ORD-2024-10496"/>
    <x v="409"/>
    <s v="05/15/2024"/>
    <m/>
    <n v="0"/>
    <s v="CUST-9801"/>
    <s v="Mira Das"/>
    <s v="Mira Das"/>
    <s v="Small Business"/>
    <x v="1"/>
    <x v="1"/>
    <s v="Assam"/>
    <s v="Guwahati"/>
    <s v="Technology"/>
    <x v="2"/>
    <x v="11"/>
    <s v="Eco Phones 220"/>
    <x v="0"/>
    <s v="Second Class"/>
    <n v="4"/>
    <n v="995.98"/>
    <n v="0.05"/>
    <n v="3784.72"/>
    <n v="2419.2399999999998"/>
    <n v="1365.48"/>
    <s v="Refunded"/>
    <x v="2"/>
    <m/>
    <m/>
    <m/>
    <m/>
    <m/>
    <x v="1"/>
    <m/>
    <m/>
  </r>
  <r>
    <s v="ORD-2025-10497"/>
    <x v="453"/>
    <s v="2025-07-06"/>
    <m/>
    <n v="0"/>
    <s v="CUST-2038"/>
    <s v="Kabir Singh"/>
    <s v="Kabir Singh"/>
    <s v="Small Business"/>
    <x v="1"/>
    <x v="1"/>
    <s v="Jharkhand"/>
    <s v="Ranchi"/>
    <s v="Furniture"/>
    <x v="1"/>
    <x v="4"/>
    <s v="Eco Chairs 795"/>
    <x v="0"/>
    <s v="Second Class"/>
    <n v="2"/>
    <n v="3686.42"/>
    <n v="0.1"/>
    <n v="6635.56"/>
    <n v="3652.91"/>
    <n v="2982.65"/>
    <s v="Paid"/>
    <x v="0"/>
    <m/>
    <m/>
    <m/>
    <m/>
    <m/>
    <x v="1"/>
    <m/>
    <m/>
  </r>
  <r>
    <s v="ORD-2024-10498"/>
    <x v="454"/>
    <s v="29 Aug 2024"/>
    <m/>
    <n v="0"/>
    <s v="CUST-1567"/>
    <s v="Sneha Kapoor"/>
    <s v="Sneha Kapoor"/>
    <s v="Small Business"/>
    <x v="1"/>
    <x v="0"/>
    <s v="Uttar Pradesh"/>
    <s v="Noida"/>
    <s v="Technology"/>
    <x v="2"/>
    <x v="5"/>
    <s v="Smart Accessories 896"/>
    <x v="0"/>
    <s v="Second Class"/>
    <n v="1"/>
    <n v="3106.88"/>
    <n v="0.2"/>
    <n v="2485.5"/>
    <n v="2028.43"/>
    <n v="457.07"/>
    <s v="Paid"/>
    <x v="1"/>
    <m/>
    <m/>
    <m/>
    <m/>
    <m/>
    <x v="1"/>
    <m/>
    <m/>
  </r>
  <r>
    <s v="ORD-2025-10499"/>
    <x v="455"/>
    <s v="10 Sep 2025"/>
    <m/>
    <n v="0"/>
    <s v="CUST-1190"/>
    <s v="Karan Malhotra"/>
    <s v="Karan Malhotra"/>
    <s v="Consumer"/>
    <x v="0"/>
    <x v="0"/>
    <s v="Punjab"/>
    <s v="Ludhiana"/>
    <s v="Furniture"/>
    <x v="1"/>
    <x v="4"/>
    <s v="Basic Chairs 255"/>
    <x v="1"/>
    <s v="Same Day"/>
    <n v="2"/>
    <n v="447.55"/>
    <n v="0.05"/>
    <n v="850.35"/>
    <n v="600.98"/>
    <n v="249.37"/>
    <s v="Refunded"/>
    <x v="1"/>
    <m/>
    <m/>
    <m/>
    <m/>
    <m/>
    <x v="1"/>
    <m/>
    <m/>
  </r>
  <r>
    <s v="ORD-2024-10500"/>
    <x v="456"/>
    <s v="26-12-2024"/>
    <m/>
    <n v="0"/>
    <s v="CUST-5604"/>
    <s v="Rahul Verma"/>
    <s v="Rahul Verma"/>
    <s v="Home Office"/>
    <x v="3"/>
    <x v="0"/>
    <s v="Uttar Pradesh"/>
    <s v="Noida"/>
    <s v="Furniture"/>
    <x v="1"/>
    <x v="4"/>
    <s v="Eco Chairs 210"/>
    <x v="3"/>
    <s v="Standard Class"/>
    <n v="9"/>
    <n v="1110.8699999999999"/>
    <m/>
    <n v="7498.37"/>
    <n v="6059.07"/>
    <n v="1439.3"/>
    <s v="Paid"/>
    <x v="1"/>
    <m/>
    <m/>
    <m/>
    <m/>
    <m/>
    <x v="1"/>
    <m/>
    <m/>
  </r>
  <r>
    <s v="ORD-2024-10501"/>
    <x v="457"/>
    <s v="05/22/2024"/>
    <m/>
    <n v="0"/>
    <s v="CUST-7661"/>
    <s v="Sneha Kapoor"/>
    <s v="Sneha Kapoor"/>
    <s v="Consumer"/>
    <x v="0"/>
    <x v="2"/>
    <s v="Kerala"/>
    <s v="Kochi"/>
    <s v="Technology"/>
    <x v="2"/>
    <x v="11"/>
    <s v="Prime Phones 533"/>
    <x v="1"/>
    <s v="Same Day"/>
    <n v="9"/>
    <n v="3795.99"/>
    <s v="85%"/>
    <n v="34163.910000000003"/>
    <n v="28577.15"/>
    <n v="5586.76"/>
    <s v="Paid"/>
    <x v="0"/>
    <m/>
    <m/>
    <m/>
    <m/>
    <m/>
    <x v="1"/>
    <m/>
    <m/>
  </r>
  <r>
    <s v="ORD-2024-10502"/>
    <x v="458"/>
    <s v="08/17/2024"/>
    <m/>
    <n v="0"/>
    <s v="CUST-3710"/>
    <s v="Neha Gupta"/>
    <s v="Neha Gupta"/>
    <s v="Consumer"/>
    <x v="0"/>
    <x v="1"/>
    <s v="Jharkhand"/>
    <s v="Ranchi"/>
    <s v="Office Supplies"/>
    <x v="0"/>
    <x v="2"/>
    <s v="Elite Art 325"/>
    <x v="0"/>
    <s v="Second Class"/>
    <n v="6"/>
    <n v="3497.54"/>
    <n v="0.15"/>
    <n v="17837.45"/>
    <n v="13627.02"/>
    <n v="4210.43"/>
    <s v="Paid"/>
    <x v="0"/>
    <m/>
    <m/>
    <m/>
    <m/>
    <m/>
    <x v="1"/>
    <m/>
    <m/>
  </r>
  <r>
    <s v="ORD-2024-10503"/>
    <x v="459"/>
    <s v="2024-04-09"/>
    <m/>
    <n v="0"/>
    <s v="CUST-1534"/>
    <s v="Priya Menon"/>
    <s v="Priya Menon"/>
    <s v="Small Business"/>
    <x v="1"/>
    <x v="1"/>
    <s v="Odisha"/>
    <s v="Bhubaneswar"/>
    <s v="Technology"/>
    <x v="2"/>
    <x v="6"/>
    <s v="Prime Copiers 557"/>
    <x v="0"/>
    <s v="Second Class"/>
    <n v="6"/>
    <n v="826.93"/>
    <n v="0.1"/>
    <n v="4465.42"/>
    <n v="3377.1"/>
    <n v="1088.32"/>
    <s v="Paid"/>
    <x v="0"/>
    <m/>
    <m/>
    <m/>
    <m/>
    <m/>
    <x v="1"/>
    <m/>
    <m/>
  </r>
  <r>
    <s v="ORD-2024-10504"/>
    <x v="460"/>
    <s v="2024-10-05"/>
    <m/>
    <n v="0"/>
    <s v="CUST-7422"/>
    <s v="Aarav Sharma"/>
    <s v="Aarav Sharma"/>
    <s v="Consumer"/>
    <x v="0"/>
    <x v="2"/>
    <s v="Tamil Nadu"/>
    <s v="Chennai"/>
    <s v="Technology"/>
    <x v="2"/>
    <x v="11"/>
    <s v="Smart Phones 674"/>
    <x v="3"/>
    <s v="Standard Class"/>
    <n v="7"/>
    <n v="1681.6"/>
    <n v="0.1"/>
    <n v="10594.08"/>
    <n v="7160.31"/>
    <n v="3433.77"/>
    <s v="Paid"/>
    <x v="0"/>
    <m/>
    <m/>
    <m/>
    <m/>
    <m/>
    <x v="1"/>
    <m/>
    <m/>
  </r>
  <r>
    <s v="ORD-2025-10505"/>
    <x v="461"/>
    <s v="2025-02-17"/>
    <m/>
    <n v="0"/>
    <s v="CUST-9693"/>
    <s v="Arjun Bose"/>
    <s v="Arjun Bose"/>
    <s v="Corporate"/>
    <x v="2"/>
    <x v="3"/>
    <s v="Gujarat"/>
    <s v="Ahmedabad"/>
    <s v="Office Supplies"/>
    <x v="0"/>
    <x v="2"/>
    <s v="Elite Art 553"/>
    <x v="3"/>
    <s v="Standard Class"/>
    <n v="4"/>
    <n v="4328.12"/>
    <n v="0"/>
    <n v="17312.48"/>
    <n v="14424.22"/>
    <n v="2888.26"/>
    <s v="Paid"/>
    <x v="0"/>
    <m/>
    <m/>
    <m/>
    <m/>
    <m/>
    <x v="1"/>
    <m/>
    <m/>
  </r>
  <r>
    <s v="ORD-2024-10506"/>
    <x v="462"/>
    <s v="14 Nov 2024"/>
    <m/>
    <n v="0"/>
    <s v="CUST-5458"/>
    <s v="Neha Gupta"/>
    <s v="Neha Gupta"/>
    <s v="Corporate"/>
    <x v="2"/>
    <x v="3"/>
    <s v="Madhya Pradesh"/>
    <s v="Indore"/>
    <s v="Office Supplies"/>
    <x v="0"/>
    <x v="2"/>
    <s v="Classic Art 339"/>
    <x v="2"/>
    <s v="First Class"/>
    <n v="9"/>
    <n v="2438.29"/>
    <n v="0.2"/>
    <n v="17555.689999999999"/>
    <n v="13293.2"/>
    <n v="4262.49"/>
    <s v="Paid"/>
    <x v="1"/>
    <m/>
    <m/>
    <m/>
    <m/>
    <m/>
    <x v="1"/>
    <m/>
    <m/>
  </r>
  <r>
    <s v="ORD-2024-10507"/>
    <x v="463"/>
    <s v="2024-12-15"/>
    <m/>
    <n v="0"/>
    <s v="CUST-3011"/>
    <s v="Aarav Sharma"/>
    <s v="Aarav Sharma"/>
    <s v="Small Business"/>
    <x v="1"/>
    <x v="0"/>
    <s v="Punjab"/>
    <s v="Ludhiana"/>
    <s v="Furniture"/>
    <x v="1"/>
    <x v="3"/>
    <s v="Smart Furnishings 352"/>
    <x v="2"/>
    <s v="First Class"/>
    <n v="2"/>
    <n v="669.8"/>
    <n v="0.1"/>
    <n v="1205.6400000000001"/>
    <n v="842.07"/>
    <n v="363.57"/>
    <s v="Refunded"/>
    <x v="2"/>
    <m/>
    <m/>
    <m/>
    <m/>
    <m/>
    <x v="1"/>
    <m/>
    <m/>
  </r>
  <r>
    <s v="ORD-2025-10508"/>
    <x v="464"/>
    <s v="2025-04-22"/>
    <m/>
    <n v="0"/>
    <s v="CUST-1826"/>
    <s v="Isha Nair"/>
    <s v="Isha Nair"/>
    <s v="Small Business"/>
    <x v="1"/>
    <x v="0"/>
    <s v="Haryana"/>
    <s v="Gurugram"/>
    <s v="Office Supplies"/>
    <x v="0"/>
    <x v="9"/>
    <s v="Classic Binders 602"/>
    <x v="1"/>
    <s v="Same Day"/>
    <n v="4"/>
    <n v="2990.42"/>
    <n v="0.25"/>
    <n v="8971.26"/>
    <n v="6814.35"/>
    <n v="2156.91"/>
    <s v="Paid"/>
    <x v="0"/>
    <m/>
    <m/>
    <m/>
    <m/>
    <m/>
    <x v="1"/>
    <m/>
    <m/>
  </r>
  <r>
    <s v="ORD-2024-10509"/>
    <x v="465"/>
    <s v="07-04-2024"/>
    <m/>
    <n v="0"/>
    <s v="CUST-3333"/>
    <s v="Isha Nair"/>
    <s v="Isha Nair"/>
    <s v="Small Business"/>
    <x v="1"/>
    <x v="0"/>
    <s v="Haryana"/>
    <s v="Gurugram"/>
    <s v="Technology"/>
    <x v="2"/>
    <x v="12"/>
    <s v="Smart Machines 853"/>
    <x v="0"/>
    <s v="Second Class"/>
    <n v="4"/>
    <n v="1831"/>
    <n v="0"/>
    <n v="7324"/>
    <n v="4179.63"/>
    <n v="3144.37"/>
    <s v="Paid"/>
    <x v="0"/>
    <m/>
    <m/>
    <m/>
    <m/>
    <m/>
    <x v="1"/>
    <m/>
    <m/>
  </r>
  <r>
    <s v="ORD-2025-10510"/>
    <x v="466"/>
    <s v="05/14/2025"/>
    <m/>
    <n v="0"/>
    <s v="CUST-7901"/>
    <s v="Neha Gupta"/>
    <s v="Neha Gupta"/>
    <s v="Consumer"/>
    <x v="0"/>
    <x v="3"/>
    <s v="Gujarat"/>
    <s v="Ahmedabad"/>
    <s v="Technology"/>
    <x v="2"/>
    <x v="12"/>
    <s v="Classic Machines 599"/>
    <x v="1"/>
    <s v="Same Day"/>
    <n v="8"/>
    <n v="3631.44"/>
    <n v="0.2"/>
    <n v="23241.22"/>
    <n v="17220.900000000001"/>
    <n v="6020.32"/>
    <s v="Paid"/>
    <x v="0"/>
    <m/>
    <m/>
    <m/>
    <m/>
    <m/>
    <x v="1"/>
    <m/>
    <m/>
  </r>
  <r>
    <s v="ORD-2024-10511"/>
    <x v="105"/>
    <s v="21-10-2024"/>
    <m/>
    <n v="0"/>
    <s v="CUST-9759"/>
    <s v="Aarav  Sharma"/>
    <s v="Aarav Sharma"/>
    <s v="Consumer"/>
    <x v="0"/>
    <x v="2"/>
    <s v="Karnataka"/>
    <s v="Bengaluru"/>
    <s v="Office Supplies"/>
    <x v="0"/>
    <x v="8"/>
    <s v="Pro Storage 373"/>
    <x v="0"/>
    <s v="Second Class"/>
    <n v="2"/>
    <n v="4238.51"/>
    <n v="0"/>
    <n v="8477.02"/>
    <n v="6884.96"/>
    <n v="1592.06"/>
    <s v="Paid"/>
    <x v="0"/>
    <m/>
    <m/>
    <m/>
    <m/>
    <m/>
    <x v="1"/>
    <m/>
    <m/>
  </r>
  <r>
    <s v="ORD-2024-10512"/>
    <x v="467"/>
    <s v="26 Oct 2024"/>
    <m/>
    <n v="0"/>
    <s v="CUST-7232"/>
    <s v="Sneha Kapoor"/>
    <s v="Sneha Kapoor"/>
    <s v="Consumer"/>
    <x v="0"/>
    <x v="3"/>
    <s v="Madhya Pradesh"/>
    <s v="Indore"/>
    <s v="Furniture"/>
    <x v="1"/>
    <x v="10"/>
    <s v="Smart Bookcases 920"/>
    <x v="3"/>
    <s v="Standard Class"/>
    <n v="9"/>
    <n v="544.27"/>
    <n v="0.25"/>
    <n v="3673.82"/>
    <n v="2088.15"/>
    <n v="1585.67"/>
    <s v="Paid"/>
    <x v="0"/>
    <m/>
    <m/>
    <m/>
    <m/>
    <m/>
    <x v="1"/>
    <m/>
    <m/>
  </r>
  <r>
    <s v="ORD-2025-10513"/>
    <x v="133"/>
    <s v="2025-03-03"/>
    <m/>
    <n v="0"/>
    <s v="CUST-9943"/>
    <s v="Isha Nair"/>
    <s v="Isha Nair"/>
    <s v="Corporate"/>
    <x v="2"/>
    <x v="2"/>
    <s v="Kerala"/>
    <s v="Kochi"/>
    <s v="Office Supplies"/>
    <x v="0"/>
    <x v="7"/>
    <s v="Pro Labels 849"/>
    <x v="0"/>
    <s v="Second Class"/>
    <n v="2"/>
    <n v="4031.45"/>
    <n v="0.25"/>
    <n v="6047.17"/>
    <n v="3368.79"/>
    <n v="2678.38"/>
    <s v="Paid"/>
    <x v="0"/>
    <m/>
    <m/>
    <m/>
    <m/>
    <m/>
    <x v="1"/>
    <m/>
    <m/>
  </r>
  <r>
    <s v="ORD-2025-10514"/>
    <x v="186"/>
    <s v="07/02/2025"/>
    <m/>
    <n v="0"/>
    <s v="CUST-8993"/>
    <s v="Aarav Sharma"/>
    <s v="Aarav Sharma"/>
    <s v="Corporate"/>
    <x v="2"/>
    <x v="2"/>
    <s v="Kerala"/>
    <s v="Kochi"/>
    <s v="Technology"/>
    <x v="2"/>
    <x v="5"/>
    <s v="Prime Accessories 849"/>
    <x v="2"/>
    <s v="First Class"/>
    <n v="6"/>
    <n v="1099.49"/>
    <n v="0.1"/>
    <n v="6212.38"/>
    <n v="4088.46"/>
    <n v="1848.79"/>
    <s v="Paid"/>
    <x v="0"/>
    <m/>
    <m/>
    <m/>
    <m/>
    <m/>
    <x v="1"/>
    <m/>
    <m/>
  </r>
  <r>
    <s v="ORD-2024-10515"/>
    <x v="468"/>
    <s v="2024-11-22"/>
    <m/>
    <n v="0"/>
    <s v="CUST-7729"/>
    <s v="Karan Malhotra"/>
    <s v="Karan Malhotra"/>
    <s v="Home Office"/>
    <x v="3"/>
    <x v="2"/>
    <s v="Kerala"/>
    <s v="Kochi"/>
    <s v="Technology"/>
    <x v="2"/>
    <x v="5"/>
    <s v="Smart Accessories 388"/>
    <x v="3"/>
    <s v="Standard Class"/>
    <n v="6"/>
    <n v="3872.94"/>
    <n v="0.1"/>
    <n v="20913.88"/>
    <n v="11684.68"/>
    <n v="9229.2000000000007"/>
    <s v="Paid"/>
    <x v="0"/>
    <m/>
    <m/>
    <m/>
    <m/>
    <m/>
    <x v="1"/>
    <m/>
    <m/>
  </r>
  <r>
    <s v="ORD-2025-10516"/>
    <x v="398"/>
    <s v="2025-04-11"/>
    <m/>
    <n v="0"/>
    <s v="CUST-9986"/>
    <s v="Rahul Verma"/>
    <s v="Rahul Verma"/>
    <s v="Corporate"/>
    <x v="2"/>
    <x v="0"/>
    <s v="Delhi"/>
    <s v="New Delhi"/>
    <s v="Office Supplies"/>
    <x v="0"/>
    <x v="0"/>
    <s v="Classic Paper 752"/>
    <x v="3"/>
    <s v="Standard Class"/>
    <n v="1"/>
    <n v="4458.49"/>
    <n v="-7.0000000000000007E-2"/>
    <n v="3566.79"/>
    <n v="2083.41"/>
    <n v="1483.38"/>
    <s v="Paid"/>
    <x v="0"/>
    <m/>
    <m/>
    <m/>
    <m/>
    <m/>
    <x v="1"/>
    <m/>
    <m/>
  </r>
  <r>
    <s v="ORD-2024-10517"/>
    <x v="469"/>
    <s v="04 Oct 2024"/>
    <m/>
    <n v="0"/>
    <s v="CUST-2731"/>
    <s v="Kabir Singh"/>
    <s v="Kabir Singh"/>
    <s v="Home Office"/>
    <x v="3"/>
    <x v="0"/>
    <s v="Delhi"/>
    <s v="New Delhi"/>
    <s v="Technology"/>
    <x v="2"/>
    <x v="6"/>
    <s v="Classic Copiers 143"/>
    <x v="3"/>
    <s v="Standard Class"/>
    <n v="1"/>
    <n v="2233.1799999999998"/>
    <n v="0"/>
    <n v="2233.1799999999998"/>
    <n v="1585.82"/>
    <n v="647.36"/>
    <s v="Failed"/>
    <x v="2"/>
    <m/>
    <m/>
    <m/>
    <m/>
    <m/>
    <x v="1"/>
    <m/>
    <m/>
  </r>
  <r>
    <s v="ORD-2025-10518"/>
    <x v="470"/>
    <s v="27 May 2025"/>
    <m/>
    <n v="0"/>
    <s v="CUST-4235"/>
    <s v="Rahul Verma"/>
    <s v="Rahul Verma"/>
    <s v="Consumer"/>
    <x v="0"/>
    <x v="1"/>
    <s v="Odisha"/>
    <s v="Bhubaneswar"/>
    <s v="Furniture"/>
    <x v="1"/>
    <x v="3"/>
    <s v="Basic Furnishings 386"/>
    <x v="0"/>
    <s v="Second Class"/>
    <n v="7"/>
    <n v="2123.2800000000002"/>
    <n v="0.2"/>
    <n v="11890.37"/>
    <n v="9234.5300000000007"/>
    <n v="2655.84"/>
    <s v="Refunded"/>
    <x v="2"/>
    <m/>
    <m/>
    <m/>
    <m/>
    <m/>
    <x v="1"/>
    <m/>
    <m/>
  </r>
  <r>
    <s v="ORD-2025-10519"/>
    <x v="471"/>
    <s v="26 Apr 2025"/>
    <m/>
    <n v="0"/>
    <s v="CUST-3377"/>
    <s v="Diya Patel"/>
    <s v="Diya Patel"/>
    <s v="Corporate"/>
    <x v="2"/>
    <x v="1"/>
    <s v="Odisha"/>
    <s v="Bhubaneswar"/>
    <s v="Furniture"/>
    <x v="1"/>
    <x v="1"/>
    <s v="Classic Tables 592"/>
    <x v="2"/>
    <s v="First Class"/>
    <n v="7"/>
    <n v="1604.13"/>
    <n v="0.25"/>
    <n v="8421.68"/>
    <n v="6534.47"/>
    <n v="1887.21"/>
    <s v="Paid"/>
    <x v="1"/>
    <m/>
    <m/>
    <m/>
    <m/>
    <m/>
    <x v="1"/>
    <m/>
    <m/>
  </r>
  <r>
    <s v="ORD-2025-10520"/>
    <x v="472"/>
    <s v="2025-07-07"/>
    <m/>
    <n v="0"/>
    <s v="CUST-3258"/>
    <s v="Priya Menon"/>
    <s v="Priya Menon"/>
    <s v="Consumer"/>
    <x v="0"/>
    <x v="0"/>
    <s v="Uttar Pradesh"/>
    <s v="Noida"/>
    <s v="Furniture"/>
    <x v="1"/>
    <x v="1"/>
    <s v="Pro Tables 412"/>
    <x v="3"/>
    <s v="Standard Class"/>
    <n v="4"/>
    <n v="4365.21"/>
    <n v="0.2"/>
    <n v="13968.67"/>
    <n v="8857.58"/>
    <n v="5111.09"/>
    <s v="Pending"/>
    <x v="1"/>
    <m/>
    <m/>
    <m/>
    <m/>
    <m/>
    <x v="1"/>
    <m/>
    <m/>
  </r>
  <r>
    <s v="ORD-2024-10521"/>
    <x v="473"/>
    <s v="23 Jul 2024"/>
    <m/>
    <n v="0"/>
    <s v="CUST-2155"/>
    <s v="Aarav Sharma"/>
    <s v="Aarav Sharma"/>
    <s v="Home Office"/>
    <x v="3"/>
    <x v="2"/>
    <s v="Karnataka"/>
    <s v="Bengaluru"/>
    <s v="Technology"/>
    <x v="2"/>
    <x v="12"/>
    <s v="Prime Machines 393"/>
    <x v="1"/>
    <s v="Same Day"/>
    <n v="1"/>
    <n v="1695.91"/>
    <n v="0.05"/>
    <n v="1611.11"/>
    <n v="895.15"/>
    <n v="715.96"/>
    <s v="Paid"/>
    <x v="0"/>
    <m/>
    <m/>
    <m/>
    <m/>
    <m/>
    <x v="1"/>
    <m/>
    <m/>
  </r>
  <r>
    <s v="ORD-2025-10522"/>
    <x v="474"/>
    <s v="2025-04-01"/>
    <m/>
    <n v="0"/>
    <s v="CUST-8012"/>
    <s v="Diya Patel"/>
    <s v="Diya Patel"/>
    <s v="Consumer"/>
    <x v="0"/>
    <x v="0"/>
    <s v="Punjab"/>
    <s v="Ludhiana"/>
    <s v="Office Supplies"/>
    <x v="0"/>
    <x v="7"/>
    <s v="Classic Labels 776"/>
    <x v="0"/>
    <s v="Second Class"/>
    <n v="6"/>
    <n v="2192.11"/>
    <n v="0.05"/>
    <n v="12495.03"/>
    <n v="9184.52"/>
    <n v="3310.51"/>
    <s v="Paid"/>
    <x v="0"/>
    <m/>
    <m/>
    <m/>
    <m/>
    <m/>
    <x v="1"/>
    <m/>
    <m/>
  </r>
  <r>
    <s v="ORD-2025-10523"/>
    <x v="475"/>
    <s v="08 Mar 2025"/>
    <m/>
    <n v="0"/>
    <s v="CUST-2917"/>
    <s v="Neha Gupta"/>
    <s v="Neha Gupta"/>
    <s v="Small Business"/>
    <x v="1"/>
    <x v="1"/>
    <s v="Jharkhand"/>
    <s v="Ranchi"/>
    <s v="Technology"/>
    <x v="2"/>
    <x v="11"/>
    <s v="Max Phones 612"/>
    <x v="2"/>
    <s v="First Class"/>
    <n v="9"/>
    <n v="3670.54"/>
    <n v="0"/>
    <n v="33034.86"/>
    <n v="24539.83"/>
    <n v="8495.0300000000007"/>
    <s v="Paid"/>
    <x v="0"/>
    <m/>
    <m/>
    <m/>
    <m/>
    <m/>
    <x v="1"/>
    <m/>
    <m/>
  </r>
  <r>
    <s v="ORD-2024-10524"/>
    <x v="476"/>
    <s v="2024-04-03"/>
    <m/>
    <n v="0"/>
    <s v="CUST-4653"/>
    <s v="Kabir Singh"/>
    <s v="Kabir Singh"/>
    <s v="Home Office"/>
    <x v="3"/>
    <x v="3"/>
    <s v="Goa"/>
    <s v="Panaji"/>
    <s v="Office Supplies"/>
    <x v="0"/>
    <x v="0"/>
    <s v="Basic Paper 315"/>
    <x v="0"/>
    <s v="Second Class"/>
    <n v="2"/>
    <n v="2902.63"/>
    <n v="0"/>
    <n v="5805.26"/>
    <n v="4654.3599999999997"/>
    <n v="1150.9000000000001"/>
    <s v="Paid"/>
    <x v="2"/>
    <m/>
    <m/>
    <m/>
    <m/>
    <m/>
    <x v="1"/>
    <m/>
    <m/>
  </r>
  <r>
    <s v="ORD-2024-10525"/>
    <x v="477"/>
    <s v="01 Dec 2024"/>
    <m/>
    <n v="0"/>
    <s v="CUST-3311"/>
    <s v="Ananya Rao"/>
    <s v="Ananya Rao"/>
    <s v="Corporate"/>
    <x v="2"/>
    <x v="3"/>
    <s v="Gujarat"/>
    <s v="Ahmedabad"/>
    <s v="Furniture"/>
    <x v="1"/>
    <x v="4"/>
    <s v="Basic Chairs 333"/>
    <x v="2"/>
    <s v="First Class"/>
    <n v="9"/>
    <n v="4207.3599999999997"/>
    <n v="0.1"/>
    <n v="34079.620000000003"/>
    <n v="21871.39"/>
    <n v="12208.23"/>
    <s v="Paid"/>
    <x v="0"/>
    <m/>
    <m/>
    <m/>
    <m/>
    <m/>
    <x v="1"/>
    <m/>
    <m/>
  </r>
  <r>
    <s v="ORD-2024-10526"/>
    <x v="478"/>
    <s v="2024-10-17"/>
    <m/>
    <n v="0"/>
    <s v="CUST-2924"/>
    <s v="Priya Menon"/>
    <s v="Priya Menon"/>
    <s v="Home Office"/>
    <x v="3"/>
    <x v="1"/>
    <s v="West Bengal"/>
    <s v="Kolkata"/>
    <s v="Furniture"/>
    <x v="1"/>
    <x v="4"/>
    <s v="Prime Chairs 215"/>
    <x v="3"/>
    <s v="Standard Class"/>
    <n v="5"/>
    <n v="2524.4"/>
    <n v="0.1"/>
    <n v="11359.8"/>
    <n v="7062.44"/>
    <n v="4297.3599999999997"/>
    <s v="Paid"/>
    <x v="0"/>
    <m/>
    <m/>
    <m/>
    <m/>
    <m/>
    <x v="1"/>
    <m/>
    <m/>
  </r>
  <r>
    <s v="ORD-2025-10527"/>
    <x v="479"/>
    <s v="21 Jul 2025"/>
    <m/>
    <n v="0"/>
    <s v="CUST-7198"/>
    <s v="Priya Menon"/>
    <s v="Priya Menon"/>
    <s v="Consumer"/>
    <x v="0"/>
    <x v="1"/>
    <s v="Odisha"/>
    <s v="Bhubaneswar"/>
    <s v="Furniture"/>
    <x v="1"/>
    <x v="1"/>
    <s v="Elite Tables 815"/>
    <x v="0"/>
    <s v="Second Class"/>
    <n v="4"/>
    <n v="284.04000000000002"/>
    <m/>
    <n v="908.93"/>
    <n v="572.08000000000004"/>
    <n v="336.85"/>
    <s v="Paid"/>
    <x v="0"/>
    <m/>
    <m/>
    <m/>
    <m/>
    <m/>
    <x v="1"/>
    <m/>
    <m/>
  </r>
  <r>
    <s v="ORD-2025-10528"/>
    <x v="480"/>
    <s v="2025-10-05"/>
    <m/>
    <n v="0"/>
    <s v="CUST-3419"/>
    <s v="Aditi Sen"/>
    <s v="Aditi Sen"/>
    <s v="Home Office"/>
    <x v="3"/>
    <x v="0"/>
    <s v="Haryana"/>
    <s v="Gurugram"/>
    <s v="Office Supplies"/>
    <x v="0"/>
    <x v="0"/>
    <s v="Basic Paper 388"/>
    <x v="2"/>
    <s v="First Class"/>
    <n v="5"/>
    <n v="3247.56"/>
    <n v="0.15"/>
    <n v="13802.13"/>
    <n v="10075.93"/>
    <n v="3726.2"/>
    <s v="Paid"/>
    <x v="0"/>
    <m/>
    <m/>
    <m/>
    <m/>
    <m/>
    <x v="1"/>
    <m/>
    <m/>
  </r>
  <r>
    <s v="ORD-2024-10529"/>
    <x v="481"/>
    <s v="09-10-2024"/>
    <m/>
    <n v="0"/>
    <s v="CUST-2390"/>
    <s v="Diya Patel"/>
    <s v="Diya Patel"/>
    <s v="Consumer"/>
    <x v="0"/>
    <x v="2"/>
    <s v="Tamil Nadu"/>
    <s v="Chennai"/>
    <s v="Office Supplies"/>
    <x v="0"/>
    <x v="9"/>
    <s v="Eco Binders 855"/>
    <x v="3"/>
    <s v="Standard Class"/>
    <n v="9"/>
    <n v="3457.09"/>
    <n v="0.05"/>
    <n v="29558.12"/>
    <n v="21302.13"/>
    <n v="8255.99"/>
    <s v="Pending"/>
    <x v="2"/>
    <m/>
    <m/>
    <m/>
    <m/>
    <m/>
    <x v="1"/>
    <m/>
    <m/>
  </r>
  <r>
    <s v="ORD-2024-10530"/>
    <x v="482"/>
    <s v="2024-02-08"/>
    <m/>
    <n v="0"/>
    <s v="CUST-3362"/>
    <s v="Karan Malhotra"/>
    <s v="Karan Malhotra"/>
    <s v="Consumer"/>
    <x v="0"/>
    <x v="1"/>
    <s v="Jharkhand"/>
    <s v="Ranchi"/>
    <s v="Furniture"/>
    <x v="1"/>
    <x v="10"/>
    <s v="Classic Bookcases 947"/>
    <x v="0"/>
    <s v="Second Class"/>
    <n v="9"/>
    <n v="1822.25"/>
    <n v="0"/>
    <n v="16400.25"/>
    <n v="12146.96"/>
    <n v="4253.29"/>
    <s v="Paid"/>
    <x v="0"/>
    <m/>
    <m/>
    <m/>
    <m/>
    <m/>
    <x v="1"/>
    <m/>
    <m/>
  </r>
  <r>
    <s v="ORD-2025-10531"/>
    <x v="483"/>
    <s v="2025-06-01"/>
    <m/>
    <n v="0"/>
    <s v="CUST-8177"/>
    <s v="Rahul Verma"/>
    <s v="Rahul Verma"/>
    <s v="Home Office"/>
    <x v="3"/>
    <x v="2"/>
    <s v="Tamil Nadu"/>
    <s v="Chennai"/>
    <s v="Office Supplies"/>
    <x v="0"/>
    <x v="9"/>
    <s v="Eco Binders 352"/>
    <x v="3"/>
    <s v="Standard Class"/>
    <n v="9"/>
    <n v="1994.51"/>
    <n v="0.05"/>
    <n v="17053.060000000001"/>
    <n v="10742.38"/>
    <n v="6310.68"/>
    <s v="Paid"/>
    <x v="0"/>
    <m/>
    <m/>
    <m/>
    <m/>
    <m/>
    <x v="1"/>
    <m/>
    <m/>
  </r>
  <r>
    <s v="ORD-2024-10532"/>
    <x v="484"/>
    <s v="08-08-2024"/>
    <m/>
    <n v="0"/>
    <s v="CUST-6357"/>
    <s v="Diya Patel"/>
    <s v="Diya Patel"/>
    <s v="Small Business"/>
    <x v="1"/>
    <x v="3"/>
    <s v="Maharashtra"/>
    <s v="Mumbai"/>
    <s v="Office Supplies"/>
    <x v="0"/>
    <x v="8"/>
    <s v="Pro Storage 364"/>
    <x v="4"/>
    <s v=""/>
    <n v="1"/>
    <n v="442.97"/>
    <n v="0.1"/>
    <n v="398.67"/>
    <n v="311.66000000000003"/>
    <n v="87.01"/>
    <s v="Paid"/>
    <x v="0"/>
    <m/>
    <m/>
    <m/>
    <m/>
    <m/>
    <x v="1"/>
    <m/>
    <m/>
  </r>
  <r>
    <s v="ORD-2025-10533"/>
    <x v="485"/>
    <s v="2025-10-10"/>
    <m/>
    <n v="0"/>
    <s v="CUST-7690"/>
    <s v="Priya Menon"/>
    <s v="Priya Menon"/>
    <s v="Corporate"/>
    <x v="2"/>
    <x v="1"/>
    <s v="Assam"/>
    <s v="Guwahati"/>
    <s v="Furniture"/>
    <x v="1"/>
    <x v="1"/>
    <s v="Classic Tables 213"/>
    <x v="0"/>
    <s v="Second Class"/>
    <n v="9"/>
    <n v="2089.14"/>
    <n v="0.05"/>
    <n v="17862.150000000001"/>
    <n v="9892.2099999999991"/>
    <n v="7969.94"/>
    <s v="Failed"/>
    <x v="1"/>
    <m/>
    <m/>
    <m/>
    <m/>
    <m/>
    <x v="1"/>
    <m/>
    <m/>
  </r>
  <r>
    <s v="ORD-2024-10534"/>
    <x v="486"/>
    <s v="2024-09-01"/>
    <m/>
    <n v="0"/>
    <s v="CUST-4487"/>
    <s v="Isha Nair"/>
    <s v="Isha Nair"/>
    <s v="Home Office"/>
    <x v="3"/>
    <x v="0"/>
    <s v="Rajasthan"/>
    <s v="Jaipur"/>
    <s v="Furniture"/>
    <x v="1"/>
    <x v="1"/>
    <s v="Smart Tables 659"/>
    <x v="1"/>
    <s v="Same Day"/>
    <n v="6"/>
    <n v="481.3"/>
    <n v="0.25"/>
    <n v="2165.85"/>
    <n v="2124.48"/>
    <n v="430.45"/>
    <s v="Paid"/>
    <x v="0"/>
    <m/>
    <m/>
    <m/>
    <m/>
    <m/>
    <x v="1"/>
    <m/>
    <m/>
  </r>
  <r>
    <s v="ORD-2025-10535"/>
    <x v="487"/>
    <s v="2025-05-05"/>
    <m/>
    <n v="0"/>
    <s v="CUST-8204"/>
    <s v="Rohan Mehta"/>
    <s v="Rohan Mehta"/>
    <s v="Home Office"/>
    <x v="3"/>
    <x v="1"/>
    <s v="Bihar"/>
    <s v="Patna"/>
    <s v="Technology"/>
    <x v="2"/>
    <x v="5"/>
    <s v="Classic Accessories 325"/>
    <x v="0"/>
    <s v="Second Class"/>
    <n v="4"/>
    <n v="3963.39"/>
    <n v="0.1"/>
    <n v="14268.2"/>
    <n v="11705.3"/>
    <n v="2562.9"/>
    <s v="Pending"/>
    <x v="2"/>
    <m/>
    <m/>
    <m/>
    <m/>
    <m/>
    <x v="1"/>
    <m/>
    <m/>
  </r>
  <r>
    <s v="ORD-2024-10536"/>
    <x v="488"/>
    <s v="21 May 2024"/>
    <m/>
    <n v="0"/>
    <s v="CUST-1729"/>
    <s v="Diya Patel"/>
    <s v="Diya Patel"/>
    <s v="Small Business"/>
    <x v="1"/>
    <x v="3"/>
    <s v="Maharashtra"/>
    <s v="Mumbai"/>
    <s v="Technology"/>
    <x v="2"/>
    <x v="6"/>
    <s v="Eco Copiers 243"/>
    <x v="2"/>
    <s v="First Class"/>
    <n v="3"/>
    <n v="4000.98"/>
    <n v="0.2"/>
    <n v="9602.35"/>
    <n v="7387.57"/>
    <n v="2214.7800000000002"/>
    <s v="Paid"/>
    <x v="0"/>
    <m/>
    <m/>
    <m/>
    <m/>
    <m/>
    <x v="1"/>
    <m/>
    <m/>
  </r>
  <r>
    <s v="ORD-2025-10537"/>
    <x v="489"/>
    <s v="2025-04-17"/>
    <m/>
    <n v="0"/>
    <s v="CUST-4269"/>
    <s v="Ananya Rao"/>
    <s v="Ananya Rao"/>
    <s v="Small Business"/>
    <x v="1"/>
    <x v="3"/>
    <s v="Rajasthan"/>
    <s v="Udaipur"/>
    <s v="Furniture"/>
    <x v="1"/>
    <x v="4"/>
    <s v="Elite Chairs 777"/>
    <x v="2"/>
    <s v="First Class"/>
    <n v="7"/>
    <n v="3788.9"/>
    <n v="0.25"/>
    <n v="19891.72"/>
    <n v="12295.76"/>
    <n v="7595.96"/>
    <s v="Failed"/>
    <x v="1"/>
    <m/>
    <m/>
    <m/>
    <m/>
    <m/>
    <x v="1"/>
    <m/>
    <m/>
  </r>
  <r>
    <s v="ORD-2024-10538"/>
    <x v="377"/>
    <s v="2024-01-30"/>
    <m/>
    <n v="0"/>
    <s v="CUST-1370"/>
    <s v="Ananya Rao"/>
    <s v="Ananya Rao"/>
    <s v="Small Business"/>
    <x v="1"/>
    <x v="0"/>
    <s v="Haryana"/>
    <s v="Gurugram"/>
    <s v="Office Supplies"/>
    <x v="0"/>
    <x v="2"/>
    <s v="Classic Art 772"/>
    <x v="1"/>
    <s v="Same Day"/>
    <n v="3"/>
    <n v="676.37"/>
    <n v="0.05"/>
    <n v="1927.65"/>
    <n v="1460.6"/>
    <n v="467.05"/>
    <s v="Failed"/>
    <x v="1"/>
    <m/>
    <m/>
    <m/>
    <m/>
    <m/>
    <x v="1"/>
    <m/>
    <m/>
  </r>
  <r>
    <s v="ORD-2024-10539"/>
    <x v="490"/>
    <s v="01-10-2024"/>
    <m/>
    <n v="0"/>
    <s v="CUST-5381"/>
    <s v="Diya Patel"/>
    <s v="Diya Patel"/>
    <s v="Small Business"/>
    <x v="1"/>
    <x v="1"/>
    <s v="Jharkhand"/>
    <s v="Ranchi"/>
    <s v="Furniture"/>
    <x v="1"/>
    <x v="1"/>
    <s v="Elite Tables 888"/>
    <x v="0"/>
    <s v="Second Class"/>
    <n v="9"/>
    <n v="3908.6"/>
    <n v="0.15"/>
    <n v="29900.79"/>
    <n v="24650.67"/>
    <n v="5250.12"/>
    <s v="Paid"/>
    <x v="0"/>
    <m/>
    <m/>
    <m/>
    <m/>
    <m/>
    <x v="1"/>
    <m/>
    <m/>
  </r>
  <r>
    <s v="ORD-2025-10540"/>
    <x v="491"/>
    <s v="2025-07-04"/>
    <m/>
    <n v="0"/>
    <s v="CUST-3694"/>
    <s v="Mira Das"/>
    <s v="Mira Das"/>
    <s v="Small Business"/>
    <x v="1"/>
    <x v="2"/>
    <s v="Tamil Nadu"/>
    <s v="Chennai"/>
    <s v="Furniture"/>
    <x v="1"/>
    <x v="4"/>
    <s v="Classic Chairs 666"/>
    <x v="3"/>
    <s v="Standard Class"/>
    <n v="3"/>
    <n v="705.35"/>
    <n v="0.1"/>
    <n v="1904.45"/>
    <n v="1316.54"/>
    <n v="587.91"/>
    <s v="Paid"/>
    <x v="1"/>
    <m/>
    <m/>
    <m/>
    <m/>
    <m/>
    <x v="1"/>
    <m/>
    <m/>
  </r>
  <r>
    <s v="ORD-2024-10541"/>
    <x v="492"/>
    <s v="23 Feb 2024"/>
    <m/>
    <n v="0"/>
    <s v="CUST-7563"/>
    <s v="Kabir Singh"/>
    <s v="Kabir Singh"/>
    <s v="Consumer"/>
    <x v="0"/>
    <x v="3"/>
    <s v="Gujarat"/>
    <s v="Ahmedabad"/>
    <s v="Furniture"/>
    <x v="1"/>
    <x v="3"/>
    <s v="Basic Furnishings 350"/>
    <x v="3"/>
    <s v="Standard Class"/>
    <n v="7"/>
    <n v="3852.07"/>
    <n v="0.2"/>
    <n v="21571.59"/>
    <n v="17118.07"/>
    <n v="4453.5200000000004"/>
    <s v="Paid"/>
    <x v="0"/>
    <m/>
    <m/>
    <m/>
    <m/>
    <m/>
    <x v="1"/>
    <m/>
    <m/>
  </r>
  <r>
    <s v="ORD-2025-10542"/>
    <x v="493"/>
    <s v="2025-07-09"/>
    <m/>
    <n v="0"/>
    <s v="CUST-4188"/>
    <s v="Sneha Kapoor"/>
    <s v="Sneha Kapoor"/>
    <s v="Consumer"/>
    <x v="0"/>
    <x v="3"/>
    <s v="Maharashtra"/>
    <s v="Mumbai"/>
    <s v="Technology"/>
    <x v="2"/>
    <x v="6"/>
    <s v="Elite Copiers 831"/>
    <x v="1"/>
    <s v="Same Day"/>
    <n v="3"/>
    <n v="2880.56"/>
    <n v="0"/>
    <n v="8641.68"/>
    <n v="5747.09"/>
    <n v="2894.59"/>
    <s v="Paid"/>
    <x v="2"/>
    <m/>
    <m/>
    <m/>
    <m/>
    <m/>
    <x v="1"/>
    <m/>
    <m/>
  </r>
  <r>
    <s v="ORD-2024-10543"/>
    <x v="494"/>
    <s v="2024-09-23"/>
    <m/>
    <n v="0"/>
    <s v="CUST-9376"/>
    <s v="Rahul Verma"/>
    <s v="Rahul Verma"/>
    <s v="Home Office"/>
    <x v="3"/>
    <x v="2"/>
    <s v="Kerala"/>
    <s v="Kochi"/>
    <s v="Furniture"/>
    <x v="1"/>
    <x v="10"/>
    <s v="Eco Bookcases 759"/>
    <x v="0"/>
    <s v="Second Class"/>
    <n v="3"/>
    <n v="4067.62"/>
    <n v="0.2"/>
    <n v="9988.5300000000007"/>
    <n v="8368.24"/>
    <n v="1394.05"/>
    <s v="Paid"/>
    <x v="1"/>
    <m/>
    <m/>
    <m/>
    <m/>
    <m/>
    <x v="1"/>
    <m/>
    <m/>
  </r>
  <r>
    <s v="ORD-2024-10544"/>
    <x v="495"/>
    <s v="20-07-2024"/>
    <m/>
    <n v="0"/>
    <s v="CUST-9094"/>
    <s v="Mira Das"/>
    <s v="Mira Das"/>
    <s v="Consumer"/>
    <x v="0"/>
    <x v="1"/>
    <s v="Bihar"/>
    <s v="Patna"/>
    <s v="Technology"/>
    <x v="2"/>
    <x v="6"/>
    <s v="Max Copiers 440"/>
    <x v="1"/>
    <s v="Same Day"/>
    <n v="1"/>
    <n v="492.67"/>
    <n v="0.15"/>
    <n v="418.77"/>
    <n v="313.72000000000003"/>
    <n v="105.05"/>
    <s v="Paid"/>
    <x v="0"/>
    <m/>
    <m/>
    <m/>
    <m/>
    <m/>
    <x v="1"/>
    <m/>
    <m/>
  </r>
  <r>
    <s v="ORD-2025-10545"/>
    <x v="496"/>
    <s v="02/05/2025"/>
    <m/>
    <n v="0"/>
    <s v="CUST-2366"/>
    <s v="Ananya Rao"/>
    <s v="Ananya Rao"/>
    <s v="Consumer"/>
    <x v="0"/>
    <x v="2"/>
    <s v="Kerala"/>
    <s v="Kochi"/>
    <s v="Office Supplies"/>
    <x v="0"/>
    <x v="2"/>
    <s v="Smart Art 201"/>
    <x v="1"/>
    <s v="Same Day"/>
    <n v="8"/>
    <n v="3643.62"/>
    <n v="0.25"/>
    <n v="21861.72"/>
    <n v="18464.34"/>
    <n v="3397.38"/>
    <s v="Paid"/>
    <x v="1"/>
    <m/>
    <m/>
    <m/>
    <m/>
    <m/>
    <x v="1"/>
    <m/>
    <m/>
  </r>
  <r>
    <s v="ORD-2024-10546"/>
    <x v="497"/>
    <s v="30 May 2024"/>
    <m/>
    <n v="0"/>
    <s v="CUST-7168"/>
    <s v="Kabir Singh"/>
    <s v="Kabir Singh"/>
    <s v="Small Business"/>
    <x v="1"/>
    <x v="1"/>
    <s v="Jharkhand"/>
    <s v="Ranchi"/>
    <s v="Office Supplies"/>
    <x v="0"/>
    <x v="8"/>
    <s v="Classic Storage 755"/>
    <x v="1"/>
    <s v="Same Day"/>
    <n v="7"/>
    <n v="2900.86"/>
    <n v="0.15"/>
    <n v="17260.12"/>
    <n v="13513.51"/>
    <n v="3746.61"/>
    <s v="Paid"/>
    <x v="0"/>
    <m/>
    <m/>
    <m/>
    <m/>
    <m/>
    <x v="1"/>
    <m/>
    <m/>
  </r>
  <r>
    <s v="ORD-2025-10547"/>
    <x v="498"/>
    <s v="22 Aug 2025"/>
    <m/>
    <n v="0"/>
    <s v="CUST-8157"/>
    <s v="Arjun Bose"/>
    <s v="Arjun Bose"/>
    <s v="Corporate"/>
    <x v="2"/>
    <x v="3"/>
    <s v="Gujarat"/>
    <s v="Ahmedabad"/>
    <s v="Office Supplies"/>
    <x v="0"/>
    <x v="0"/>
    <s v="Prime Paper 143"/>
    <x v="2"/>
    <s v="First Class"/>
    <n v="5"/>
    <n v="2567.37"/>
    <n v="0.15"/>
    <n v="10911.32"/>
    <n v="6966.44"/>
    <n v="4395.17"/>
    <s v="Paid"/>
    <x v="0"/>
    <m/>
    <m/>
    <m/>
    <m/>
    <m/>
    <x v="1"/>
    <m/>
    <m/>
  </r>
  <r>
    <s v="ORD-2024-10548"/>
    <x v="499"/>
    <s v="23 May 2024"/>
    <m/>
    <n v="0"/>
    <s v="CUST-9146"/>
    <s v="Neha Gupta"/>
    <s v="Neha Gupta"/>
    <s v="Small Business"/>
    <x v="1"/>
    <x v="0"/>
    <s v="Uttar Pradesh"/>
    <s v="Noida"/>
    <s v="Technology"/>
    <x v="2"/>
    <x v="6"/>
    <s v="Max Copiers 607"/>
    <x v="3"/>
    <s v="Standard Class"/>
    <n v="9"/>
    <n v="3722.09"/>
    <n v="0.1"/>
    <n v="30148.93"/>
    <n v="25155.07"/>
    <n v="4993.8599999999997"/>
    <s v="Paid"/>
    <x v="0"/>
    <m/>
    <m/>
    <m/>
    <m/>
    <m/>
    <x v="1"/>
    <m/>
    <m/>
  </r>
  <r>
    <s v="ORD-2024-10549"/>
    <x v="500"/>
    <s v="29-05-2024"/>
    <m/>
    <n v="0"/>
    <s v="CUST-5129"/>
    <s v="Rohan Mehta"/>
    <s v="Rohan Mehta"/>
    <s v="Corporate"/>
    <x v="2"/>
    <x v="1"/>
    <s v="Bihar"/>
    <s v="Patna"/>
    <s v="Furniture"/>
    <x v="1"/>
    <x v="10"/>
    <s v="Prime Bookcases 402"/>
    <x v="1"/>
    <s v="Same Day"/>
    <n v="1"/>
    <n v="1072.01"/>
    <n v="0"/>
    <n v="1072.01"/>
    <n v="852.62"/>
    <n v="219.39"/>
    <s v="Pending"/>
    <x v="1"/>
    <m/>
    <m/>
    <m/>
    <m/>
    <m/>
    <x v="1"/>
    <m/>
    <m/>
  </r>
  <r>
    <s v="ORD-2025-10550"/>
    <x v="501"/>
    <s v="13 Oct 2025"/>
    <m/>
    <n v="0"/>
    <s v="CUST-6028"/>
    <s v="Mira Das"/>
    <s v="Mira Das"/>
    <s v="Corporate"/>
    <x v="2"/>
    <x v="2"/>
    <s v="Telangana"/>
    <s v="Hyderabad"/>
    <s v="Office Supplies"/>
    <x v="0"/>
    <x v="2"/>
    <s v="Pro Art 287"/>
    <x v="0"/>
    <s v="Second Class"/>
    <n v="3"/>
    <n v="3804.27"/>
    <n v="0.1"/>
    <n v="10271.530000000001"/>
    <n v="8272.24"/>
    <n v="1999.29"/>
    <s v="Paid"/>
    <x v="0"/>
    <m/>
    <m/>
    <m/>
    <m/>
    <m/>
    <x v="1"/>
    <m/>
    <m/>
  </r>
  <r>
    <s v="ORD-2024-10551"/>
    <x v="84"/>
    <s v="08/10/2024"/>
    <m/>
    <n v="0"/>
    <s v="CUST-8687"/>
    <s v="Mira Das"/>
    <s v="Mira Das"/>
    <s v="Home Office"/>
    <x v="3"/>
    <x v="1"/>
    <s v="Odisha"/>
    <s v="Bhubaneswar"/>
    <s v="Technology"/>
    <x v="2"/>
    <x v="5"/>
    <s v="Max Accessories 591"/>
    <x v="3"/>
    <s v="Standard Class"/>
    <n v="6"/>
    <n v="2126.44"/>
    <n v="0.2"/>
    <n v="10206.91"/>
    <n v="6764.53"/>
    <n v="3442.38"/>
    <s v="Paid"/>
    <x v="0"/>
    <m/>
    <m/>
    <m/>
    <m/>
    <m/>
    <x v="1"/>
    <m/>
    <m/>
  </r>
  <r>
    <s v="ORD-2024-10552"/>
    <x v="502"/>
    <s v="2024-02-27"/>
    <m/>
    <n v="0"/>
    <s v="CUST-8172"/>
    <s v="Sneha Kapoor"/>
    <s v="Sneha Kapoor"/>
    <s v="Consumer"/>
    <x v="0"/>
    <x v="1"/>
    <s v="Jharkhand"/>
    <s v="Ranchi"/>
    <s v="Furniture"/>
    <x v="1"/>
    <x v="4"/>
    <s v="Elite Chairs 314"/>
    <x v="0"/>
    <s v="Second Class"/>
    <n v="3"/>
    <n v="3148.09"/>
    <n v="0.15"/>
    <n v="8027.63"/>
    <n v="5496.09"/>
    <n v="2531.54"/>
    <s v="Paid"/>
    <x v="0"/>
    <m/>
    <m/>
    <m/>
    <m/>
    <m/>
    <x v="1"/>
    <m/>
    <m/>
  </r>
  <r>
    <s v="ORD-2025-10553"/>
    <x v="21"/>
    <s v="30 Jan 2025"/>
    <m/>
    <n v="0"/>
    <s v="CUST-8861"/>
    <s v="Ananya Rao"/>
    <s v="Ananya Rao"/>
    <s v="Corporate"/>
    <x v="2"/>
    <x v="1"/>
    <s v="West Bengal"/>
    <s v="Kolkata"/>
    <s v="Technology"/>
    <x v="2"/>
    <x v="6"/>
    <s v="Pro Copiers 246"/>
    <x v="3"/>
    <s v="Standard Class"/>
    <n v="8"/>
    <n v="312.52999999999997"/>
    <s v="70%"/>
    <n v="1875.18"/>
    <n v="1579.17"/>
    <n v="296.01"/>
    <s v="Paid"/>
    <x v="0"/>
    <m/>
    <m/>
    <m/>
    <m/>
    <m/>
    <x v="1"/>
    <m/>
    <m/>
  </r>
  <r>
    <s v="ORD-2025-10554"/>
    <x v="503"/>
    <s v="2025-04-28"/>
    <m/>
    <n v="0"/>
    <s v="CUST-9241"/>
    <s v="Aarav Sharma"/>
    <s v="Aarav Sharma"/>
    <s v="Small Business"/>
    <x v="1"/>
    <x v="3"/>
    <s v="Gujarat"/>
    <s v="Ahmedabad"/>
    <s v="Office Supplies"/>
    <x v="0"/>
    <x v="8"/>
    <s v="Pro Storage 128"/>
    <x v="2"/>
    <s v="First Class"/>
    <n v="9"/>
    <n v="1294.1099999999999"/>
    <n v="0.25"/>
    <n v="8735.24"/>
    <n v="6620.07"/>
    <n v="2115.17"/>
    <s v="Paid"/>
    <x v="0"/>
    <m/>
    <m/>
    <m/>
    <m/>
    <m/>
    <x v="1"/>
    <m/>
    <m/>
  </r>
  <r>
    <s v="ORD-2024-10555"/>
    <x v="504"/>
    <s v="17 Oct 2024"/>
    <s v="OK"/>
    <s v="OK"/>
    <s v="CUST-2126"/>
    <s v="Arjun Bose"/>
    <s v="Arjun Bose"/>
    <s v="Consumer"/>
    <x v="0"/>
    <x v="1"/>
    <s v="Jharkhand"/>
    <s v="Ranchi"/>
    <s v="Furniture"/>
    <x v="1"/>
    <x v="3"/>
    <s v="Prime Furnishings 892"/>
    <x v="3"/>
    <s v="Standard Class"/>
    <n v="4"/>
    <n v="1071.22"/>
    <n v="0.05"/>
    <n v="4070.64"/>
    <n v="2831.62"/>
    <n v="1239.02"/>
    <s v="Paid"/>
    <x v="0"/>
    <m/>
    <m/>
    <m/>
    <m/>
    <m/>
    <x v="1"/>
    <m/>
    <m/>
  </r>
  <r>
    <s v="ORD-2025-10556"/>
    <x v="505"/>
    <s v="10 Feb 2025"/>
    <m/>
    <n v="0"/>
    <s v="CUST-7513"/>
    <s v="Ananya Rao"/>
    <s v="Ananya Rao"/>
    <s v="Small Business"/>
    <x v="1"/>
    <x v="2"/>
    <s v="Telangana"/>
    <s v="Hyderabad"/>
    <s v="Office Supplies"/>
    <x v="0"/>
    <x v="8"/>
    <s v="Prime Storage 689"/>
    <x v="3"/>
    <s v="Standard Class"/>
    <n v="6"/>
    <n v="1042.8"/>
    <n v="0.05"/>
    <n v="5943.96"/>
    <n v="3604.14"/>
    <n v="2339.8200000000002"/>
    <s v="Paid"/>
    <x v="0"/>
    <m/>
    <m/>
    <m/>
    <m/>
    <m/>
    <x v="1"/>
    <m/>
    <m/>
  </r>
  <r>
    <s v="ORD-2024-10557"/>
    <x v="282"/>
    <s v="2024-06-29"/>
    <m/>
    <n v="0"/>
    <s v="CUST-1992"/>
    <s v="Neha Gupta"/>
    <s v="Neha Gupta"/>
    <s v="Consumer"/>
    <x v="0"/>
    <x v="0"/>
    <s v="Haryana"/>
    <s v="Gurugram"/>
    <s v="Furniture"/>
    <x v="1"/>
    <x v="1"/>
    <s v="Classic Tables 769"/>
    <x v="2"/>
    <s v="First Class"/>
    <n v="1"/>
    <n v="4426.66"/>
    <n v="0"/>
    <n v="4426.66"/>
    <n v="3035.2"/>
    <n v="1816.23"/>
    <s v="Paid"/>
    <x v="2"/>
    <m/>
    <m/>
    <m/>
    <m/>
    <m/>
    <x v="1"/>
    <m/>
    <m/>
  </r>
  <r>
    <s v="ORD-2024-10558"/>
    <x v="506"/>
    <s v="14-05-2024"/>
    <m/>
    <n v="0"/>
    <s v="CUST-8848"/>
    <s v="Vikram Iyer"/>
    <s v="Vikram Iyer"/>
    <s v="Home Office"/>
    <x v="3"/>
    <x v="0"/>
    <s v="Haryana"/>
    <s v="Gurugram"/>
    <s v="Technology"/>
    <x v="2"/>
    <x v="11"/>
    <s v="Prime Phones 503"/>
    <x v="2"/>
    <s v="First Class"/>
    <n v="9"/>
    <n v="3769.46"/>
    <n v="0.05"/>
    <n v="32228.880000000001"/>
    <n v="24971.360000000001"/>
    <n v="7257.52"/>
    <s v="Paid"/>
    <x v="1"/>
    <m/>
    <m/>
    <m/>
    <m/>
    <m/>
    <x v="1"/>
    <m/>
    <m/>
  </r>
  <r>
    <s v="ORD-2025-10559"/>
    <x v="507"/>
    <s v="09/04/2025"/>
    <m/>
    <n v="0"/>
    <s v="CUST-9368"/>
    <s v="Aditi Sen"/>
    <s v="Aditi Sen"/>
    <s v="Corporate"/>
    <x v="2"/>
    <x v="0"/>
    <s v="Punjab"/>
    <s v="Ludhiana"/>
    <s v="Technology"/>
    <x v="2"/>
    <x v="12"/>
    <s v="Basic Machines 136"/>
    <x v="2"/>
    <s v="First Class"/>
    <n v="8"/>
    <n v="3079.95"/>
    <n v="0.2"/>
    <n v="19711.68"/>
    <n v="14461.8"/>
    <n v="5249.88"/>
    <s v="Paid"/>
    <x v="0"/>
    <m/>
    <m/>
    <m/>
    <m/>
    <m/>
    <x v="1"/>
    <m/>
    <m/>
  </r>
  <r>
    <s v="ORD-2025-10560"/>
    <x v="422"/>
    <s v="2025-10-07"/>
    <m/>
    <n v="0"/>
    <s v="CUST-6797"/>
    <s v="Diya Patel"/>
    <s v="Diya Patel"/>
    <s v="Corporate"/>
    <x v="2"/>
    <x v="1"/>
    <s v="Bihar"/>
    <s v="Patna"/>
    <s v="Technology"/>
    <x v="2"/>
    <x v="6"/>
    <s v="Basic Copiers 512"/>
    <x v="0"/>
    <s v="Second Class"/>
    <n v="5"/>
    <n v="3277.82"/>
    <n v="0.1"/>
    <n v="14750.19"/>
    <n v="9482.58"/>
    <n v="5267.61"/>
    <s v="Paid"/>
    <x v="2"/>
    <m/>
    <m/>
    <m/>
    <m/>
    <m/>
    <x v="1"/>
    <m/>
    <m/>
  </r>
  <r>
    <s v="ORD-2024-10561"/>
    <x v="508"/>
    <s v="22-01-2024"/>
    <m/>
    <n v="0"/>
    <s v="CUST-9333"/>
    <s v="Arjun Bose"/>
    <s v="Arjun Bose"/>
    <s v="Consumer"/>
    <x v="0"/>
    <x v="3"/>
    <s v="Goa"/>
    <s v="Panaji"/>
    <s v="Office Supplies"/>
    <x v="0"/>
    <x v="8"/>
    <s v="Smart Storage 767"/>
    <x v="3"/>
    <s v="Standard Class"/>
    <n v="4"/>
    <n v="282.52999999999997"/>
    <n v="0"/>
    <n v="1130.1199999999999"/>
    <n v="848.62"/>
    <n v="281.5"/>
    <s v="Paid"/>
    <x v="1"/>
    <m/>
    <m/>
    <m/>
    <m/>
    <m/>
    <x v="1"/>
    <m/>
    <m/>
  </r>
  <r>
    <s v="ORD-2025-10562"/>
    <x v="509"/>
    <s v="18 Jul 2025"/>
    <m/>
    <n v="0"/>
    <s v="CUST-6654"/>
    <s v="Aditi Sen"/>
    <s v="Aditi Sen"/>
    <s v="Consumer"/>
    <x v="0"/>
    <x v="0"/>
    <s v="Punjab"/>
    <s v="Ludhiana"/>
    <s v="Technology"/>
    <x v="2"/>
    <x v="6"/>
    <s v="Eco Copiers 954"/>
    <x v="2"/>
    <s v="First Class"/>
    <n v="4"/>
    <n v="725.22"/>
    <n v="0"/>
    <n v="2900.88"/>
    <n v="2391.85"/>
    <n v="509.03"/>
    <s v="Pending"/>
    <x v="2"/>
    <m/>
    <m/>
    <m/>
    <m/>
    <m/>
    <x v="1"/>
    <m/>
    <m/>
  </r>
  <r>
    <s v="ORD-2024-10563"/>
    <x v="510"/>
    <s v="16 May 2024"/>
    <m/>
    <n v="0"/>
    <s v="CUST-8622"/>
    <s v="Karan Malhotra"/>
    <s v="Karan Malhotra"/>
    <s v="Consumer"/>
    <x v="0"/>
    <x v="0"/>
    <s v="Punjab"/>
    <s v="Ludhiana"/>
    <s v="Office Supplies"/>
    <x v="0"/>
    <x v="9"/>
    <s v="Elite Binders 143"/>
    <x v="1"/>
    <s v="Same Day"/>
    <n v="7"/>
    <n v="121.54"/>
    <n v="0.2"/>
    <n v="680.62"/>
    <n v="463.49"/>
    <n v="217.13"/>
    <s v="Failed"/>
    <x v="2"/>
    <m/>
    <m/>
    <m/>
    <m/>
    <m/>
    <x v="1"/>
    <m/>
    <m/>
  </r>
  <r>
    <s v="ORD-2024-10564"/>
    <x v="511"/>
    <s v="12-05-2024"/>
    <m/>
    <n v="0"/>
    <s v="CUST-8776"/>
    <s v="Arjun Bose"/>
    <s v="Arjun Bose"/>
    <s v="Corporate"/>
    <x v="2"/>
    <x v="3"/>
    <s v="Goa"/>
    <s v="Panaji"/>
    <s v="Furniture"/>
    <x v="1"/>
    <x v="1"/>
    <s v="Classic Tables 560"/>
    <x v="3"/>
    <s v="Standard Class"/>
    <n v="9"/>
    <n v="790.97"/>
    <n v="0.2"/>
    <n v="5694.98"/>
    <n v="4618.33"/>
    <n v="1076.6500000000001"/>
    <s v="Pending"/>
    <x v="1"/>
    <m/>
    <m/>
    <m/>
    <m/>
    <m/>
    <x v="1"/>
    <m/>
    <m/>
  </r>
  <r>
    <s v="ORD-2024-10565"/>
    <x v="66"/>
    <s v="14-11-2024"/>
    <m/>
    <n v="0"/>
    <s v="CUST-9100"/>
    <s v="Sneha Kapoor"/>
    <s v="Sneha Kapoor"/>
    <s v="Corporate"/>
    <x v="2"/>
    <x v="2"/>
    <s v="Andhra Pradesh"/>
    <s v="Vijayawada"/>
    <s v="Furniture"/>
    <x v="1"/>
    <x v="1"/>
    <s v="Basic Tables 759"/>
    <x v="2"/>
    <s v="First Class"/>
    <n v="2"/>
    <n v="921.34"/>
    <n v="0.2"/>
    <n v="1474.14"/>
    <n v="968.46"/>
    <n v="505.68"/>
    <s v="Paid"/>
    <x v="0"/>
    <m/>
    <m/>
    <m/>
    <m/>
    <m/>
    <x v="1"/>
    <m/>
    <m/>
  </r>
  <r>
    <s v="ORD-2025-10566"/>
    <x v="512"/>
    <s v="13-08-2025"/>
    <m/>
    <n v="0"/>
    <s v="CUST-5601"/>
    <s v="Mira Das"/>
    <s v="Mira Das"/>
    <s v="Corporate"/>
    <x v="2"/>
    <x v="0"/>
    <s v="Delhi"/>
    <s v="New Delhi"/>
    <s v="Technology"/>
    <x v="2"/>
    <x v="11"/>
    <s v="Prime Phones 564"/>
    <x v="3"/>
    <s v="Standard Class"/>
    <n v="6"/>
    <n v="1921.86"/>
    <n v="0.2"/>
    <n v="9224.93"/>
    <n v="7005.2"/>
    <n v="2219.73"/>
    <s v="Refunded"/>
    <x v="1"/>
    <m/>
    <m/>
    <m/>
    <m/>
    <m/>
    <x v="1"/>
    <m/>
    <m/>
  </r>
  <r>
    <s v="ORD-2024-10567"/>
    <x v="458"/>
    <s v="2024-08-19"/>
    <m/>
    <n v="0"/>
    <s v="CUST-5246"/>
    <s v="Sneha Kapoor"/>
    <s v="Sneha Kapoor"/>
    <s v="Small Business"/>
    <x v="1"/>
    <x v="3"/>
    <s v="Maharashtra"/>
    <s v="Mumbai"/>
    <s v="Office Supplies"/>
    <x v="0"/>
    <x v="0"/>
    <s v="Smart Paper 807"/>
    <x v="1"/>
    <s v="Same Day"/>
    <n v="2"/>
    <n v="2617.89"/>
    <n v="0.1"/>
    <n v="4712.2"/>
    <n v="3851.91"/>
    <n v="860.29"/>
    <s v="Failed"/>
    <x v="2"/>
    <m/>
    <m/>
    <m/>
    <m/>
    <m/>
    <x v="1"/>
    <m/>
    <m/>
  </r>
  <r>
    <s v="ORD-2024-10568"/>
    <x v="513"/>
    <s v="10-02-2024"/>
    <m/>
    <n v="0"/>
    <s v="CUST-3128"/>
    <s v="Arjun Bose"/>
    <s v="Arjun Bose"/>
    <s v="Home Office"/>
    <x v="3"/>
    <x v="0"/>
    <s v="Uttar Pradesh"/>
    <s v="Noida"/>
    <s v="Furniture"/>
    <x v="1"/>
    <x v="3"/>
    <s v="Pro Furnishings 108"/>
    <x v="1"/>
    <s v="Same Day"/>
    <n v="1"/>
    <n v="1374.06"/>
    <n v="0.05"/>
    <n v="1305.3599999999999"/>
    <n v="731.89"/>
    <n v="573.47"/>
    <s v="Paid"/>
    <x v="0"/>
    <m/>
    <m/>
    <m/>
    <m/>
    <m/>
    <x v="1"/>
    <m/>
    <m/>
  </r>
  <r>
    <s v="ORD-2024-10569"/>
    <x v="316"/>
    <s v="24 Jan 2024"/>
    <m/>
    <n v="0"/>
    <s v="CUST-4604"/>
    <s v="Kabir Singh"/>
    <s v="Kabir Singh"/>
    <s v="Corporate"/>
    <x v="2"/>
    <x v="0"/>
    <s v="Punjab"/>
    <s v="Ludhiana"/>
    <s v="Technology"/>
    <x v="2"/>
    <x v="12"/>
    <s v="Classic Machines 522"/>
    <x v="1"/>
    <s v="Same Day"/>
    <n v="1"/>
    <n v="3806.3"/>
    <n v="0.25"/>
    <n v="2854.73"/>
    <n v="1968.12"/>
    <n v="886.61"/>
    <s v="Paid"/>
    <x v="0"/>
    <m/>
    <m/>
    <m/>
    <m/>
    <m/>
    <x v="1"/>
    <m/>
    <m/>
  </r>
  <r>
    <s v="ORD-2025-10570"/>
    <x v="514"/>
    <s v="2025-09-10"/>
    <m/>
    <n v="0"/>
    <s v="CUST-2586"/>
    <s v="Rahul Verma"/>
    <s v="Rahul Verma"/>
    <s v="Home Office"/>
    <x v="3"/>
    <x v="3"/>
    <s v="Maharashtra"/>
    <s v="Mumbai"/>
    <s v="Furniture"/>
    <x v="1"/>
    <x v="3"/>
    <s v="Elite Furnishings 822"/>
    <x v="3"/>
    <s v="Standard Class"/>
    <n v="6"/>
    <n v="3251.17"/>
    <n v="0.25"/>
    <n v="14630.26"/>
    <n v="11906.36"/>
    <n v="2723.9"/>
    <s v="Refunded"/>
    <x v="2"/>
    <m/>
    <m/>
    <m/>
    <m/>
    <m/>
    <x v="1"/>
    <m/>
    <m/>
  </r>
  <r>
    <s v="ORD-2025-10571"/>
    <x v="160"/>
    <s v="08/22/2025"/>
    <m/>
    <n v="0"/>
    <s v="CUST-6585"/>
    <s v="Arjun Bose"/>
    <s v="Arjun Bose"/>
    <s v="Consumer"/>
    <x v="0"/>
    <x v="1"/>
    <s v="Jharkhand"/>
    <s v="Ranchi"/>
    <s v="Furniture"/>
    <x v="1"/>
    <x v="3"/>
    <s v="Max Furnishings 647"/>
    <x v="0"/>
    <s v="Second Class"/>
    <n v="3"/>
    <n v="3946.44"/>
    <n v="0.25"/>
    <n v="8879.49"/>
    <n v="6344.57"/>
    <n v="2534.92"/>
    <s v="Failed"/>
    <x v="2"/>
    <m/>
    <m/>
    <m/>
    <m/>
    <m/>
    <x v="1"/>
    <m/>
    <m/>
  </r>
  <r>
    <s v="ORD-2025-10572"/>
    <x v="515"/>
    <s v="2025-02-14"/>
    <m/>
    <n v="0"/>
    <s v="CUST-3425"/>
    <s v="Priya Menon"/>
    <s v="Priya Menon"/>
    <s v="Small Business"/>
    <x v="1"/>
    <x v="0"/>
    <s v="Uttar Pradesh"/>
    <s v="Noida"/>
    <s v="Technology"/>
    <x v="2"/>
    <x v="11"/>
    <s v="Prime Phones 895"/>
    <x v="4"/>
    <s v=""/>
    <n v="5"/>
    <n v="4276.29"/>
    <n v="0"/>
    <n v="21381.45"/>
    <n v="13240.21"/>
    <n v="8141.24"/>
    <s v="Failed"/>
    <x v="2"/>
    <m/>
    <m/>
    <m/>
    <m/>
    <m/>
    <x v="1"/>
    <m/>
    <m/>
  </r>
  <r>
    <s v="ORD-2024-10573"/>
    <x v="516"/>
    <s v="09-01-2024"/>
    <m/>
    <n v="0"/>
    <s v="CUST-8633"/>
    <s v="Diya Patel"/>
    <s v="Diya Patel"/>
    <s v="Corporate"/>
    <x v="2"/>
    <x v="0"/>
    <s v="Delhi"/>
    <s v="New Delhi"/>
    <s v="Technology"/>
    <x v="2"/>
    <x v="11"/>
    <s v="Eco Phones 368"/>
    <x v="3"/>
    <s v="Standard Class"/>
    <n v="3"/>
    <n v="739.56"/>
    <n v="0.2"/>
    <n v="1774.94"/>
    <n v="1007.4"/>
    <n v="767.54"/>
    <s v="Paid"/>
    <x v="0"/>
    <m/>
    <m/>
    <m/>
    <m/>
    <m/>
    <x v="1"/>
    <m/>
    <m/>
  </r>
  <r>
    <s v="ORD-2025-10574"/>
    <x v="517"/>
    <s v="09/26/2025"/>
    <m/>
    <n v="0"/>
    <s v="CUST-8243"/>
    <s v="Isha Nair"/>
    <s v="Isha Nair"/>
    <s v="Consumer"/>
    <x v="0"/>
    <x v="2"/>
    <s v="Andhra Pradesh"/>
    <s v="Vijayawada"/>
    <s v="Technology"/>
    <x v="2"/>
    <x v="11"/>
    <s v="Pro Phones 644"/>
    <x v="3"/>
    <s v="Standard Class"/>
    <n v="1"/>
    <n v="573.65"/>
    <n v="0"/>
    <n v="573.65"/>
    <n v="322.67"/>
    <n v="250.98"/>
    <s v="Paid"/>
    <x v="0"/>
    <m/>
    <m/>
    <m/>
    <m/>
    <m/>
    <x v="1"/>
    <m/>
    <m/>
  </r>
  <r>
    <s v="ORD-2024-10575"/>
    <x v="518"/>
    <s v="25-02-2024"/>
    <m/>
    <n v="0"/>
    <s v="CUST-9139"/>
    <s v="Diya Patel"/>
    <s v="Diya Patel"/>
    <s v="Home Office"/>
    <x v="3"/>
    <x v="0"/>
    <s v="Punjab"/>
    <s v="Ludhiana"/>
    <s v="Technology"/>
    <x v="2"/>
    <x v="12"/>
    <s v="Smart Machines 566"/>
    <x v="3"/>
    <s v="Standard Class"/>
    <n v="4"/>
    <n v="1355.8"/>
    <n v="0"/>
    <n v="5423.2"/>
    <n v="4072.44"/>
    <n v="1350.76"/>
    <s v="Paid"/>
    <x v="0"/>
    <m/>
    <m/>
    <m/>
    <m/>
    <m/>
    <x v="1"/>
    <m/>
    <m/>
  </r>
  <r>
    <s v="ORD-2025-10576"/>
    <x v="519"/>
    <s v="14 Mar 2025"/>
    <m/>
    <n v="0"/>
    <s v="CUST-5496"/>
    <s v="Sneha Kapoor"/>
    <s v="Sneha Kapoor"/>
    <s v="Home Office"/>
    <x v="3"/>
    <x v="2"/>
    <s v="Kerala"/>
    <s v="Kochi"/>
    <s v="Furniture"/>
    <x v="1"/>
    <x v="3"/>
    <s v="Elite Furnishings 173"/>
    <x v="1"/>
    <s v="Same Day"/>
    <n v="4"/>
    <n v="1244.82"/>
    <n v="0.2"/>
    <n v="3983.42"/>
    <n v="3174.91"/>
    <n v="808.51"/>
    <s v="Failed"/>
    <x v="2"/>
    <m/>
    <m/>
    <m/>
    <m/>
    <m/>
    <x v="1"/>
    <m/>
    <m/>
  </r>
  <r>
    <s v="ORD-2024-10577"/>
    <x v="520"/>
    <s v="02/23/2024"/>
    <s v="Invalid"/>
    <s v=""/>
    <s v="CUST-2228"/>
    <s v="Rohan Mehta"/>
    <s v="Rohan Mehta"/>
    <s v="Home Office"/>
    <x v="3"/>
    <x v="1"/>
    <s v="Bihar"/>
    <s v="Patna"/>
    <s v="Office Supplies"/>
    <x v="0"/>
    <x v="9"/>
    <s v="Smart Binders 417"/>
    <x v="3"/>
    <s v="Standard Class"/>
    <n v="9"/>
    <n v="2614.46"/>
    <n v="0"/>
    <n v="23530.14"/>
    <n v="19537.79"/>
    <n v="3992.35"/>
    <s v="Refunded"/>
    <x v="2"/>
    <m/>
    <m/>
    <m/>
    <m/>
    <m/>
    <x v="1"/>
    <m/>
    <m/>
  </r>
  <r>
    <s v="ORD-2025-10578"/>
    <x v="64"/>
    <s v="2025-09-03"/>
    <m/>
    <n v="0"/>
    <s v="CUST-4151"/>
    <s v="Priya Menon"/>
    <s v="Priya Menon"/>
    <s v="Corporate"/>
    <x v="2"/>
    <x v="3"/>
    <s v="Madhya Pradesh"/>
    <s v="Indore"/>
    <s v="Furniture"/>
    <x v="1"/>
    <x v="3"/>
    <s v="Smart Furnishings 714"/>
    <x v="3"/>
    <s v="Standard Class"/>
    <n v="7"/>
    <n v="268.45"/>
    <n v="0"/>
    <n v="1879.15"/>
    <n v="1134.9000000000001"/>
    <n v="744.25"/>
    <s v="Paid"/>
    <x v="0"/>
    <m/>
    <m/>
    <m/>
    <m/>
    <m/>
    <x v="1"/>
    <m/>
    <m/>
  </r>
  <r>
    <s v="ORD-2024-10579"/>
    <x v="521"/>
    <s v="23-02-2024"/>
    <m/>
    <n v="0"/>
    <s v="CUST-4900"/>
    <s v="Neha Gupta"/>
    <s v="Neha Gupta"/>
    <s v="Small Business"/>
    <x v="1"/>
    <x v="3"/>
    <s v="Gujarat"/>
    <s v="Ahmedabad"/>
    <s v="Technology"/>
    <x v="2"/>
    <x v="6"/>
    <s v="Elite Copiers 682"/>
    <x v="2"/>
    <s v="First Class"/>
    <n v="6"/>
    <n v="2633.65"/>
    <n v="0.05"/>
    <n v="15011.81"/>
    <n v="9660.36"/>
    <n v="5351.45"/>
    <s v="Paid"/>
    <x v="0"/>
    <m/>
    <m/>
    <m/>
    <m/>
    <m/>
    <x v="1"/>
    <m/>
    <m/>
  </r>
  <r>
    <s v="ORD-2024-10580"/>
    <x v="522"/>
    <s v="24 Jun 2024"/>
    <m/>
    <n v="0"/>
    <s v="CUST-9617"/>
    <s v="Aarav Sharma"/>
    <s v="Aarav Sharma"/>
    <s v="Small Business"/>
    <x v="1"/>
    <x v="2"/>
    <s v="Tamil Nadu"/>
    <s v="Chennai"/>
    <s v="Office Supplies"/>
    <x v="0"/>
    <x v="8"/>
    <s v="Pro Storage 482"/>
    <x v="1"/>
    <s v="Same Day"/>
    <n v="1"/>
    <n v="3202.41"/>
    <n v="0"/>
    <n v="3202.41"/>
    <n v="2608.44"/>
    <n v="593.97"/>
    <s v="Paid"/>
    <x v="0"/>
    <m/>
    <m/>
    <m/>
    <m/>
    <m/>
    <x v="1"/>
    <m/>
    <m/>
  </r>
  <r>
    <s v="ORD-2025-10581"/>
    <x v="523"/>
    <s v="03/13/2025"/>
    <m/>
    <n v="0"/>
    <s v="CUST-7958"/>
    <s v="Kabir Singh"/>
    <s v="Kabir Singh"/>
    <s v="Consumer"/>
    <x v="0"/>
    <x v="2"/>
    <s v="Kerala"/>
    <s v="Kochi"/>
    <s v="Furniture"/>
    <x v="1"/>
    <x v="4"/>
    <s v="Pro Chairs 888"/>
    <x v="3"/>
    <s v="Standard Class"/>
    <n v="3"/>
    <n v="163.72"/>
    <n v="0.15"/>
    <n v="417.49"/>
    <n v="261.67"/>
    <n v="155.82"/>
    <s v="Failed"/>
    <x v="2"/>
    <m/>
    <m/>
    <m/>
    <m/>
    <m/>
    <x v="1"/>
    <m/>
    <m/>
  </r>
  <r>
    <s v="ORD-2025-10582"/>
    <x v="240"/>
    <s v="08/10/2025"/>
    <m/>
    <n v="0"/>
    <s v="CUST-9931"/>
    <s v="Neha Gupta"/>
    <s v="Neha Gupta"/>
    <s v="Consumer"/>
    <x v="0"/>
    <x v="0"/>
    <s v="Delhi"/>
    <s v="New Delhi"/>
    <s v="Office Supplies"/>
    <x v="0"/>
    <x v="2"/>
    <s v="Classic Art 611"/>
    <x v="0"/>
    <s v="Second Class"/>
    <n v="4"/>
    <n v="4080.95"/>
    <n v="0"/>
    <n v="16323.8"/>
    <n v="9965.7900000000009"/>
    <n v="6358.01"/>
    <s v="Refunded"/>
    <x v="2"/>
    <m/>
    <m/>
    <m/>
    <m/>
    <m/>
    <x v="1"/>
    <m/>
    <m/>
  </r>
  <r>
    <s v="ORD-2024-10583"/>
    <x v="524"/>
    <s v="10/20/2024"/>
    <m/>
    <n v="0"/>
    <s v="CUST-2088"/>
    <s v="Ananya Rao"/>
    <s v="Ananya Rao"/>
    <s v="Consumer"/>
    <x v="0"/>
    <x v="1"/>
    <s v="Odisha"/>
    <s v="Bhubaneswar"/>
    <s v="Office Supplies"/>
    <x v="0"/>
    <x v="2"/>
    <s v="Basic Art 174"/>
    <x v="2"/>
    <s v="First Class"/>
    <n v="5"/>
    <n v="671.24"/>
    <n v="0"/>
    <n v="3356.2"/>
    <n v="2205.7199999999998"/>
    <n v="1150.48"/>
    <s v="Pending"/>
    <x v="2"/>
    <m/>
    <m/>
    <m/>
    <m/>
    <m/>
    <x v="1"/>
    <m/>
    <m/>
  </r>
  <r>
    <s v="ORD-2024-10584"/>
    <x v="525"/>
    <s v="02/28/2024"/>
    <m/>
    <n v="0"/>
    <s v="CUST-1686"/>
    <s v="Rohan Mehta"/>
    <s v="Rohan Mehta"/>
    <s v="Small Business"/>
    <x v="1"/>
    <x v="1"/>
    <s v="West Bengal"/>
    <s v="Kolkata"/>
    <s v="Office Supplies"/>
    <x v="0"/>
    <x v="8"/>
    <s v="Classic Storage 451"/>
    <x v="2"/>
    <s v="First Class"/>
    <n v="1"/>
    <n v="2626.84"/>
    <n v="0.2"/>
    <n v="2101.4699999999998"/>
    <n v="1217.83"/>
    <n v="883.64"/>
    <s v="Failed"/>
    <x v="2"/>
    <m/>
    <m/>
    <m/>
    <m/>
    <m/>
    <x v="1"/>
    <m/>
    <m/>
  </r>
  <r>
    <s v="ORD-2024-10585"/>
    <x v="526"/>
    <s v="10-08-2024"/>
    <m/>
    <n v="0"/>
    <s v="CUST-4894"/>
    <s v="Vikram Iyer"/>
    <s v="Vikram Iyer"/>
    <s v="Consumer"/>
    <x v="0"/>
    <x v="1"/>
    <s v="Bihar"/>
    <s v="Patna"/>
    <s v="Office Supplies"/>
    <x v="0"/>
    <x v="2"/>
    <s v="Pro Art 172"/>
    <x v="1"/>
    <s v="Same Day"/>
    <n v="1"/>
    <n v="984.93"/>
    <n v="0.15"/>
    <n v="837.19"/>
    <n v="583.79"/>
    <n v="253.4"/>
    <s v="Pending"/>
    <x v="2"/>
    <m/>
    <m/>
    <m/>
    <m/>
    <m/>
    <x v="1"/>
    <m/>
    <m/>
  </r>
  <r>
    <s v="ORD-2025-10586"/>
    <x v="310"/>
    <s v="2025-06-25"/>
    <m/>
    <n v="0"/>
    <s v="CUST-5201"/>
    <s v="Diya Patel"/>
    <s v="Diya Patel"/>
    <s v="Small Business"/>
    <x v="1"/>
    <x v="3"/>
    <s v="Maharashtra"/>
    <s v="Mumbai"/>
    <s v="Technology"/>
    <x v="2"/>
    <x v="11"/>
    <s v="Prime Phones 744"/>
    <x v="2"/>
    <s v="First Class"/>
    <n v="8"/>
    <n v="3453.66"/>
    <n v="0"/>
    <n v="27629.279999999999"/>
    <n v="22026.48"/>
    <n v="5602.8"/>
    <s v="Paid"/>
    <x v="0"/>
    <m/>
    <m/>
    <m/>
    <m/>
    <m/>
    <x v="1"/>
    <m/>
    <m/>
  </r>
  <r>
    <s v="ORD-2025-10587"/>
    <x v="527"/>
    <s v="12 Apr 2025"/>
    <m/>
    <n v="0"/>
    <s v="CUST-8626"/>
    <s v="Mira Das"/>
    <s v="Mira Das"/>
    <s v="Home Office"/>
    <x v="3"/>
    <x v="0"/>
    <s v="Punjab"/>
    <s v="Ludhiana"/>
    <s v="Office Supplies"/>
    <x v="0"/>
    <x v="9"/>
    <s v="Prime Binders 249"/>
    <x v="0"/>
    <s v="Second Class"/>
    <n v="7"/>
    <n v="1334.2"/>
    <n v="0.2"/>
    <n v="7471.52"/>
    <n v="6184.32"/>
    <n v="1287.2"/>
    <s v="Paid"/>
    <x v="0"/>
    <m/>
    <m/>
    <m/>
    <m/>
    <m/>
    <x v="1"/>
    <m/>
    <m/>
  </r>
  <r>
    <s v="ORD-2025-10588"/>
    <x v="528"/>
    <s v="2025-07-31"/>
    <m/>
    <n v="0"/>
    <s v="CUST-1013"/>
    <s v="Kabir Singh"/>
    <s v="Kabir Singh"/>
    <s v="Home Office"/>
    <x v="3"/>
    <x v="3"/>
    <s v="Madhya Pradesh"/>
    <s v="Indore"/>
    <s v="Technology"/>
    <x v="2"/>
    <x v="5"/>
    <s v="Eco Accessories 948"/>
    <x v="2"/>
    <s v="First Class"/>
    <n v="1"/>
    <n v="4253.84"/>
    <n v="0.15"/>
    <n v="3615.76"/>
    <n v="2951.52"/>
    <n v="664.24"/>
    <s v="Refunded"/>
    <x v="1"/>
    <m/>
    <m/>
    <m/>
    <m/>
    <m/>
    <x v="1"/>
    <m/>
    <m/>
  </r>
  <r>
    <s v="ORD-2025-10589"/>
    <x v="529"/>
    <s v="15 Mar 2025"/>
    <m/>
    <n v="0"/>
    <s v="CUST-3601"/>
    <s v="Aarav Sharma"/>
    <s v="Aarav Sharma"/>
    <s v="Home Office"/>
    <x v="3"/>
    <x v="2"/>
    <s v="Karnataka"/>
    <s v="Bengaluru"/>
    <s v="Technology"/>
    <x v="2"/>
    <x v="5"/>
    <s v="Classic Accessories 458"/>
    <x v="0"/>
    <s v="Second Class"/>
    <n v="8"/>
    <n v="4446.3599999999997"/>
    <n v="0.1"/>
    <n v="32013.79"/>
    <n v="20896.88"/>
    <n v="11116.91"/>
    <s v="Refunded"/>
    <x v="1"/>
    <m/>
    <m/>
    <m/>
    <m/>
    <m/>
    <x v="1"/>
    <m/>
    <m/>
  </r>
  <r>
    <s v="ORD-2024-10590"/>
    <x v="530"/>
    <s v="12/12/2024"/>
    <m/>
    <n v="0"/>
    <s v="CUST-7846"/>
    <s v="Rohan Mehta"/>
    <s v="Rohan Mehta"/>
    <s v="Corporate"/>
    <x v="2"/>
    <x v="0"/>
    <s v="Uttar Pradesh"/>
    <s v="Noida"/>
    <s v="Technology"/>
    <x v="2"/>
    <x v="11"/>
    <s v="Max Phones 318"/>
    <x v="2"/>
    <s v="First Class"/>
    <n v="3"/>
    <n v="524.75"/>
    <n v="0"/>
    <n v="1574.25"/>
    <n v="1326.12"/>
    <n v="248.13"/>
    <s v="Paid"/>
    <x v="0"/>
    <m/>
    <m/>
    <m/>
    <m/>
    <m/>
    <x v="1"/>
    <m/>
    <m/>
  </r>
  <r>
    <s v="ORD-2024-10591"/>
    <x v="33"/>
    <s v="2024-05-29"/>
    <m/>
    <n v="0"/>
    <s v="CUST-3433"/>
    <s v="Aarav Sharma"/>
    <s v="Aarav Sharma"/>
    <s v="Home Office"/>
    <x v="3"/>
    <x v="0"/>
    <s v="Delhi"/>
    <s v="New Delhi"/>
    <s v="Furniture"/>
    <x v="1"/>
    <x v="4"/>
    <s v="Elite Chairs 372"/>
    <x v="1"/>
    <s v="Same Day"/>
    <n v="6"/>
    <n v="3430.35"/>
    <n v="0"/>
    <n v="20582.099999999999"/>
    <n v="15897.65"/>
    <n v="4684.45"/>
    <s v="Pending"/>
    <x v="1"/>
    <m/>
    <m/>
    <m/>
    <m/>
    <m/>
    <x v="1"/>
    <m/>
    <m/>
  </r>
  <r>
    <s v="ORD-2024-10592"/>
    <x v="531"/>
    <s v="24-02-2024"/>
    <m/>
    <n v="0"/>
    <s v="CUST-2423"/>
    <s v="Sneha Kapoor"/>
    <s v="Sneha Kapoor"/>
    <s v="Consumer"/>
    <x v="0"/>
    <x v="2"/>
    <s v="Karnataka"/>
    <s v="Bengaluru"/>
    <s v="Technology"/>
    <x v="2"/>
    <x v="6"/>
    <s v="Eco Copiers 324"/>
    <x v="2"/>
    <s v="First Class"/>
    <n v="3"/>
    <n v="3545.08"/>
    <n v="0"/>
    <n v="10635.24"/>
    <n v="6031.88"/>
    <n v="4603.3599999999997"/>
    <s v="Failed"/>
    <x v="2"/>
    <m/>
    <m/>
    <m/>
    <m/>
    <m/>
    <x v="1"/>
    <m/>
    <m/>
  </r>
  <r>
    <s v="ORD-2024-10593"/>
    <x v="143"/>
    <s v="2024-03-09"/>
    <m/>
    <n v="0"/>
    <s v="CUST-3559"/>
    <s v="Mira Das"/>
    <s v="Mira Das"/>
    <s v="Consumer"/>
    <x v="0"/>
    <x v="1"/>
    <s v="West Bengal"/>
    <s v="Kolkata"/>
    <s v="Technology"/>
    <x v="2"/>
    <x v="5"/>
    <s v="Classic Accessories 131"/>
    <x v="1"/>
    <s v="Same Day"/>
    <n v="8"/>
    <n v="4401.41"/>
    <n v="0.15"/>
    <n v="29929.59"/>
    <n v="22436.03"/>
    <n v="7493.56"/>
    <s v="Paid"/>
    <x v="0"/>
    <m/>
    <m/>
    <m/>
    <m/>
    <m/>
    <x v="1"/>
    <m/>
    <m/>
  </r>
  <r>
    <s v="ORD-2025-10594"/>
    <x v="532"/>
    <s v="2025-09-29"/>
    <m/>
    <n v="0"/>
    <s v="CUST-2917"/>
    <s v="Arjun Bose"/>
    <s v="Arjun Bose"/>
    <s v="Home Office"/>
    <x v="3"/>
    <x v="0"/>
    <s v="Uttar Pradesh"/>
    <s v="Noida"/>
    <s v="Furniture"/>
    <x v="1"/>
    <x v="1"/>
    <s v="Eco Tables 550"/>
    <x v="0"/>
    <s v="Second Class"/>
    <n v="9"/>
    <n v="4100.1099999999997"/>
    <n v="0.25"/>
    <n v="27675.74"/>
    <n v="15571.08"/>
    <n v="12104.66"/>
    <s v="Paid"/>
    <x v="0"/>
    <m/>
    <m/>
    <m/>
    <m/>
    <m/>
    <x v="1"/>
    <m/>
    <m/>
  </r>
  <r>
    <s v="ORD-2024-10595"/>
    <x v="533"/>
    <s v="2024-09-21"/>
    <m/>
    <n v="0"/>
    <s v="CUST-6850"/>
    <s v="Karan Malhotra"/>
    <s v="Karan Malhotra"/>
    <s v="Small Business"/>
    <x v="1"/>
    <x v="1"/>
    <s v="West Bengal"/>
    <s v="Kolkata"/>
    <s v="Furniture"/>
    <x v="1"/>
    <x v="4"/>
    <s v="Basic Chairs 932"/>
    <x v="2"/>
    <s v="First Class"/>
    <n v="3"/>
    <n v="3981.76"/>
    <n v="0"/>
    <n v="11945.28"/>
    <n v="9700.31"/>
    <n v="2244.9699999999998"/>
    <s v="Paid"/>
    <x v="0"/>
    <m/>
    <m/>
    <m/>
    <m/>
    <m/>
    <x v="1"/>
    <m/>
    <m/>
  </r>
  <r>
    <s v="ORD-2025-10596"/>
    <x v="534"/>
    <s v="16-02-2025"/>
    <m/>
    <n v="0"/>
    <s v="CUST-5566"/>
    <s v="Mira Das"/>
    <s v="Mira Das"/>
    <s v="Corporate"/>
    <x v="2"/>
    <x v="0"/>
    <s v="Uttar Pradesh"/>
    <s v="Noida"/>
    <s v="Technology"/>
    <x v="2"/>
    <x v="11"/>
    <s v="Classic Phones 294"/>
    <x v="2"/>
    <s v="First Class"/>
    <n v="8"/>
    <n v="1825.56"/>
    <n v="0.1"/>
    <n v="13144.03"/>
    <n v="9764"/>
    <n v="3380.03"/>
    <s v="Paid"/>
    <x v="0"/>
    <m/>
    <m/>
    <m/>
    <m/>
    <m/>
    <x v="1"/>
    <m/>
    <m/>
  </r>
  <r>
    <s v="ORD-2024-10597"/>
    <x v="535"/>
    <s v="04/16/2024"/>
    <m/>
    <n v="0"/>
    <s v="CUST-2593"/>
    <s v="Aditi Sen"/>
    <s v="Aditi Sen"/>
    <s v="Consumer"/>
    <x v="0"/>
    <x v="2"/>
    <s v="Kerala"/>
    <s v="Kochi"/>
    <s v="Furniture"/>
    <x v="1"/>
    <x v="4"/>
    <s v="Elite Chairs 700"/>
    <x v="0"/>
    <s v="Second Class"/>
    <n v="9"/>
    <n v="2723.26"/>
    <n v="0.25"/>
    <n v="18382.009999999998"/>
    <n v="13108.2"/>
    <n v="5273.81"/>
    <s v="Paid"/>
    <x v="0"/>
    <m/>
    <m/>
    <m/>
    <m/>
    <m/>
    <x v="1"/>
    <m/>
    <m/>
  </r>
  <r>
    <s v="ORD-2025-10598"/>
    <x v="536"/>
    <s v="07/08/2025"/>
    <m/>
    <n v="0"/>
    <s v="CUST-6957"/>
    <s v="Aditi Sen"/>
    <s v="Aditi Sen"/>
    <s v="Consumer"/>
    <x v="0"/>
    <x v="2"/>
    <s v="Telangana"/>
    <s v="Hyderabad"/>
    <s v="Technology"/>
    <x v="2"/>
    <x v="6"/>
    <s v="Prime Copiers 969"/>
    <x v="1"/>
    <s v="Same Day"/>
    <n v="9"/>
    <n v="274.88"/>
    <n v="0.25"/>
    <n v="1855.44"/>
    <n v="1262.74"/>
    <n v="592.70000000000005"/>
    <s v="Paid"/>
    <x v="0"/>
    <m/>
    <m/>
    <m/>
    <m/>
    <m/>
    <x v="1"/>
    <m/>
    <m/>
  </r>
  <r>
    <s v="ORD-2024-10599"/>
    <x v="537"/>
    <s v="08/24/2024"/>
    <m/>
    <n v="0"/>
    <s v="CUST-8498"/>
    <s v="Ananya Rao"/>
    <s v="Ananya Rao"/>
    <s v="Corporate"/>
    <x v="2"/>
    <x v="1"/>
    <s v="West Bengal"/>
    <s v="Kolkata"/>
    <s v="Technology"/>
    <x v="2"/>
    <x v="6"/>
    <s v="Eco Copiers 268"/>
    <x v="1"/>
    <s v="Same Day"/>
    <n v="3"/>
    <n v="1490.69"/>
    <n v="0.25"/>
    <n v="3354.05"/>
    <n v="2672.67"/>
    <n v="681.38"/>
    <s v="Paid"/>
    <x v="0"/>
    <m/>
    <m/>
    <m/>
    <m/>
    <m/>
    <x v="1"/>
    <m/>
    <m/>
  </r>
  <r>
    <s v="ORD-2024-10600"/>
    <x v="538"/>
    <s v="21 Aug 2024"/>
    <m/>
    <n v="0"/>
    <s v="CUST-2612"/>
    <s v="Arjun Bose"/>
    <s v="Arjun Bose"/>
    <s v="Consumer"/>
    <x v="0"/>
    <x v="0"/>
    <s v="Punjab"/>
    <s v="Ludhiana"/>
    <s v="Technology"/>
    <x v="2"/>
    <x v="11"/>
    <s v="Pro Phones 588"/>
    <x v="2"/>
    <s v="First Class"/>
    <n v="3"/>
    <n v="1103.54"/>
    <n v="0.25"/>
    <n v="2482.9699999999998"/>
    <n v="1621.72"/>
    <n v="861.25"/>
    <s v="Paid"/>
    <x v="0"/>
    <m/>
    <m/>
    <m/>
    <m/>
    <m/>
    <x v="1"/>
    <m/>
    <m/>
  </r>
  <r>
    <s v="ORD-2025-10601"/>
    <x v="539"/>
    <s v="2025-03-12"/>
    <m/>
    <n v="0"/>
    <s v="CUST-6013"/>
    <s v="Ananya Rao"/>
    <s v="Ananya Rao"/>
    <s v="Corporate"/>
    <x v="2"/>
    <x v="3"/>
    <s v="Madhya Pradesh"/>
    <s v="Indore"/>
    <s v="Office Supplies"/>
    <x v="0"/>
    <x v="8"/>
    <s v="Prime Storage 432"/>
    <x v="1"/>
    <s v="Same Day"/>
    <n v="3"/>
    <n v="3682.75"/>
    <m/>
    <n v="11048.25"/>
    <n v="9062.7199999999993"/>
    <n v="1985.53"/>
    <s v="Paid"/>
    <x v="0"/>
    <m/>
    <m/>
    <m/>
    <m/>
    <m/>
    <x v="1"/>
    <m/>
    <m/>
  </r>
  <r>
    <s v="ORD-2024-10602"/>
    <x v="540"/>
    <s v="01/31/2024"/>
    <m/>
    <n v="0"/>
    <s v="CUST-8289"/>
    <s v="Ananya Rao"/>
    <s v="Ananya Rao"/>
    <s v="Home Office"/>
    <x v="3"/>
    <x v="1"/>
    <s v="West Bengal"/>
    <s v="Kolkata"/>
    <s v="Office Supplies"/>
    <x v="0"/>
    <x v="0"/>
    <s v="Basic Paper 452"/>
    <x v="0"/>
    <s v="Second Class"/>
    <n v="5"/>
    <n v="1615.03"/>
    <n v="0.2"/>
    <n v="6460.12"/>
    <n v="3604.03"/>
    <n v="2856.09"/>
    <s v="Paid"/>
    <x v="0"/>
    <m/>
    <m/>
    <m/>
    <m/>
    <m/>
    <x v="1"/>
    <m/>
    <m/>
  </r>
  <r>
    <s v="ORD-2024-10603"/>
    <x v="541"/>
    <s v="2024-10-30"/>
    <m/>
    <n v="0"/>
    <s v="CUST-5668"/>
    <s v="Aarav Sharma"/>
    <s v="Aarav Sharma"/>
    <s v="Consumer"/>
    <x v="0"/>
    <x v="1"/>
    <s v="Jharkhand"/>
    <s v="Ranchi"/>
    <s v="Technology"/>
    <x v="2"/>
    <x v="6"/>
    <s v="Max Copiers 477"/>
    <x v="0"/>
    <s v="Second Class"/>
    <n v="9"/>
    <n v="3423.82"/>
    <n v="0.15"/>
    <n v="26192.22"/>
    <n v="20795.55"/>
    <n v="5396.67"/>
    <s v="Paid"/>
    <x v="0"/>
    <m/>
    <m/>
    <m/>
    <m/>
    <m/>
    <x v="1"/>
    <m/>
    <m/>
  </r>
  <r>
    <s v="ORD-2025-10604"/>
    <x v="542"/>
    <s v="11-01-2025"/>
    <m/>
    <n v="0"/>
    <s v="CUST-5808"/>
    <s v="Vikram Iyer"/>
    <s v="Vikram Iyer"/>
    <s v="Corporate"/>
    <x v="2"/>
    <x v="1"/>
    <s v="Bihar"/>
    <s v="Patna"/>
    <s v="Technology"/>
    <x v="2"/>
    <x v="5"/>
    <s v="Prime Accessories 300"/>
    <x v="2"/>
    <s v="First Class"/>
    <n v="8"/>
    <n v="2574.29"/>
    <n v="0.05"/>
    <n v="19564.599999999999"/>
    <n v="11154.59"/>
    <n v="8410.01"/>
    <s v="Pending"/>
    <x v="1"/>
    <m/>
    <m/>
    <m/>
    <m/>
    <m/>
    <x v="1"/>
    <m/>
    <m/>
  </r>
  <r>
    <s v="ORD-2025-10605"/>
    <x v="543"/>
    <s v="02/06/2025"/>
    <m/>
    <n v="0"/>
    <s v="CUST-4526"/>
    <s v="Ananya Rao"/>
    <s v="Ananya Rao"/>
    <s v="Consumer"/>
    <x v="0"/>
    <x v="3"/>
    <s v="Madhya Pradesh"/>
    <s v="Indore"/>
    <s v="Office Supplies"/>
    <x v="0"/>
    <x v="9"/>
    <s v="Max Binders 547"/>
    <x v="1"/>
    <s v="Same Day"/>
    <n v="3"/>
    <n v="1076.3"/>
    <n v="0"/>
    <n v="3228.9"/>
    <n v="1853.23"/>
    <n v="1375.67"/>
    <s v="Paid"/>
    <x v="0"/>
    <m/>
    <m/>
    <m/>
    <m/>
    <m/>
    <x v="1"/>
    <m/>
    <m/>
  </r>
  <r>
    <s v="ORD-2025-10606"/>
    <x v="544"/>
    <s v="13 Jul 2025"/>
    <m/>
    <n v="0"/>
    <s v="CUST-4447"/>
    <s v="Kabir Singh"/>
    <s v="Kabir Singh"/>
    <s v="Corporate"/>
    <x v="2"/>
    <x v="3"/>
    <s v="Goa"/>
    <s v="Panaji"/>
    <s v="Furniture"/>
    <x v="1"/>
    <x v="3"/>
    <s v="Pro Furnishings 267"/>
    <x v="0"/>
    <s v="Second Class"/>
    <n v="5"/>
    <n v="1680.01"/>
    <s v="85%"/>
    <n v="7560.04"/>
    <n v="6448.05"/>
    <n v="1111.99"/>
    <s v="Paid"/>
    <x v="1"/>
    <m/>
    <m/>
    <m/>
    <m/>
    <m/>
    <x v="1"/>
    <m/>
    <m/>
  </r>
  <r>
    <s v="ORD-2025-10607"/>
    <x v="545"/>
    <s v="02/28/2025"/>
    <m/>
    <n v="0"/>
    <s v="CUST-2698"/>
    <s v="Rahul Verma"/>
    <s v="Rahul Verma"/>
    <s v="Home Office"/>
    <x v="3"/>
    <x v="3"/>
    <s v="Madhya Pradesh"/>
    <s v="Indore"/>
    <s v="Technology"/>
    <x v="2"/>
    <x v="6"/>
    <s v="Max Copiers 520"/>
    <x v="1"/>
    <s v="Same Day"/>
    <n v="3"/>
    <n v="3890.81"/>
    <n v="0.25"/>
    <n v="8754.32"/>
    <n v="6238.9"/>
    <n v="2515.42"/>
    <s v="Paid"/>
    <x v="0"/>
    <m/>
    <m/>
    <m/>
    <m/>
    <m/>
    <x v="1"/>
    <m/>
    <m/>
  </r>
  <r>
    <s v="ORD-2025-10608"/>
    <x v="546"/>
    <s v="22 Feb 2025"/>
    <m/>
    <n v="0"/>
    <s v="CUST-6297"/>
    <s v="Sneha Kapoor"/>
    <s v="Sneha Kapoor"/>
    <s v="Home Office"/>
    <x v="3"/>
    <x v="1"/>
    <s v="Bihar"/>
    <s v="Patna"/>
    <s v="Office Supplies"/>
    <x v="0"/>
    <x v="8"/>
    <s v="Max Storage 424"/>
    <x v="1"/>
    <s v="Same Day"/>
    <n v="5"/>
    <n v="954.67"/>
    <n v="0.15"/>
    <n v="4057.35"/>
    <n v="2862.03"/>
    <n v="1195.32"/>
    <s v="Paid"/>
    <x v="0"/>
    <m/>
    <m/>
    <m/>
    <m/>
    <m/>
    <x v="1"/>
    <m/>
    <m/>
  </r>
  <r>
    <s v="ORD-2024-10609"/>
    <x v="547"/>
    <s v="23 Jun 2024"/>
    <m/>
    <n v="0"/>
    <s v="CUST-7690"/>
    <s v="Karan Malhotra"/>
    <s v="Karan Malhotra"/>
    <s v="Home Office"/>
    <x v="3"/>
    <x v="3"/>
    <s v="Goa"/>
    <s v="Panaji"/>
    <s v="Furniture"/>
    <x v="1"/>
    <x v="3"/>
    <s v="Elite Furnishings 706"/>
    <x v="0"/>
    <s v="Second Class"/>
    <n v="9"/>
    <n v="2153.75"/>
    <n v="0"/>
    <n v="19383.75"/>
    <n v="11667.43"/>
    <n v="7716.32"/>
    <s v="Paid"/>
    <x v="0"/>
    <m/>
    <m/>
    <m/>
    <m/>
    <m/>
    <x v="1"/>
    <m/>
    <m/>
  </r>
  <r>
    <s v="ORD-2025-10610"/>
    <x v="381"/>
    <s v="12-01-2025"/>
    <m/>
    <n v="0"/>
    <s v="CUST-4380"/>
    <s v="Sneha Kapoor"/>
    <s v="Sneha Kapoor"/>
    <s v="Home Office"/>
    <x v="3"/>
    <x v="2"/>
    <s v="Karnataka"/>
    <s v="Bengaluru"/>
    <s v="Furniture"/>
    <x v="1"/>
    <x v="4"/>
    <s v="Pro Chairs 908"/>
    <x v="3"/>
    <s v="Standard Class"/>
    <n v="7"/>
    <n v="4337.4799999999996"/>
    <n v="0"/>
    <n v="30362.36"/>
    <n v="25065.4"/>
    <n v="5296.96"/>
    <s v="Paid"/>
    <x v="0"/>
    <m/>
    <m/>
    <m/>
    <m/>
    <m/>
    <x v="1"/>
    <m/>
    <m/>
  </r>
  <r>
    <s v="ORD-2024-10611"/>
    <x v="548"/>
    <s v="05/20/2024"/>
    <m/>
    <n v="0"/>
    <s v="CUST-2779"/>
    <s v="Karan Malhotra"/>
    <s v="Karan Malhotra"/>
    <s v="Home Office"/>
    <x v="3"/>
    <x v="3"/>
    <s v="Madhya Pradesh"/>
    <s v="Indore"/>
    <s v="Furniture"/>
    <x v="1"/>
    <x v="4"/>
    <s v="Pro Chairs 712"/>
    <x v="3"/>
    <s v="Standard Class"/>
    <n v="1"/>
    <n v="3032.95"/>
    <n v="0.1"/>
    <n v="2729.65"/>
    <n v="1715.36"/>
    <n v="1014.29"/>
    <s v="Paid"/>
    <x v="0"/>
    <m/>
    <m/>
    <m/>
    <m/>
    <m/>
    <x v="1"/>
    <m/>
    <m/>
  </r>
  <r>
    <s v="ORD-2025-10612"/>
    <x v="493"/>
    <s v="15 Jul 2025"/>
    <m/>
    <n v="0"/>
    <s v="CUST-6108"/>
    <s v="Ananya Rao"/>
    <s v="Ananya Rao"/>
    <s v="Small Business"/>
    <x v="1"/>
    <x v="0"/>
    <s v="Rajasthan"/>
    <s v="Jaipur"/>
    <s v="Office Supplies"/>
    <x v="0"/>
    <x v="9"/>
    <s v="Max Binders 785"/>
    <x v="1"/>
    <s v="Same Day"/>
    <n v="8"/>
    <n v="655.28"/>
    <n v="0.1"/>
    <n v="4718.0200000000004"/>
    <n v="3908.23"/>
    <n v="809.79"/>
    <s v="Paid"/>
    <x v="0"/>
    <m/>
    <m/>
    <m/>
    <m/>
    <m/>
    <x v="1"/>
    <m/>
    <m/>
  </r>
  <r>
    <s v="ORD-2025-10613"/>
    <x v="549"/>
    <s v="13-04-2025"/>
    <s v="OK"/>
    <s v="OK"/>
    <s v="CUST-5663"/>
    <s v="Aditi Sen"/>
    <s v="Aditi Sen"/>
    <s v="Consumer"/>
    <x v="0"/>
    <x v="1"/>
    <s v="Odisha"/>
    <s v="Bhubaneswar"/>
    <s v="Technology"/>
    <x v="2"/>
    <x v="11"/>
    <s v="Elite Phones 239"/>
    <x v="3"/>
    <s v="Standard Class"/>
    <n v="1"/>
    <n v="3844.01"/>
    <n v="0"/>
    <n v="3844.01"/>
    <n v="2195.79"/>
    <n v="1648.22"/>
    <s v="Paid"/>
    <x v="0"/>
    <m/>
    <m/>
    <m/>
    <m/>
    <m/>
    <x v="1"/>
    <m/>
    <m/>
  </r>
  <r>
    <s v="ORD-2024-10614"/>
    <x v="550"/>
    <s v="10/10/2024"/>
    <m/>
    <n v="0"/>
    <s v="CUST-9311"/>
    <s v="Diya Patel"/>
    <s v="Diya Patel"/>
    <s v="Home Office"/>
    <x v="3"/>
    <x v="3"/>
    <s v="Gujarat"/>
    <s v="Ahmedabad"/>
    <s v="Technology"/>
    <x v="2"/>
    <x v="12"/>
    <s v="Basic Machines 413"/>
    <x v="1"/>
    <s v="Same Day"/>
    <n v="9"/>
    <n v="3361.3"/>
    <n v="0.25"/>
    <n v="22688.78"/>
    <n v="14672.41"/>
    <n v="8016.37"/>
    <s v="Paid"/>
    <x v="0"/>
    <m/>
    <m/>
    <m/>
    <m/>
    <m/>
    <x v="1"/>
    <m/>
    <m/>
  </r>
  <r>
    <s v="ORD-2024-10615"/>
    <x v="432"/>
    <s v="19-02-2024"/>
    <m/>
    <n v="0"/>
    <s v="CUST-8154"/>
    <s v="Ananya Rao"/>
    <s v="Ananya Rao"/>
    <s v="Home Office"/>
    <x v="3"/>
    <x v="2"/>
    <s v="Telangana"/>
    <s v="Hyderabad"/>
    <s v="Furniture"/>
    <x v="1"/>
    <x v="4"/>
    <s v="Elite Chairs 140"/>
    <x v="3"/>
    <s v="Standard Class"/>
    <n v="8"/>
    <n v="3398.32"/>
    <n v="0.25"/>
    <n v="20389.919999999998"/>
    <n v="16661.080000000002"/>
    <n v="3728.84"/>
    <s v="Refunded"/>
    <x v="1"/>
    <m/>
    <m/>
    <m/>
    <m/>
    <m/>
    <x v="1"/>
    <m/>
    <m/>
  </r>
  <r>
    <s v="ORD-2024-10616"/>
    <x v="551"/>
    <s v="10/07/2024"/>
    <m/>
    <n v="0"/>
    <s v="CUST-4462"/>
    <s v="Rahul Verma"/>
    <s v="Rahul Verma"/>
    <s v="Corporate"/>
    <x v="2"/>
    <x v="2"/>
    <s v="Kerala"/>
    <s v="Kochi"/>
    <s v="Office Supplies"/>
    <x v="0"/>
    <x v="2"/>
    <s v="Basic Art 771"/>
    <x v="0"/>
    <s v="Second Class"/>
    <n v="2"/>
    <n v="3144.38"/>
    <n v="0.1"/>
    <n v="5904.57"/>
    <n v="4337.79"/>
    <n v="1322.09"/>
    <s v="Paid"/>
    <x v="0"/>
    <m/>
    <m/>
    <m/>
    <m/>
    <m/>
    <x v="1"/>
    <m/>
    <m/>
  </r>
  <r>
    <s v="ORD-2024-10617"/>
    <x v="552"/>
    <s v="19-08-2024"/>
    <m/>
    <n v="0"/>
    <s v="CUST-4660"/>
    <s v="Kabir Singh"/>
    <s v="Kabir Singh"/>
    <s v="Consumer"/>
    <x v="0"/>
    <x v="2"/>
    <s v="Telangana"/>
    <s v="Hyderabad"/>
    <s v="Office Supplies"/>
    <x v="0"/>
    <x v="0"/>
    <s v="Prime Paper 664"/>
    <x v="3"/>
    <s v="Standard Class"/>
    <n v="6"/>
    <n v="3925.55"/>
    <n v="0.2"/>
    <n v="18842.64"/>
    <n v="11840.58"/>
    <n v="7002.06"/>
    <s v="Paid"/>
    <x v="0"/>
    <m/>
    <m/>
    <m/>
    <m/>
    <m/>
    <x v="1"/>
    <m/>
    <m/>
  </r>
  <r>
    <s v="ORD-2024-10618"/>
    <x v="553"/>
    <s v="2024-09-30"/>
    <m/>
    <n v="0"/>
    <s v="CUST-9002"/>
    <s v="Mira Das"/>
    <s v="Mira Das"/>
    <s v="Home Office"/>
    <x v="3"/>
    <x v="2"/>
    <s v="Telangana"/>
    <s v="Hyderabad"/>
    <s v="Technology"/>
    <x v="2"/>
    <x v="11"/>
    <s v="Pro Phones 226"/>
    <x v="3"/>
    <s v="Standard Class"/>
    <n v="9"/>
    <n v="2741.91"/>
    <n v="0"/>
    <n v="24677.19"/>
    <n v="20350.849999999999"/>
    <n v="4326.34"/>
    <s v="Paid"/>
    <x v="0"/>
    <m/>
    <m/>
    <m/>
    <m/>
    <m/>
    <x v="1"/>
    <m/>
    <m/>
  </r>
  <r>
    <s v="ORD-2024-10619"/>
    <x v="554"/>
    <s v="2024-07-30"/>
    <m/>
    <n v="0"/>
    <s v="CUST-1057"/>
    <s v="Kabir Singh"/>
    <s v="Kabir Singh"/>
    <s v="Corporate"/>
    <x v="2"/>
    <x v="0"/>
    <s v="Rajasthan"/>
    <s v="Jaipur"/>
    <s v="Furniture"/>
    <x v="1"/>
    <x v="1"/>
    <s v="Basic Tables 684"/>
    <x v="1"/>
    <s v="Same Day"/>
    <n v="9"/>
    <n v="1870.11"/>
    <n v="0.25"/>
    <n v="12623.24"/>
    <n v="10540.8"/>
    <n v="2082.44"/>
    <s v="Failed"/>
    <x v="1"/>
    <m/>
    <m/>
    <m/>
    <m/>
    <m/>
    <x v="1"/>
    <m/>
    <m/>
  </r>
  <r>
    <s v="ORD-2024-10620"/>
    <x v="158"/>
    <s v="27 Nov 2024"/>
    <m/>
    <n v="0"/>
    <s v="CUST-9596"/>
    <s v="Priya Menon"/>
    <s v="Priya Menon"/>
    <s v="Corporate"/>
    <x v="2"/>
    <x v="2"/>
    <s v="Tamil Nadu"/>
    <s v="Chennai"/>
    <s v="Office Supplies"/>
    <x v="0"/>
    <x v="9"/>
    <s v="Prime Binders 938"/>
    <x v="2"/>
    <s v="First Class"/>
    <n v="1"/>
    <n v="4251.26"/>
    <n v="0.2"/>
    <n v="3401.01"/>
    <n v="2917.54"/>
    <n v="483.47"/>
    <s v="Refunded"/>
    <x v="2"/>
    <m/>
    <m/>
    <m/>
    <m/>
    <m/>
    <x v="1"/>
    <m/>
    <m/>
  </r>
  <r>
    <s v="ORD-2024-10621"/>
    <x v="555"/>
    <s v="08/21/2024"/>
    <m/>
    <n v="0"/>
    <s v="CUST-6947"/>
    <s v="Vikram Iyer"/>
    <s v="Vikram Iyer"/>
    <s v="Consumer"/>
    <x v="0"/>
    <x v="0"/>
    <s v="Uttar Pradesh"/>
    <s v="Noida"/>
    <s v="Technology"/>
    <x v="2"/>
    <x v="12"/>
    <s v="Classic Machines 337"/>
    <x v="3"/>
    <s v="Standard Class"/>
    <n v="9"/>
    <n v="734.34"/>
    <n v="0"/>
    <n v="6609.06"/>
    <n v="4946.78"/>
    <n v="1662.28"/>
    <s v="Paid"/>
    <x v="0"/>
    <m/>
    <m/>
    <m/>
    <m/>
    <m/>
    <x v="1"/>
    <m/>
    <m/>
  </r>
  <r>
    <s v="ORD-2024-10622"/>
    <x v="3"/>
    <s v="06-12-2024"/>
    <m/>
    <n v="0"/>
    <s v="CUST-7236"/>
    <s v="Aditi Sen"/>
    <s v="Aditi Sen"/>
    <s v="Consumer"/>
    <x v="0"/>
    <x v="3"/>
    <s v="Maharashtra"/>
    <s v="Mumbai"/>
    <s v="Furniture"/>
    <x v="1"/>
    <x v="4"/>
    <s v="Max Chairs 748"/>
    <x v="1"/>
    <s v="Same Day"/>
    <n v="5"/>
    <n v="1092.8399999999999"/>
    <m/>
    <n v="5464.2"/>
    <n v="3318.09"/>
    <n v="2146.11"/>
    <s v="Paid"/>
    <x v="0"/>
    <m/>
    <m/>
    <m/>
    <m/>
    <m/>
    <x v="1"/>
    <m/>
    <m/>
  </r>
  <r>
    <s v="ORD-2025-10623"/>
    <x v="556"/>
    <s v="06 Feb 2025"/>
    <m/>
    <n v="0"/>
    <s v="CUST-1127"/>
    <s v="Vikram Iyer"/>
    <s v="Vikram Iyer"/>
    <s v="Consumer"/>
    <x v="0"/>
    <x v="1"/>
    <s v="Bihar"/>
    <s v="Patna"/>
    <s v="Office Supplies"/>
    <x v="0"/>
    <x v="8"/>
    <s v="Basic Storage 934"/>
    <x v="3"/>
    <s v="Standard Class"/>
    <n v="4"/>
    <n v="2759.01"/>
    <n v="0.05"/>
    <n v="10484.24"/>
    <n v="6680.15"/>
    <n v="3804.09"/>
    <s v="Paid"/>
    <x v="0"/>
    <m/>
    <m/>
    <m/>
    <m/>
    <m/>
    <x v="1"/>
    <m/>
    <m/>
  </r>
  <r>
    <s v="ORD-2024-10624"/>
    <x v="557"/>
    <s v="14 Aug 2024"/>
    <m/>
    <n v="0"/>
    <s v="CUST-6262"/>
    <s v="Vikram Iyer"/>
    <s v="Vikram Iyer"/>
    <s v="Home Office"/>
    <x v="3"/>
    <x v="0"/>
    <s v="Punjab"/>
    <s v="Ludhiana"/>
    <s v="Office Supplies"/>
    <x v="0"/>
    <x v="8"/>
    <s v="Pro Storage 509"/>
    <x v="0"/>
    <s v="Second Class"/>
    <n v="8"/>
    <n v="1359.19"/>
    <n v="0.05"/>
    <n v="10329.84"/>
    <n v="7512.22"/>
    <n v="2817.62"/>
    <s v="Paid"/>
    <x v="0"/>
    <m/>
    <m/>
    <m/>
    <m/>
    <m/>
    <x v="1"/>
    <m/>
    <m/>
  </r>
  <r>
    <s v="ORD-2024-10625"/>
    <x v="558"/>
    <s v="2024-02-01"/>
    <m/>
    <n v="0"/>
    <s v="CUST-5070"/>
    <s v="Neha Gupta"/>
    <s v="Neha Gupta"/>
    <s v="Home Office"/>
    <x v="3"/>
    <x v="1"/>
    <s v="Assam"/>
    <s v="Guwahati"/>
    <s v="Furniture"/>
    <x v="1"/>
    <x v="4"/>
    <s v="Prime Chairs 765"/>
    <x v="2"/>
    <s v="First Class"/>
    <n v="2"/>
    <n v="4451.03"/>
    <n v="0.05"/>
    <n v="8456.9599999999991"/>
    <n v="5462.85"/>
    <n v="2994.11"/>
    <s v="Paid"/>
    <x v="0"/>
    <m/>
    <m/>
    <m/>
    <m/>
    <m/>
    <x v="1"/>
    <m/>
    <m/>
  </r>
  <r>
    <s v="ORD-2024-10626"/>
    <x v="559"/>
    <s v="21 Dec 2024"/>
    <m/>
    <n v="0"/>
    <s v="CUST-7946"/>
    <s v="Diya Patel"/>
    <s v="Diya Patel"/>
    <s v="Corporate"/>
    <x v="2"/>
    <x v="3"/>
    <s v="Rajasthan"/>
    <s v="Udaipur"/>
    <s v="Furniture"/>
    <x v="1"/>
    <x v="4"/>
    <s v="Elite Chairs 358"/>
    <x v="1"/>
    <s v="Same Day"/>
    <n v="3"/>
    <n v="527.66999999999996"/>
    <n v="0.2"/>
    <n v="1266.4100000000001"/>
    <n v="983.92"/>
    <n v="282.49"/>
    <s v="Paid"/>
    <x v="0"/>
    <m/>
    <m/>
    <m/>
    <m/>
    <m/>
    <x v="1"/>
    <m/>
    <m/>
  </r>
  <r>
    <s v="ORD-2025-10627"/>
    <x v="281"/>
    <s v="06/07/2025"/>
    <m/>
    <n v="0"/>
    <s v="CUST-1793"/>
    <s v="Sneha Kapoor"/>
    <s v="Sneha Kapoor"/>
    <s v="Home Office"/>
    <x v="3"/>
    <x v="1"/>
    <s v="Assam"/>
    <s v="Guwahati"/>
    <s v="Technology"/>
    <x v="2"/>
    <x v="12"/>
    <s v="Elite Machines 971"/>
    <x v="3"/>
    <s v="Standard Class"/>
    <n v="8"/>
    <n v="1434.13"/>
    <n v="0"/>
    <n v="11473.04"/>
    <n v="8931.33"/>
    <n v="2541.71"/>
    <s v="Pending"/>
    <x v="2"/>
    <m/>
    <m/>
    <m/>
    <m/>
    <m/>
    <x v="1"/>
    <m/>
    <m/>
  </r>
  <r>
    <s v="ORD-2025-10628"/>
    <x v="255"/>
    <s v="21-02-2025"/>
    <m/>
    <n v="0"/>
    <s v="CUST-8839"/>
    <s v="Karan Malhotra"/>
    <s v="Karan Malhotra"/>
    <s v="Small Business"/>
    <x v="1"/>
    <x v="2"/>
    <s v="Kerala"/>
    <s v="Kochi"/>
    <s v="Technology"/>
    <x v="2"/>
    <x v="11"/>
    <s v="Max Phones 825"/>
    <x v="0"/>
    <s v="Second Class"/>
    <n v="2"/>
    <n v="2360.02"/>
    <n v="0.15"/>
    <n v="4012.03"/>
    <n v="3142.92"/>
    <n v="869.11"/>
    <s v="Pending"/>
    <x v="1"/>
    <m/>
    <m/>
    <m/>
    <m/>
    <m/>
    <x v="1"/>
    <m/>
    <m/>
  </r>
  <r>
    <s v="ORD-2025-10629"/>
    <x v="485"/>
    <s v="12 Oct 2025"/>
    <m/>
    <n v="0"/>
    <s v="CUST-6725"/>
    <s v="Ananya Rao"/>
    <s v="Ananya Rao"/>
    <s v="Home Office"/>
    <x v="3"/>
    <x v="1"/>
    <s v="Jharkhand"/>
    <s v="Ranchi"/>
    <s v="Technology"/>
    <x v="2"/>
    <x v="5"/>
    <s v="Eco Accessories 933"/>
    <x v="1"/>
    <s v="Same Day"/>
    <n v="7"/>
    <n v="806.67"/>
    <n v="0.05"/>
    <n v="5364.36"/>
    <n v="4391.29"/>
    <n v="973.07"/>
    <s v="Paid"/>
    <x v="0"/>
    <m/>
    <m/>
    <m/>
    <m/>
    <m/>
    <x v="1"/>
    <m/>
    <m/>
  </r>
  <r>
    <s v="ORD-2025-10630"/>
    <x v="560"/>
    <s v="14 Sep 2025"/>
    <m/>
    <n v="0"/>
    <s v="CUST-3793"/>
    <s v="Arjun Bose"/>
    <s v="Arjun Bose"/>
    <s v="Home Office"/>
    <x v="3"/>
    <x v="3"/>
    <s v="Gujarat"/>
    <s v="Ahmedabad"/>
    <s v="Furniture"/>
    <x v="1"/>
    <x v="1"/>
    <s v="Max Tables 908"/>
    <x v="1"/>
    <s v="Same Day"/>
    <n v="3"/>
    <n v="4198.46"/>
    <n v="0.15"/>
    <n v="10706.07"/>
    <n v="5927.1"/>
    <n v="4778.97"/>
    <s v="Paid"/>
    <x v="0"/>
    <m/>
    <m/>
    <m/>
    <m/>
    <m/>
    <x v="1"/>
    <m/>
    <m/>
  </r>
  <r>
    <s v="ORD-2024-10631"/>
    <x v="561"/>
    <s v="2024-04-10"/>
    <m/>
    <n v="0"/>
    <s v="CUST-6075"/>
    <s v="Priya Menon"/>
    <s v="Priya Menon"/>
    <s v="Corporate"/>
    <x v="2"/>
    <x v="1"/>
    <s v="Assam"/>
    <s v="Guwahati"/>
    <s v="Office Supplies"/>
    <x v="0"/>
    <x v="0"/>
    <s v="Elite Paper 239"/>
    <x v="3"/>
    <s v="Standard Class"/>
    <n v="4"/>
    <n v="3047.05"/>
    <n v="0.1"/>
    <n v="10969.38"/>
    <n v="9254.4599999999991"/>
    <n v="1714.92"/>
    <s v="Paid"/>
    <x v="0"/>
    <m/>
    <m/>
    <m/>
    <m/>
    <m/>
    <x v="1"/>
    <m/>
    <m/>
  </r>
  <r>
    <s v="ORD-2024-10632"/>
    <x v="535"/>
    <s v="15-04-2024"/>
    <m/>
    <n v="0"/>
    <s v="CUST-6381"/>
    <s v="Aarav Sharma"/>
    <s v="Aarav Sharma"/>
    <s v="Home Office"/>
    <x v="3"/>
    <x v="3"/>
    <s v="Rajasthan"/>
    <s v="Udaipur"/>
    <s v="Furniture"/>
    <x v="1"/>
    <x v="4"/>
    <s v="Eco Chairs 452"/>
    <x v="3"/>
    <s v="Standard Class"/>
    <n v="8"/>
    <n v="4362.4799999999996"/>
    <n v="0.1"/>
    <n v="31409.86"/>
    <n v="22523.54"/>
    <n v="8886.32"/>
    <s v="Paid"/>
    <x v="0"/>
    <m/>
    <m/>
    <m/>
    <m/>
    <m/>
    <x v="1"/>
    <m/>
    <m/>
  </r>
  <r>
    <s v="ORD-2025-10633"/>
    <x v="562"/>
    <s v="16-04-2025"/>
    <m/>
    <n v="0"/>
    <s v="CUST-4593"/>
    <s v="Sneha Kapoor"/>
    <s v="Sneha Kapoor"/>
    <s v="Small Business"/>
    <x v="1"/>
    <x v="2"/>
    <s v="Karnataka"/>
    <s v="Bengaluru"/>
    <s v="Furniture"/>
    <x v="1"/>
    <x v="3"/>
    <s v="Smart Furnishings 721"/>
    <x v="2"/>
    <s v="First Class"/>
    <n v="5"/>
    <n v="2850.53"/>
    <n v="0"/>
    <n v="14252.65"/>
    <n v="11558.31"/>
    <n v="2694.34"/>
    <s v="Paid"/>
    <x v="0"/>
    <m/>
    <m/>
    <m/>
    <m/>
    <m/>
    <x v="1"/>
    <m/>
    <m/>
  </r>
  <r>
    <s v="ORD-2025-10634"/>
    <x v="563"/>
    <s v="20 Apr 2025"/>
    <m/>
    <n v="0"/>
    <s v="CUST-5043"/>
    <s v="Aarav Sharma"/>
    <s v="Aarav Sharma"/>
    <s v="Small Business"/>
    <x v="1"/>
    <x v="2"/>
    <s v="Tamil Nadu"/>
    <s v="Chennai"/>
    <s v="Technology"/>
    <x v="2"/>
    <x v="5"/>
    <s v="Basic Accessories 729"/>
    <x v="0"/>
    <s v="Second Class"/>
    <n v="1"/>
    <n v="1626.08"/>
    <n v="0.15"/>
    <n v="1382.17"/>
    <n v="810.03"/>
    <n v="572.14"/>
    <s v="Paid"/>
    <x v="0"/>
    <m/>
    <m/>
    <m/>
    <m/>
    <m/>
    <x v="1"/>
    <m/>
    <m/>
  </r>
  <r>
    <s v="ORD-2025-10635"/>
    <x v="564"/>
    <s v="12 Jan 2025"/>
    <m/>
    <n v="0"/>
    <s v="CUST-4722"/>
    <s v="Aditi Sen"/>
    <s v="Aditi Sen"/>
    <s v="Consumer"/>
    <x v="0"/>
    <x v="2"/>
    <s v="Telangana"/>
    <s v="Hyderabad"/>
    <s v="Furniture"/>
    <x v="1"/>
    <x v="4"/>
    <s v="Classic Chairs 220"/>
    <x v="0"/>
    <s v="Second Class"/>
    <n v="4"/>
    <n v="2427.15"/>
    <n v="0.05"/>
    <n v="9223.17"/>
    <n v="5103.7"/>
    <n v="4119.47"/>
    <s v="Paid"/>
    <x v="0"/>
    <m/>
    <m/>
    <m/>
    <m/>
    <m/>
    <x v="1"/>
    <m/>
    <m/>
  </r>
  <r>
    <s v="ORD-2024-10636"/>
    <x v="548"/>
    <s v="2024-05-25"/>
    <m/>
    <n v="0"/>
    <s v="CUST-7931"/>
    <s v="Mira Das"/>
    <s v="Mira Das"/>
    <s v="Corporate"/>
    <x v="2"/>
    <x v="2"/>
    <s v="Andhra Pradesh"/>
    <s v="Vijayawada"/>
    <s v="Furniture"/>
    <x v="1"/>
    <x v="4"/>
    <s v="Max Chairs 305"/>
    <x v="1"/>
    <s v="Same Day"/>
    <n v="7"/>
    <n v="3122.85"/>
    <n v="0.25"/>
    <n v="16394.96"/>
    <n v="10404.17"/>
    <n v="5990.79"/>
    <s v="Paid"/>
    <x v="0"/>
    <m/>
    <m/>
    <m/>
    <m/>
    <m/>
    <x v="1"/>
    <m/>
    <m/>
  </r>
  <r>
    <s v="ORD-2024-10637"/>
    <x v="565"/>
    <s v="09 Oct 2024"/>
    <m/>
    <n v="0"/>
    <s v="CUST-7221"/>
    <s v="Ananya Rao"/>
    <s v="Ananya Rao"/>
    <s v="Consumer"/>
    <x v="0"/>
    <x v="2"/>
    <s v="Tamil Nadu"/>
    <s v="Chennai"/>
    <s v="Office Supplies"/>
    <x v="0"/>
    <x v="0"/>
    <s v="Smart Paper 872"/>
    <x v="3"/>
    <s v="Standard Class"/>
    <n v="8"/>
    <n v="1910.31"/>
    <n v="0.15"/>
    <n v="12990.11"/>
    <n v="10200.799999999999"/>
    <n v="2789.31"/>
    <s v="Paid"/>
    <x v="0"/>
    <m/>
    <m/>
    <m/>
    <m/>
    <m/>
    <x v="1"/>
    <m/>
    <m/>
  </r>
  <r>
    <s v="ORD-2024-10638"/>
    <x v="566"/>
    <s v="2024-05-26"/>
    <m/>
    <n v="0"/>
    <s v="CUST-2594"/>
    <s v="Rahul Verma"/>
    <s v="Rahul Verma"/>
    <s v="Small Business"/>
    <x v="1"/>
    <x v="3"/>
    <s v="Goa"/>
    <s v="Panaji"/>
    <s v="Technology"/>
    <x v="2"/>
    <x v="6"/>
    <s v="Max Copiers 994"/>
    <x v="2"/>
    <s v="First Class"/>
    <n v="2"/>
    <n v="3192.47"/>
    <n v="0.2"/>
    <n v="5107.95"/>
    <n v="3133.08"/>
    <n v="1974.87"/>
    <s v="Paid"/>
    <x v="0"/>
    <m/>
    <m/>
    <m/>
    <m/>
    <m/>
    <x v="1"/>
    <m/>
    <m/>
  </r>
  <r>
    <s v="ORD-2024-10639"/>
    <x v="540"/>
    <s v="31-01-2024"/>
    <m/>
    <n v="0"/>
    <s v="CUST-2111"/>
    <s v="Karan Malhotra"/>
    <s v="Karan Malhotra"/>
    <s v="Corporate"/>
    <x v="2"/>
    <x v="2"/>
    <s v="Kerala"/>
    <s v="Kochi"/>
    <s v="Office Supplies"/>
    <x v="0"/>
    <x v="8"/>
    <s v="Pro Storage 744"/>
    <x v="0"/>
    <s v="Second Class"/>
    <n v="3"/>
    <n v="3224.32"/>
    <n v="0.2"/>
    <n v="7738.37"/>
    <n v="4626.8500000000004"/>
    <n v="3111.52"/>
    <s v="Failed"/>
    <x v="2"/>
    <m/>
    <m/>
    <m/>
    <m/>
    <m/>
    <x v="1"/>
    <m/>
    <m/>
  </r>
  <r>
    <s v="ORD-2024-10640"/>
    <x v="567"/>
    <s v="31-12-2024"/>
    <m/>
    <n v="0"/>
    <s v="CUST-6829"/>
    <s v="Isha Nair"/>
    <s v="Isha Nair"/>
    <s v="Small Business"/>
    <x v="1"/>
    <x v="1"/>
    <s v="Odisha"/>
    <s v="Bhubaneswar"/>
    <s v="Furniture"/>
    <x v="1"/>
    <x v="4"/>
    <s v="Elite Chairs 744"/>
    <x v="0"/>
    <s v="Second Class"/>
    <n v="1"/>
    <n v="1594.7"/>
    <n v="0.05"/>
    <n v="1514.96"/>
    <n v="1046.17"/>
    <n v="468.79"/>
    <s v="Paid"/>
    <x v="0"/>
    <m/>
    <m/>
    <m/>
    <m/>
    <m/>
    <x v="1"/>
    <m/>
    <m/>
  </r>
  <r>
    <s v="ORD-2025-10641"/>
    <x v="568"/>
    <s v="17 Jan 2025"/>
    <m/>
    <n v="0"/>
    <s v="CUST-5061"/>
    <s v="Vikram Iyer"/>
    <s v="Vikram Iyer"/>
    <s v="Consumer"/>
    <x v="0"/>
    <x v="3"/>
    <s v="Goa"/>
    <s v="Panaji"/>
    <s v="Office Supplies"/>
    <x v="0"/>
    <x v="8"/>
    <s v="Basic Storage 973"/>
    <x v="2"/>
    <s v="First Class"/>
    <n v="1"/>
    <n v="1584.12"/>
    <n v="0.2"/>
    <n v="1267.3"/>
    <n v="923.53"/>
    <n v="343.77"/>
    <s v="Paid"/>
    <x v="0"/>
    <m/>
    <m/>
    <m/>
    <m/>
    <m/>
    <x v="1"/>
    <m/>
    <m/>
  </r>
  <r>
    <s v="ORD-2025-10642"/>
    <x v="569"/>
    <s v="2025-04-14"/>
    <m/>
    <n v="0"/>
    <s v="CUST-7915"/>
    <s v="Karan Malhotra"/>
    <s v="Karan Malhotra"/>
    <s v="Consumer"/>
    <x v="0"/>
    <x v="0"/>
    <s v="Delhi"/>
    <s v="New Delhi"/>
    <s v="Furniture"/>
    <x v="1"/>
    <x v="3"/>
    <s v="Smart Furnishings 783"/>
    <x v="1"/>
    <s v="Same Day"/>
    <n v="2"/>
    <n v="3202.87"/>
    <n v="0"/>
    <n v="6405.74"/>
    <n v="3561.87"/>
    <n v="2843.87"/>
    <s v="Paid"/>
    <x v="0"/>
    <m/>
    <m/>
    <m/>
    <m/>
    <m/>
    <x v="1"/>
    <m/>
    <m/>
  </r>
  <r>
    <s v="ORD-2024-10643"/>
    <x v="396"/>
    <s v="08/31/2024"/>
    <m/>
    <n v="0"/>
    <s v="CUST-1940"/>
    <s v="Isha Nair"/>
    <s v="Isha Nair"/>
    <s v="Home Office"/>
    <x v="3"/>
    <x v="1"/>
    <s v="Assam"/>
    <s v="Guwahati"/>
    <s v="Office Supplies"/>
    <x v="0"/>
    <x v="9"/>
    <s v="Prime Binders 287"/>
    <x v="0"/>
    <s v="Second Class"/>
    <n v="9"/>
    <n v="1275.21"/>
    <n v="0.25"/>
    <n v="8607.67"/>
    <n v="5337.64"/>
    <n v="3270.03"/>
    <s v="Failed"/>
    <x v="2"/>
    <m/>
    <m/>
    <m/>
    <m/>
    <m/>
    <x v="1"/>
    <m/>
    <m/>
  </r>
  <r>
    <s v="ORD-2024-10644"/>
    <x v="570"/>
    <s v="2024-02-13"/>
    <m/>
    <n v="0"/>
    <s v="CUST-1986"/>
    <s v="Aarav Sharma"/>
    <s v="Aarav Sharma"/>
    <s v="Home Office"/>
    <x v="3"/>
    <x v="0"/>
    <s v="Uttar Pradesh"/>
    <s v="Noida"/>
    <s v="Office Supplies"/>
    <x v="0"/>
    <x v="7"/>
    <s v="Elite Labels 654"/>
    <x v="3"/>
    <s v="Standard Class"/>
    <n v="8"/>
    <n v="3871.18"/>
    <n v="0.15"/>
    <n v="26324.02"/>
    <n v="16277.96"/>
    <n v="10046.06"/>
    <s v="Failed"/>
    <x v="2"/>
    <m/>
    <m/>
    <m/>
    <m/>
    <m/>
    <x v="1"/>
    <m/>
    <m/>
  </r>
  <r>
    <s v="ORD-2025-10645"/>
    <x v="489"/>
    <s v="04/17/2025"/>
    <m/>
    <n v="0"/>
    <s v="CUST-5549"/>
    <s v="Vikram Iyer"/>
    <s v="Vikram Iyer"/>
    <s v="Consumer"/>
    <x v="0"/>
    <x v="1"/>
    <s v="West Bengal"/>
    <s v="Kolkata"/>
    <s v="Furniture"/>
    <x v="1"/>
    <x v="4"/>
    <s v="Pro Chairs 812"/>
    <x v="3"/>
    <s v="Standard Class"/>
    <n v="4"/>
    <n v="3750.02"/>
    <n v="0.05"/>
    <n v="14250.08"/>
    <n v="10914.92"/>
    <n v="3335.16"/>
    <s v="Paid"/>
    <x v="0"/>
    <m/>
    <m/>
    <m/>
    <m/>
    <m/>
    <x v="1"/>
    <m/>
    <m/>
  </r>
  <r>
    <s v="ORD-2024-10646"/>
    <x v="571"/>
    <s v="09-01-2024"/>
    <m/>
    <n v="0"/>
    <s v="CUST-2314"/>
    <s v="Kabir Singh"/>
    <s v="Kabir Singh"/>
    <s v="Consumer"/>
    <x v="0"/>
    <x v="1"/>
    <s v="Bihar"/>
    <s v="Patna"/>
    <s v="Furniture"/>
    <x v="1"/>
    <x v="4"/>
    <s v="Basic Chairs 480"/>
    <x v="0"/>
    <s v="Second Class"/>
    <n v="6"/>
    <n v="2423.61"/>
    <n v="0.1"/>
    <n v="13087.49"/>
    <n v="7608.89"/>
    <n v="5133.22"/>
    <s v="Paid"/>
    <x v="0"/>
    <m/>
    <m/>
    <m/>
    <m/>
    <m/>
    <x v="1"/>
    <m/>
    <m/>
  </r>
  <r>
    <s v="ORD-2024-10647"/>
    <x v="572"/>
    <s v="24-09-2024"/>
    <m/>
    <n v="0"/>
    <s v="CUST-6360"/>
    <s v="Vikram Iyer"/>
    <s v="Vikram Iyer"/>
    <s v="Small Business"/>
    <x v="1"/>
    <x v="1"/>
    <s v="Jharkhand"/>
    <s v="Ranchi"/>
    <s v="Technology"/>
    <x v="2"/>
    <x v="12"/>
    <s v="Elite Machines 955"/>
    <x v="2"/>
    <s v="First Class"/>
    <n v="3"/>
    <n v="729.14"/>
    <n v="0.25"/>
    <n v="1640.57"/>
    <n v="1136.98"/>
    <n v="503.59"/>
    <s v="Paid"/>
    <x v="0"/>
    <m/>
    <m/>
    <m/>
    <m/>
    <m/>
    <x v="1"/>
    <m/>
    <m/>
  </r>
  <r>
    <s v="ORD-2025-10648"/>
    <x v="237"/>
    <s v="09-01-2025"/>
    <m/>
    <n v="0"/>
    <s v="CUST-9942"/>
    <s v="Rohan  Mehta"/>
    <s v="Rohan Mehta"/>
    <s v="Small Business"/>
    <x v="1"/>
    <x v="0"/>
    <s v="Punjab"/>
    <s v="Ludhiana"/>
    <s v="Office Supplies"/>
    <x v="0"/>
    <x v="2"/>
    <s v="Prime Art 461"/>
    <x v="2"/>
    <s v="First Class"/>
    <n v="8"/>
    <n v="2123.81"/>
    <n v="0.15"/>
    <n v="14441.91"/>
    <n v="10872.89"/>
    <n v="3569.02"/>
    <s v="Paid"/>
    <x v="0"/>
    <m/>
    <m/>
    <m/>
    <m/>
    <m/>
    <x v="1"/>
    <m/>
    <m/>
  </r>
  <r>
    <s v="ORD-2024-10649"/>
    <x v="573"/>
    <s v="24 Apr 2024"/>
    <m/>
    <n v="0"/>
    <s v="CUST-1808"/>
    <s v="Neha Gupta"/>
    <s v="Neha Gupta"/>
    <s v="Small Business"/>
    <x v="1"/>
    <x v="2"/>
    <s v="Andhra Pradesh"/>
    <s v="Vijayawada"/>
    <s v="Office Supplies"/>
    <x v="0"/>
    <x v="2"/>
    <s v="Prime Art 301"/>
    <x v="1"/>
    <s v="Same Day"/>
    <n v="9"/>
    <n v="703.59"/>
    <n v="0.2"/>
    <n v="5065.8500000000004"/>
    <n v="3517.23"/>
    <n v="1548.62"/>
    <s v="Failed"/>
    <x v="2"/>
    <m/>
    <m/>
    <m/>
    <m/>
    <m/>
    <x v="1"/>
    <m/>
    <m/>
  </r>
  <r>
    <s v="ORD-2025-10650"/>
    <x v="574"/>
    <s v="19-08-2025"/>
    <m/>
    <n v="0"/>
    <s v="CUST-7277"/>
    <s v="Kabir Singh"/>
    <s v="Kabir Singh"/>
    <s v="Small Business"/>
    <x v="1"/>
    <x v="2"/>
    <s v="Kerala"/>
    <s v="Kochi"/>
    <s v="Technology"/>
    <x v="2"/>
    <x v="5"/>
    <s v="Classic Accessories 354"/>
    <x v="3"/>
    <s v="Standard Class"/>
    <n v="4"/>
    <n v="2258.96"/>
    <n v="0.25"/>
    <n v="6776.88"/>
    <n v="3836.24"/>
    <n v="2940.64"/>
    <s v="Paid"/>
    <x v="0"/>
    <m/>
    <m/>
    <m/>
    <m/>
    <m/>
    <x v="1"/>
    <m/>
    <m/>
  </r>
  <r>
    <s v="ORD-2024-10651"/>
    <x v="575"/>
    <s v="21 Apr 2024"/>
    <m/>
    <n v="0"/>
    <s v="CUST-7744"/>
    <s v="Aarav Sharma"/>
    <s v="Aarav Sharma"/>
    <s v="Home Office"/>
    <x v="3"/>
    <x v="1"/>
    <s v="Bihar"/>
    <s v="Patna"/>
    <s v="Technology"/>
    <x v="2"/>
    <x v="5"/>
    <s v="Basic Accessories 210"/>
    <x v="1"/>
    <s v="Same Day"/>
    <n v="7"/>
    <n v="2648.76"/>
    <n v="0.15"/>
    <n v="15760.12"/>
    <n v="9931.5300000000007"/>
    <n v="5828.59"/>
    <s v="Failed"/>
    <x v="2"/>
    <m/>
    <m/>
    <m/>
    <m/>
    <m/>
    <x v="1"/>
    <m/>
    <m/>
  </r>
  <r>
    <s v="ORD-2025-10652"/>
    <x v="246"/>
    <s v="09-08-2025"/>
    <m/>
    <n v="0"/>
    <s v="CUST-2660"/>
    <s v="Mira Das"/>
    <s v="Mira Das"/>
    <s v="Small Business"/>
    <x v="1"/>
    <x v="2"/>
    <s v="Andhra Pradesh"/>
    <s v="Vijayawada"/>
    <s v="Office Supplies"/>
    <x v="0"/>
    <x v="0"/>
    <s v="Smart Paper 364"/>
    <x v="0"/>
    <s v="Second Class"/>
    <n v="3"/>
    <n v="598.54999999999995"/>
    <n v="0"/>
    <n v="1795.65"/>
    <n v="996.72"/>
    <n v="798.93"/>
    <s v="Paid"/>
    <x v="0"/>
    <m/>
    <m/>
    <m/>
    <m/>
    <m/>
    <x v="1"/>
    <m/>
    <m/>
  </r>
  <r>
    <s v="ORD-2025-10653"/>
    <x v="576"/>
    <s v="2025-03-21"/>
    <m/>
    <n v="0"/>
    <s v="CUST-8177"/>
    <s v="Sneha Kapoor"/>
    <s v="Sneha Kapoor"/>
    <s v="Consumer"/>
    <x v="0"/>
    <x v="0"/>
    <s v="Uttar Pradesh"/>
    <s v="Noida"/>
    <s v="Office Supplies"/>
    <x v="0"/>
    <x v="9"/>
    <s v="Smart Binders 999"/>
    <x v="3"/>
    <s v="Standard Class"/>
    <n v="5"/>
    <n v="4320.59"/>
    <n v="0.15"/>
    <n v="18362.509999999998"/>
    <n v="11133.97"/>
    <n v="7228.54"/>
    <s v="Paid"/>
    <x v="0"/>
    <m/>
    <m/>
    <m/>
    <m/>
    <m/>
    <x v="1"/>
    <m/>
    <m/>
  </r>
  <r>
    <s v="ORD-2025-10654"/>
    <x v="577"/>
    <s v="04/07/2025"/>
    <m/>
    <n v="0"/>
    <s v="CUST-3970"/>
    <s v="Priya Menon"/>
    <s v="Priya Menon"/>
    <s v="Small Business"/>
    <x v="1"/>
    <x v="2"/>
    <s v="Tamil Nadu"/>
    <s v="Chennai"/>
    <s v="Technology"/>
    <x v="2"/>
    <x v="6"/>
    <s v="Max Copiers 356"/>
    <x v="0"/>
    <s v="Second Class"/>
    <n v="7"/>
    <n v="4457.93"/>
    <n v="0.15"/>
    <n v="26524.68"/>
    <n v="20574.3"/>
    <n v="5950.38"/>
    <s v="Paid"/>
    <x v="0"/>
    <m/>
    <m/>
    <m/>
    <m/>
    <m/>
    <x v="1"/>
    <m/>
    <m/>
  </r>
  <r>
    <s v="ORD-2025-10655"/>
    <x v="578"/>
    <s v="16-10-2025"/>
    <m/>
    <n v="0"/>
    <s v="CUST-8249"/>
    <s v="Diya Patel"/>
    <s v="Diya Patel"/>
    <s v="Corporate"/>
    <x v="2"/>
    <x v="1"/>
    <s v="Bihar"/>
    <s v="Patna"/>
    <s v="Technology"/>
    <x v="2"/>
    <x v="12"/>
    <s v="Classic Machines 639"/>
    <x v="1"/>
    <s v="Same Day"/>
    <n v="1"/>
    <n v="2570.06"/>
    <n v="0.2"/>
    <n v="2056.0500000000002"/>
    <n v="1662.39"/>
    <n v="393.66"/>
    <s v="Paid"/>
    <x v="0"/>
    <m/>
    <m/>
    <m/>
    <m/>
    <m/>
    <x v="1"/>
    <m/>
    <m/>
  </r>
  <r>
    <s v="ORD-2025-10656"/>
    <x v="579"/>
    <s v="08/26/2025"/>
    <m/>
    <n v="0"/>
    <s v="CUST-8039"/>
    <s v="Neha Gupta"/>
    <s v="Neha Gupta"/>
    <s v="Home Office"/>
    <x v="3"/>
    <x v="1"/>
    <s v="West Bengal"/>
    <s v="Kolkata"/>
    <s v="Furniture"/>
    <x v="1"/>
    <x v="3"/>
    <s v="Smart Furnishings 748"/>
    <x v="3"/>
    <s v="Standard Class"/>
    <n v="4"/>
    <n v="2151.8200000000002"/>
    <n v="0"/>
    <n v="8607.2800000000007"/>
    <n v="5124.01"/>
    <n v="3483.27"/>
    <s v="Paid"/>
    <x v="0"/>
    <m/>
    <m/>
    <m/>
    <m/>
    <m/>
    <x v="1"/>
    <m/>
    <m/>
  </r>
  <r>
    <s v="ORD-2024-10657"/>
    <x v="580"/>
    <s v="05/14/2024"/>
    <m/>
    <n v="0"/>
    <s v="CUST-4446"/>
    <s v="Neha Gupta"/>
    <s v="Neha Gupta"/>
    <s v="Small Business"/>
    <x v="1"/>
    <x v="0"/>
    <s v="Haryana"/>
    <s v="Gurugram"/>
    <s v="Technology"/>
    <x v="2"/>
    <x v="12"/>
    <s v="Pro Machines 589"/>
    <x v="1"/>
    <s v="Same Day"/>
    <n v="4"/>
    <n v="2751.1"/>
    <n v="-0.05"/>
    <n v="9903.9599999999991"/>
    <n v="7696.28"/>
    <n v="2207.6799999999998"/>
    <s v="Paid"/>
    <x v="0"/>
    <m/>
    <m/>
    <m/>
    <m/>
    <m/>
    <x v="1"/>
    <m/>
    <m/>
  </r>
  <r>
    <s v="ORD-2025-10658"/>
    <x v="581"/>
    <s v="2025-08-10"/>
    <m/>
    <n v="0"/>
    <s v="CUST-7787"/>
    <s v="Aditi Sen"/>
    <s v="Aditi Sen"/>
    <s v="Home Office"/>
    <x v="3"/>
    <x v="1"/>
    <s v="Bihar"/>
    <s v="Patna"/>
    <s v="Office Supplies"/>
    <x v="0"/>
    <x v="8"/>
    <s v="Eco Storage 316"/>
    <x v="0"/>
    <s v="Second Class"/>
    <n v="1"/>
    <n v="2541.25"/>
    <n v="0.2"/>
    <n v="2033"/>
    <n v="1291.4100000000001"/>
    <n v="741.59"/>
    <s v="Paid"/>
    <x v="0"/>
    <m/>
    <m/>
    <m/>
    <m/>
    <m/>
    <x v="1"/>
    <m/>
    <m/>
  </r>
  <r>
    <s v="ORD-2025-10659"/>
    <x v="582"/>
    <s v="06/12/2025"/>
    <s v="OK"/>
    <s v="OK"/>
    <s v="CUST-9074"/>
    <s v="Sneha Kapoor"/>
    <s v="Sneha Kapoor"/>
    <s v="Consumer"/>
    <x v="0"/>
    <x v="1"/>
    <s v="Bihar"/>
    <s v="Patna"/>
    <s v="Office Supplies"/>
    <x v="0"/>
    <x v="2"/>
    <s v="Eco Art 763"/>
    <x v="2"/>
    <s v="First Class"/>
    <n v="7"/>
    <n v="2852.42"/>
    <n v="0"/>
    <n v="19966.939999999999"/>
    <n v="12690.83"/>
    <n v="7276.11"/>
    <s v="Refunded"/>
    <x v="1"/>
    <m/>
    <m/>
    <m/>
    <m/>
    <m/>
    <x v="1"/>
    <m/>
    <m/>
  </r>
  <r>
    <s v="ORD-2025-10660"/>
    <x v="20"/>
    <s v="2025-01-22"/>
    <m/>
    <n v="0"/>
    <s v="CUST-8330"/>
    <s v="Diya Patel"/>
    <s v="Diya Patel"/>
    <s v="Corporate"/>
    <x v="2"/>
    <x v="2"/>
    <s v="Karnataka"/>
    <s v="Bengaluru"/>
    <s v="Technology"/>
    <x v="2"/>
    <x v="11"/>
    <s v="Pro Phones 356"/>
    <x v="0"/>
    <s v="Second Class"/>
    <n v="2"/>
    <n v="444.31"/>
    <n v="0.2"/>
    <n v="710.9"/>
    <n v="513.88"/>
    <n v="197.02"/>
    <s v="Refunded"/>
    <x v="1"/>
    <m/>
    <m/>
    <m/>
    <m/>
    <m/>
    <x v="1"/>
    <m/>
    <m/>
  </r>
  <r>
    <s v="ORD-2025-10661"/>
    <x v="18"/>
    <s v="15-07-2025"/>
    <m/>
    <n v="0"/>
    <s v="CUST-5638"/>
    <s v="Arjun Bose"/>
    <s v="Arjun Bose"/>
    <s v="Small Business"/>
    <x v="1"/>
    <x v="1"/>
    <s v="Jharkhand"/>
    <s v="Ranchi"/>
    <s v="Technology"/>
    <x v="2"/>
    <x v="11"/>
    <s v="Basic Phones 865"/>
    <x v="1"/>
    <s v="Same Day"/>
    <n v="4"/>
    <n v="4442.91"/>
    <n v="0.1"/>
    <n v="15994.48"/>
    <n v="9224.2800000000007"/>
    <n v="6770.2"/>
    <s v="Paid"/>
    <x v="0"/>
    <m/>
    <m/>
    <m/>
    <m/>
    <m/>
    <x v="1"/>
    <m/>
    <m/>
  </r>
  <r>
    <s v="ORD-2024-10662"/>
    <x v="583"/>
    <s v="2024-05-22"/>
    <m/>
    <n v="0"/>
    <s v="CUST-4537"/>
    <s v="Sneha Kapoor"/>
    <s v="Sneha Kapoor"/>
    <s v="Consumer"/>
    <x v="0"/>
    <x v="2"/>
    <s v="Andhra Pradesh"/>
    <s v="Vijayawada"/>
    <s v="Technology"/>
    <x v="2"/>
    <x v="12"/>
    <s v="Max Machines 595"/>
    <x v="0"/>
    <s v="Second Class"/>
    <n v="7"/>
    <n v="232.5"/>
    <n v="0"/>
    <n v="1627.5"/>
    <n v="939.9"/>
    <n v="687.6"/>
    <s v="Paid"/>
    <x v="0"/>
    <m/>
    <m/>
    <m/>
    <m/>
    <m/>
    <x v="1"/>
    <m/>
    <m/>
  </r>
  <r>
    <s v="ORD-2024-10663"/>
    <x v="584"/>
    <s v="18-01-2024"/>
    <m/>
    <n v="0"/>
    <s v="CUST-3181"/>
    <s v="Mira Das"/>
    <s v="Mira Das"/>
    <s v="Home Office"/>
    <x v="3"/>
    <x v="3"/>
    <s v="Rajasthan"/>
    <s v="Udaipur"/>
    <s v="Technology"/>
    <x v="2"/>
    <x v="12"/>
    <s v="Elite Machines 367"/>
    <x v="1"/>
    <s v="Same Day"/>
    <n v="6"/>
    <n v="1784.8"/>
    <n v="0.1"/>
    <n v="9637.92"/>
    <n v="7329.29"/>
    <n v="2308.63"/>
    <s v="Paid"/>
    <x v="0"/>
    <m/>
    <m/>
    <m/>
    <m/>
    <m/>
    <x v="1"/>
    <m/>
    <m/>
  </r>
  <r>
    <s v="ORD-2024-10664"/>
    <x v="585"/>
    <s v="2024-05-08"/>
    <m/>
    <n v="0"/>
    <s v="CUST-1015"/>
    <s v="Rahul Verma"/>
    <s v="Rahul Verma"/>
    <s v="Home Office"/>
    <x v="3"/>
    <x v="1"/>
    <s v="Jharkhand"/>
    <s v="Ranchi"/>
    <s v="Technology"/>
    <x v="2"/>
    <x v="6"/>
    <s v="Basic Copiers 787"/>
    <x v="0"/>
    <s v="Second Class"/>
    <n v="2"/>
    <n v="3185.01"/>
    <n v="-0.24"/>
    <n v="4777.5200000000004"/>
    <n v="3152.98"/>
    <n v="1624.54"/>
    <s v="Paid"/>
    <x v="0"/>
    <m/>
    <m/>
    <m/>
    <m/>
    <m/>
    <x v="1"/>
    <m/>
    <m/>
  </r>
  <r>
    <s v="ORD-2024-10665"/>
    <x v="586"/>
    <s v="10 Dec 2024"/>
    <m/>
    <n v="0"/>
    <s v="CUST-2709"/>
    <s v="Mira Das"/>
    <s v="Mira Das"/>
    <s v="Home Office"/>
    <x v="3"/>
    <x v="2"/>
    <s v="Telangana"/>
    <s v="Hyderabad"/>
    <s v="Technology"/>
    <x v="2"/>
    <x v="5"/>
    <s v="Max Accessories 903"/>
    <x v="3"/>
    <s v="Standard Class"/>
    <n v="1"/>
    <n v="1908.83"/>
    <n v="0.2"/>
    <n v="1527.06"/>
    <n v="1055.8900000000001"/>
    <n v="471.17"/>
    <s v="Paid"/>
    <x v="0"/>
    <m/>
    <m/>
    <m/>
    <m/>
    <m/>
    <x v="1"/>
    <m/>
    <m/>
  </r>
  <r>
    <s v="ORD-2025-10666"/>
    <x v="587"/>
    <s v="01/13/2025"/>
    <m/>
    <n v="0"/>
    <s v="CUST-1197"/>
    <s v="Rahul Verma"/>
    <s v="Rahul Verma"/>
    <s v="Home Office"/>
    <x v="3"/>
    <x v="3"/>
    <s v="Gujarat"/>
    <s v="Ahmedabad"/>
    <s v="Office Supplies"/>
    <x v="0"/>
    <x v="2"/>
    <s v="Max Art 660"/>
    <x v="3"/>
    <s v="Standard Class"/>
    <n v="3"/>
    <n v="2110.52"/>
    <n v="0.1"/>
    <n v="5698.4"/>
    <n v="3640.89"/>
    <n v="2057.5100000000002"/>
    <s v="Failed"/>
    <x v="1"/>
    <m/>
    <m/>
    <m/>
    <m/>
    <m/>
    <x v="1"/>
    <m/>
    <m/>
  </r>
  <r>
    <s v="ORD-2024-10667"/>
    <x v="547"/>
    <s v="06/26/2024"/>
    <m/>
    <n v="0"/>
    <s v="CUST-7758"/>
    <s v="Rohan Mehta"/>
    <s v="Rohan Mehta"/>
    <s v="Small Business"/>
    <x v="1"/>
    <x v="0"/>
    <s v="Punjab"/>
    <s v="Ludhiana"/>
    <s v="Technology"/>
    <x v="2"/>
    <x v="6"/>
    <s v="Classic Copiers 908"/>
    <x v="1"/>
    <s v="Same Day"/>
    <n v="1"/>
    <n v="279.83"/>
    <n v="0.05"/>
    <n v="265.83999999999997"/>
    <n v="223.49"/>
    <n v="42.35"/>
    <s v="Paid"/>
    <x v="0"/>
    <m/>
    <m/>
    <m/>
    <m/>
    <m/>
    <x v="1"/>
    <m/>
    <m/>
  </r>
  <r>
    <s v="ORD-2025-10668"/>
    <x v="588"/>
    <s v="27-05-2025"/>
    <m/>
    <n v="0"/>
    <s v="CUST-3912"/>
    <s v="Diya Patel"/>
    <s v="Diya Patel"/>
    <s v="Small Business"/>
    <x v="1"/>
    <x v="1"/>
    <s v="Bihar"/>
    <s v="Patna"/>
    <s v="Technology"/>
    <x v="2"/>
    <x v="12"/>
    <s v="Pro Machines 706"/>
    <x v="3"/>
    <s v="Standard Class"/>
    <n v="1"/>
    <n v="3959.14"/>
    <n v="0"/>
    <n v="3959.14"/>
    <n v="3239.53"/>
    <n v="719.61"/>
    <s v="Pending"/>
    <x v="2"/>
    <m/>
    <m/>
    <m/>
    <m/>
    <m/>
    <x v="1"/>
    <m/>
    <m/>
  </r>
  <r>
    <s v="ORD-2024-10669"/>
    <x v="589"/>
    <s v="23 Nov 2024"/>
    <m/>
    <n v="0"/>
    <s v="CUST-4190"/>
    <s v="Mira Das"/>
    <s v="Mira Das"/>
    <s v="Corporate"/>
    <x v="2"/>
    <x v="3"/>
    <s v="Gujarat"/>
    <s v="Ahmedabad"/>
    <s v="Office Supplies"/>
    <x v="0"/>
    <x v="0"/>
    <s v="Pro Paper 187"/>
    <x v="0"/>
    <s v="Second Class"/>
    <n v="5"/>
    <n v="600.46"/>
    <n v="0.2"/>
    <n v="2401.84"/>
    <n v="1873.11"/>
    <n v="528.73"/>
    <s v="Paid"/>
    <x v="0"/>
    <m/>
    <m/>
    <m/>
    <m/>
    <m/>
    <x v="1"/>
    <m/>
    <m/>
  </r>
  <r>
    <s v="ORD-2024-10670"/>
    <x v="590"/>
    <s v="01 Apr 2024"/>
    <m/>
    <n v="0"/>
    <s v="CUST-7568"/>
    <s v="Ananya Rao"/>
    <s v="Ananya Rao"/>
    <s v="Home Office"/>
    <x v="3"/>
    <x v="3"/>
    <s v="Maharashtra"/>
    <s v="Mumbai"/>
    <s v="Furniture"/>
    <x v="1"/>
    <x v="1"/>
    <s v="Classic Tables 606"/>
    <x v="0"/>
    <s v="Second Class"/>
    <n v="4"/>
    <n v="1700.72"/>
    <n v="0.25"/>
    <n v="5102.16"/>
    <n v="3226.45"/>
    <n v="1875.71"/>
    <s v="Paid"/>
    <x v="0"/>
    <m/>
    <m/>
    <m/>
    <m/>
    <m/>
    <x v="1"/>
    <m/>
    <m/>
  </r>
  <r>
    <s v="ORD-2025-10671"/>
    <x v="591"/>
    <s v="06 Feb 2025"/>
    <m/>
    <n v="0"/>
    <s v="CUST-5604"/>
    <s v="Sneha Kapoor"/>
    <s v="Sneha Kapoor"/>
    <s v="Corporate"/>
    <x v="2"/>
    <x v="0"/>
    <s v="Uttar Pradesh"/>
    <s v="Noida"/>
    <s v="Furniture"/>
    <x v="1"/>
    <x v="1"/>
    <s v="Smart Tables 835"/>
    <x v="3"/>
    <s v="Standard Class"/>
    <n v="8"/>
    <n v="857.86"/>
    <n v="0.1"/>
    <n v="6176.59"/>
    <n v="3560.96"/>
    <n v="2615.63"/>
    <s v="Paid"/>
    <x v="0"/>
    <m/>
    <m/>
    <m/>
    <m/>
    <m/>
    <x v="1"/>
    <m/>
    <m/>
  </r>
  <r>
    <s v="ORD-2024-10672"/>
    <x v="592"/>
    <s v="27-03-2024"/>
    <m/>
    <n v="0"/>
    <s v="CUST-3293"/>
    <s v="Aditi Sen"/>
    <s v="Aditi Sen"/>
    <s v="Home Office"/>
    <x v="3"/>
    <x v="3"/>
    <s v="Goa"/>
    <s v="Panaji"/>
    <s v="Technology"/>
    <x v="2"/>
    <x v="6"/>
    <s v="Classic Copiers 583"/>
    <x v="0"/>
    <s v="Second Class"/>
    <n v="9"/>
    <n v="3649.51"/>
    <n v="0.05"/>
    <n v="31203.31"/>
    <n v="17738.13"/>
    <n v="13465.18"/>
    <s v="Paid"/>
    <x v="0"/>
    <m/>
    <m/>
    <m/>
    <m/>
    <m/>
    <x v="1"/>
    <m/>
    <m/>
  </r>
  <r>
    <s v="ORD-2024-10673"/>
    <x v="593"/>
    <s v="2024-09-05"/>
    <m/>
    <n v="0"/>
    <s v="CUST-8180"/>
    <s v="Aditi Sen"/>
    <s v="Aditi Sen"/>
    <s v="Corporate"/>
    <x v="2"/>
    <x v="3"/>
    <s v="Madhya Pradesh"/>
    <s v="Indore"/>
    <s v="Furniture"/>
    <x v="1"/>
    <x v="4"/>
    <s v="Classic Chairs 460"/>
    <x v="3"/>
    <s v="Standard Class"/>
    <n v="5"/>
    <n v="2528.5300000000002"/>
    <n v="0.05"/>
    <n v="12010.52"/>
    <n v="7864.61"/>
    <n v="4145.91"/>
    <s v="Paid"/>
    <x v="2"/>
    <m/>
    <m/>
    <m/>
    <m/>
    <m/>
    <x v="1"/>
    <m/>
    <m/>
  </r>
  <r>
    <s v="ORD-2025-10674"/>
    <x v="594"/>
    <s v="16 Feb 2025"/>
    <m/>
    <n v="0"/>
    <s v="CUST-2807"/>
    <s v="Arjun Bose"/>
    <s v="Arjun Bose"/>
    <s v="Small Business"/>
    <x v="1"/>
    <x v="3"/>
    <s v="Rajasthan"/>
    <s v="Udaipur"/>
    <s v="Furniture"/>
    <x v="1"/>
    <x v="10"/>
    <s v="Classic Bookcases 488"/>
    <x v="0"/>
    <s v="Second Class"/>
    <n v="4"/>
    <n v="4072.9"/>
    <n v="0.15"/>
    <n v="13847.86"/>
    <n v="8471.7800000000007"/>
    <n v="5376.08"/>
    <s v="Paid"/>
    <x v="0"/>
    <m/>
    <m/>
    <m/>
    <m/>
    <m/>
    <x v="1"/>
    <m/>
    <m/>
  </r>
  <r>
    <s v="ORD-2024-10675"/>
    <x v="595"/>
    <s v="2024-05-21"/>
    <m/>
    <n v="0"/>
    <s v="CUST-4081"/>
    <s v="Vikram Iyer"/>
    <s v="Vikram Iyer"/>
    <s v="Corporate"/>
    <x v="2"/>
    <x v="1"/>
    <s v="Jharkhand"/>
    <s v="Ranchi"/>
    <s v="Technology"/>
    <x v="2"/>
    <x v="5"/>
    <s v="Basic Accessories 944"/>
    <x v="0"/>
    <s v="Second Class"/>
    <n v="1"/>
    <n v="1033.71"/>
    <n v="0"/>
    <n v="1033.71"/>
    <n v="630.82000000000005"/>
    <n v="402.89"/>
    <s v="Pending"/>
    <x v="2"/>
    <m/>
    <m/>
    <m/>
    <m/>
    <m/>
    <x v="1"/>
    <m/>
    <m/>
  </r>
  <r>
    <s v="ORD-2025-10676"/>
    <x v="596"/>
    <s v="06/10/2025"/>
    <m/>
    <n v="0"/>
    <s v="CUST-5061"/>
    <s v="Aarav Sharma"/>
    <s v="Aarav Sharma"/>
    <s v="Consumer"/>
    <x v="0"/>
    <x v="0"/>
    <s v="Rajasthan"/>
    <s v="Jaipur"/>
    <s v="Furniture"/>
    <x v="1"/>
    <x v="3"/>
    <s v="Eco Furnishings 217"/>
    <x v="1"/>
    <s v="Same Day"/>
    <n v="3"/>
    <n v="963.26"/>
    <n v="0"/>
    <n v="2889.78"/>
    <n v="1811.23"/>
    <n v="1078.55"/>
    <s v="Paid"/>
    <x v="0"/>
    <m/>
    <m/>
    <m/>
    <m/>
    <m/>
    <x v="1"/>
    <m/>
    <m/>
  </r>
  <r>
    <s v="ORD-2025-10677"/>
    <x v="597"/>
    <s v="09/18/2025"/>
    <m/>
    <n v="0"/>
    <s v="CUST-9212"/>
    <s v="Rahul Verma"/>
    <s v="Rahul Verma"/>
    <s v="Small Business"/>
    <x v="1"/>
    <x v="0"/>
    <s v="Delhi"/>
    <s v="New Delhi"/>
    <s v="Technology"/>
    <x v="2"/>
    <x v="11"/>
    <s v="Smart Phones 967"/>
    <x v="1"/>
    <s v="Same Day"/>
    <n v="7"/>
    <n v="3411.21"/>
    <n v="0.15"/>
    <n v="20296.7"/>
    <n v="14920.87"/>
    <n v="5375.83"/>
    <s v="Paid"/>
    <x v="0"/>
    <m/>
    <m/>
    <m/>
    <m/>
    <m/>
    <x v="1"/>
    <m/>
    <m/>
  </r>
  <r>
    <s v="ORD-2024-10678"/>
    <x v="598"/>
    <s v="27-06-2024"/>
    <m/>
    <n v="0"/>
    <s v="CUST-4655"/>
    <s v="Isha Nair"/>
    <s v="Isha Nair"/>
    <s v="Home Office"/>
    <x v="3"/>
    <x v="2"/>
    <s v="Karnataka"/>
    <s v="Bengaluru"/>
    <s v="Furniture"/>
    <x v="1"/>
    <x v="4"/>
    <s v="Smart Chairs 610"/>
    <x v="1"/>
    <s v="Same Day"/>
    <n v="7"/>
    <n v="2623.48"/>
    <n v="0"/>
    <n v="18364.36"/>
    <n v="15445.81"/>
    <n v="2918.55"/>
    <s v="Paid"/>
    <x v="0"/>
    <m/>
    <m/>
    <m/>
    <m/>
    <m/>
    <x v="1"/>
    <m/>
    <m/>
  </r>
  <r>
    <s v="ORD-2024-10679"/>
    <x v="599"/>
    <s v="12/01/2024"/>
    <m/>
    <n v="0"/>
    <s v="CUST-1674"/>
    <s v="Kabir Singh"/>
    <s v="Kabir Singh"/>
    <s v="Corporate"/>
    <x v="2"/>
    <x v="2"/>
    <s v="Karnataka"/>
    <s v="Bengaluru"/>
    <s v="Furniture"/>
    <x v="1"/>
    <x v="1"/>
    <s v="Prime Tables 123"/>
    <x v="0"/>
    <s v="Second Class"/>
    <n v="9"/>
    <n v="2763.61"/>
    <n v="0.15"/>
    <n v="21141.62"/>
    <n v="11676.33"/>
    <n v="9465.2900000000009"/>
    <s v="Paid"/>
    <x v="0"/>
    <m/>
    <m/>
    <m/>
    <m/>
    <m/>
    <x v="1"/>
    <m/>
    <m/>
  </r>
  <r>
    <s v="ORD-2025-10680"/>
    <x v="600"/>
    <s v="23-08-2025"/>
    <m/>
    <n v="0"/>
    <s v="CUST-2897"/>
    <s v="Rohan Mehta"/>
    <s v="Rohan Mehta"/>
    <s v="Corporate"/>
    <x v="2"/>
    <x v="0"/>
    <s v="Punjab"/>
    <s v="Ludhiana"/>
    <s v="Technology"/>
    <x v="2"/>
    <x v="6"/>
    <s v="Smart Copiers 579"/>
    <x v="1"/>
    <s v="Same Day"/>
    <n v="4"/>
    <n v="1410.57"/>
    <s v="70%"/>
    <n v="5360.17"/>
    <n v="3881.51"/>
    <n v="1478.66"/>
    <s v="Refunded"/>
    <x v="1"/>
    <m/>
    <m/>
    <m/>
    <m/>
    <m/>
    <x v="1"/>
    <m/>
    <m/>
  </r>
  <r>
    <s v="ORD-2024-10681"/>
    <x v="500"/>
    <s v="05 Jun 2024"/>
    <m/>
    <n v="0"/>
    <s v="CUST-1136"/>
    <s v="Kabir Singh"/>
    <s v="Kabir Singh"/>
    <s v="Corporate"/>
    <x v="2"/>
    <x v="2"/>
    <s v="Tamil Nadu"/>
    <s v="Chennai"/>
    <s v="Technology"/>
    <x v="2"/>
    <x v="5"/>
    <s v="Eco Accessories 658"/>
    <x v="2"/>
    <s v="First Class"/>
    <n v="4"/>
    <n v="3700.24"/>
    <n v="0"/>
    <n v="14800.96"/>
    <n v="12048.39"/>
    <n v="2752.57"/>
    <s v="Paid"/>
    <x v="0"/>
    <m/>
    <m/>
    <m/>
    <m/>
    <m/>
    <x v="1"/>
    <m/>
    <m/>
  </r>
  <r>
    <s v="ORD-2024-10682"/>
    <x v="601"/>
    <s v="2024-07-10"/>
    <m/>
    <n v="0"/>
    <s v="CUST-1376"/>
    <s v="Vikram Iyer"/>
    <s v="Vikram Iyer"/>
    <s v="Corporate"/>
    <x v="2"/>
    <x v="0"/>
    <s v="Delhi"/>
    <s v="New Delhi"/>
    <s v="Furniture"/>
    <x v="1"/>
    <x v="1"/>
    <s v="Smart Tables 777"/>
    <x v="0"/>
    <s v="Second Class"/>
    <n v="5"/>
    <n v="1200.27"/>
    <n v="0"/>
    <n v="6001.35"/>
    <n v="4182.99"/>
    <n v="1818.36"/>
    <s v="Paid"/>
    <x v="1"/>
    <m/>
    <m/>
    <m/>
    <m/>
    <m/>
    <x v="1"/>
    <m/>
    <m/>
  </r>
  <r>
    <s v="ORD-2025-10683"/>
    <x v="602"/>
    <s v="05-02-2025"/>
    <m/>
    <n v="0"/>
    <s v="CUST-1553"/>
    <s v="Ananya Rao"/>
    <s v="Ananya Rao"/>
    <s v="Corporate"/>
    <x v="2"/>
    <x v="0"/>
    <s v="Haryana"/>
    <s v="Gurugram"/>
    <s v="Office Supplies"/>
    <x v="0"/>
    <x v="8"/>
    <s v="Eco Storage 861"/>
    <x v="1"/>
    <s v="Same Day"/>
    <n v="3"/>
    <n v="2590.7800000000002"/>
    <m/>
    <n v="7383.72"/>
    <n v="4113.66"/>
    <n v="3270.06"/>
    <s v="Paid"/>
    <x v="0"/>
    <m/>
    <m/>
    <m/>
    <m/>
    <m/>
    <x v="1"/>
    <m/>
    <m/>
  </r>
  <r>
    <s v="ORD-2025-10684"/>
    <x v="603"/>
    <s v="24-07-2025"/>
    <m/>
    <n v="0"/>
    <s v="CUST-5704"/>
    <s v="Arjun Bose"/>
    <s v="Arjun Bose"/>
    <s v="Small Business"/>
    <x v="1"/>
    <x v="2"/>
    <s v="Telangana"/>
    <s v="Hyderabad"/>
    <s v="Furniture"/>
    <x v="1"/>
    <x v="3"/>
    <s v="Eco Furnishings 875"/>
    <x v="0"/>
    <s v="Second Class"/>
    <n v="6"/>
    <n v="1646.45"/>
    <n v="0.2"/>
    <n v="7902.96"/>
    <n v="5512.03"/>
    <n v="2390.9299999999998"/>
    <s v="Refunded"/>
    <x v="1"/>
    <m/>
    <m/>
    <m/>
    <m/>
    <m/>
    <x v="1"/>
    <m/>
    <m/>
  </r>
  <r>
    <s v="ORD-2025-10685"/>
    <x v="604"/>
    <s v="21-07-2025"/>
    <m/>
    <n v="0"/>
    <s v="CUST-6738"/>
    <s v="Isha Nair"/>
    <s v="Isha Nair"/>
    <s v="Home Office"/>
    <x v="3"/>
    <x v="2"/>
    <s v="Tamil Nadu"/>
    <s v="Chennai"/>
    <s v="Furniture"/>
    <x v="1"/>
    <x v="10"/>
    <s v="Prime Bookcases 784"/>
    <x v="2"/>
    <s v="First Class"/>
    <n v="7"/>
    <n v="4396.6499999999996"/>
    <n v="0.2"/>
    <n v="24621.24"/>
    <n v="17155.48"/>
    <n v="7465.76"/>
    <s v="Refunded"/>
    <x v="1"/>
    <m/>
    <m/>
    <m/>
    <m/>
    <m/>
    <x v="1"/>
    <m/>
    <m/>
  </r>
  <r>
    <s v="ORD-2025-10686"/>
    <x v="605"/>
    <s v="2025-10-03"/>
    <m/>
    <n v="0"/>
    <s v="CUST-2586"/>
    <s v="Neha Gupta"/>
    <s v="Neha Gupta"/>
    <s v="Corporate"/>
    <x v="2"/>
    <x v="3"/>
    <s v="Goa"/>
    <s v="Panaji"/>
    <s v="Office Supplies"/>
    <x v="0"/>
    <x v="2"/>
    <s v="Classic Art 380"/>
    <x v="3"/>
    <s v="Standard Class"/>
    <n v="9"/>
    <n v="818.15"/>
    <n v="0.55000000000000004"/>
    <n v="6627.01"/>
    <n v="5606.79"/>
    <n v="1020.22"/>
    <s v="Failed"/>
    <x v="1"/>
    <m/>
    <m/>
    <m/>
    <m/>
    <m/>
    <x v="1"/>
    <m/>
    <m/>
  </r>
  <r>
    <s v="ORD-2024-10687"/>
    <x v="606"/>
    <s v="04/02/2024"/>
    <m/>
    <n v="0"/>
    <s v="CUST-3127"/>
    <s v="Sneha Kapoor"/>
    <s v="Sneha Kapoor"/>
    <s v="Home Office"/>
    <x v="3"/>
    <x v="2"/>
    <s v="Tamil Nadu"/>
    <s v="Chennai"/>
    <s v="Technology"/>
    <x v="2"/>
    <x v="6"/>
    <s v="Pro Copiers 502"/>
    <x v="3"/>
    <s v="Standard Class"/>
    <n v="2"/>
    <n v="2349.13"/>
    <n v="0"/>
    <n v="4698.26"/>
    <n v="2654.92"/>
    <n v="2043.34"/>
    <s v="Paid"/>
    <x v="0"/>
    <m/>
    <m/>
    <m/>
    <m/>
    <m/>
    <x v="1"/>
    <m/>
    <m/>
  </r>
  <r>
    <s v="ORD-2025-10688"/>
    <x v="607"/>
    <s v="13-10-2025"/>
    <m/>
    <n v="0"/>
    <s v="CUST-9347"/>
    <s v="Mira Das"/>
    <s v="Mira Das"/>
    <s v="Home Office"/>
    <x v="3"/>
    <x v="0"/>
    <s v="Punjab"/>
    <s v="Ludhiana"/>
    <s v="Furniture"/>
    <x v="1"/>
    <x v="1"/>
    <s v="Prime Tables 604"/>
    <x v="2"/>
    <s v="First Class"/>
    <n v="4"/>
    <n v="172.05"/>
    <n v="0"/>
    <n v="688.2"/>
    <n v="497.68"/>
    <n v="190.52"/>
    <s v="Failed"/>
    <x v="1"/>
    <m/>
    <m/>
    <m/>
    <m/>
    <m/>
    <x v="1"/>
    <m/>
    <m/>
  </r>
  <r>
    <s v="ORD-2025-10689"/>
    <x v="203"/>
    <s v="27 Feb 2025"/>
    <m/>
    <n v="0"/>
    <s v="CUST-8575"/>
    <s v="Neha Gupta"/>
    <s v="Neha Gupta"/>
    <s v="Home Office"/>
    <x v="3"/>
    <x v="0"/>
    <s v="Haryana"/>
    <s v="Gurugram"/>
    <s v="Office Supplies"/>
    <x v="0"/>
    <x v="2"/>
    <s v="Basic Art 798"/>
    <x v="0"/>
    <s v="Second Class"/>
    <n v="6"/>
    <n v="3037.66"/>
    <n v="0.15"/>
    <n v="15492.07"/>
    <n v="12581.23"/>
    <n v="2910.84"/>
    <s v="Paid"/>
    <x v="0"/>
    <m/>
    <m/>
    <m/>
    <m/>
    <m/>
    <x v="1"/>
    <m/>
    <m/>
  </r>
  <r>
    <s v="ORD-2024-10690"/>
    <x v="608"/>
    <s v="06 Oct 2024"/>
    <m/>
    <n v="0"/>
    <s v="CUST-4382"/>
    <s v="Rohan Mehta"/>
    <s v="Rohan Mehta"/>
    <s v="Small Business"/>
    <x v="1"/>
    <x v="0"/>
    <s v="Punjab"/>
    <s v="Ludhiana"/>
    <s v="Furniture"/>
    <x v="1"/>
    <x v="1"/>
    <s v="Elite Tables 717"/>
    <x v="3"/>
    <s v="Standard Class"/>
    <n v="9"/>
    <n v="489.58"/>
    <n v="0.15"/>
    <n v="3745.29"/>
    <n v="2302.65"/>
    <n v="1442.64"/>
    <s v="Failed"/>
    <x v="1"/>
    <m/>
    <m/>
    <m/>
    <m/>
    <m/>
    <x v="1"/>
    <m/>
    <m/>
  </r>
  <r>
    <s v="ORD-2024-10691"/>
    <x v="609"/>
    <s v="2024-09-15"/>
    <m/>
    <n v="0"/>
    <s v="CUST-6815"/>
    <s v="Sneha Kapoor"/>
    <s v="Sneha Kapoor"/>
    <s v="Corporate"/>
    <x v="2"/>
    <x v="2"/>
    <s v="Tamil Nadu"/>
    <s v="Chennai"/>
    <s v="Office Supplies"/>
    <x v="0"/>
    <x v="2"/>
    <s v="Max Art 725"/>
    <x v="3"/>
    <s v="Standard Class"/>
    <n v="4"/>
    <n v="865.63"/>
    <n v="0"/>
    <n v="3462.52"/>
    <n v="2797.29"/>
    <n v="665.23"/>
    <s v="Failed"/>
    <x v="2"/>
    <m/>
    <m/>
    <m/>
    <m/>
    <m/>
    <x v="1"/>
    <m/>
    <m/>
  </r>
  <r>
    <s v="ORD-2024-10692"/>
    <x v="463"/>
    <s v="16-12-2024"/>
    <m/>
    <n v="0"/>
    <s v="CUST-7309"/>
    <s v="Rohan Mehta"/>
    <s v="Rohan Mehta"/>
    <s v="Consumer"/>
    <x v="0"/>
    <x v="1"/>
    <s v="Odisha"/>
    <s v="Bhubaneswar"/>
    <s v="Technology"/>
    <x v="2"/>
    <x v="6"/>
    <s v="Smart Copiers 456"/>
    <x v="0"/>
    <s v="Second Class"/>
    <n v="6"/>
    <n v="1538.1"/>
    <n v="0.05"/>
    <n v="8767.17"/>
    <n v="5098.2"/>
    <n v="3668.97"/>
    <s v="Paid"/>
    <x v="0"/>
    <m/>
    <m/>
    <m/>
    <m/>
    <m/>
    <x v="1"/>
    <m/>
    <m/>
  </r>
  <r>
    <s v="ORD-2025-10693"/>
    <x v="610"/>
    <s v="10-10-2025"/>
    <m/>
    <n v="0"/>
    <s v="CUST-9531"/>
    <s v="Isha Nair"/>
    <s v="Isha Nair"/>
    <s v="Corporate"/>
    <x v="2"/>
    <x v="2"/>
    <s v="Karnataka"/>
    <s v="Bengaluru"/>
    <s v="Furniture"/>
    <x v="1"/>
    <x v="3"/>
    <s v="Prime Furnishings 883"/>
    <x v="0"/>
    <s v="Second Class"/>
    <n v="4"/>
    <n v="2365.6799999999998"/>
    <n v="0.1"/>
    <n v="8516.4500000000007"/>
    <n v="5903.81"/>
    <n v="2612.64"/>
    <s v="Paid"/>
    <x v="0"/>
    <m/>
    <m/>
    <m/>
    <m/>
    <m/>
    <x v="1"/>
    <m/>
    <m/>
  </r>
  <r>
    <s v="ORD-2025-10694"/>
    <x v="611"/>
    <s v="2025-04-11"/>
    <m/>
    <n v="0"/>
    <s v="CUST-6032"/>
    <s v="Arjun Bose"/>
    <s v="Arjun Bose"/>
    <s v="Consumer"/>
    <x v="0"/>
    <x v="2"/>
    <s v="Tamil Nadu"/>
    <s v="Chennai"/>
    <s v="Furniture"/>
    <x v="1"/>
    <x v="10"/>
    <s v="Smart Bookcases 828"/>
    <x v="0"/>
    <s v="Second Class"/>
    <n v="3"/>
    <n v="4149.7700000000004"/>
    <n v="0.05"/>
    <n v="11826.84"/>
    <n v="8035.96"/>
    <n v="3790.88"/>
    <s v="Paid"/>
    <x v="0"/>
    <m/>
    <m/>
    <m/>
    <m/>
    <m/>
    <x v="1"/>
    <m/>
    <m/>
  </r>
  <r>
    <s v="ORD-2025-10695"/>
    <x v="612"/>
    <s v="09-08-2025"/>
    <m/>
    <n v="0"/>
    <s v="CUST-8025"/>
    <s v="Isha Nair"/>
    <s v="Isha Nair"/>
    <s v="Consumer"/>
    <x v="0"/>
    <x v="2"/>
    <s v="Andhra Pradesh"/>
    <s v="Vijayawada"/>
    <s v="Office Supplies"/>
    <x v="0"/>
    <x v="8"/>
    <s v="Classic Storage 291"/>
    <x v="2"/>
    <s v="First Class"/>
    <n v="5"/>
    <n v="2736.24"/>
    <n v="0.15"/>
    <n v="11629.02"/>
    <n v="9627.2099999999991"/>
    <n v="2001.81"/>
    <s v="Paid"/>
    <x v="0"/>
    <m/>
    <m/>
    <m/>
    <m/>
    <m/>
    <x v="1"/>
    <m/>
    <m/>
  </r>
  <r>
    <s v="ORD-2024-10696"/>
    <x v="613"/>
    <s v="01-07-2024"/>
    <m/>
    <n v="0"/>
    <s v="CUST-6257"/>
    <s v="Aarav Sharma"/>
    <s v="Aarav Sharma"/>
    <s v="Consumer"/>
    <x v="0"/>
    <x v="3"/>
    <s v="Madhya Pradesh"/>
    <s v="Indore"/>
    <s v="Technology"/>
    <x v="2"/>
    <x v="12"/>
    <s v="Prime Machines 102"/>
    <x v="3"/>
    <s v="Standard Class"/>
    <n v="4"/>
    <n v="257.39"/>
    <n v="0"/>
    <n v="1029.56"/>
    <n v="626.33000000000004"/>
    <n v="403.23"/>
    <s v="Paid"/>
    <x v="0"/>
    <m/>
    <m/>
    <m/>
    <m/>
    <m/>
    <x v="1"/>
    <m/>
    <m/>
  </r>
  <r>
    <s v="ORD-2025-10697"/>
    <x v="614"/>
    <s v="25 Sep 2025"/>
    <m/>
    <n v="0"/>
    <s v="CUST-7812"/>
    <s v="Isha Nair"/>
    <s v="Isha Nair"/>
    <s v="Small Business"/>
    <x v="1"/>
    <x v="2"/>
    <s v="Kerala"/>
    <s v="Kochi"/>
    <s v="Technology"/>
    <x v="2"/>
    <x v="11"/>
    <s v="Classic Phones 842"/>
    <x v="4"/>
    <s v=""/>
    <n v="4"/>
    <n v="1178.8399999999999"/>
    <n v="0.25"/>
    <n v="3536.52"/>
    <n v="2102.41"/>
    <n v="1363.28"/>
    <s v="Paid"/>
    <x v="0"/>
    <m/>
    <m/>
    <m/>
    <m/>
    <m/>
    <x v="1"/>
    <m/>
    <m/>
  </r>
  <r>
    <s v="ORD-2025-10698"/>
    <x v="436"/>
    <s v="07-03-2025"/>
    <m/>
    <n v="0"/>
    <s v="CUST-6205"/>
    <s v="Arjun Bose"/>
    <s v="Arjun Bose"/>
    <s v="Corporate"/>
    <x v="2"/>
    <x v="2"/>
    <s v="Andhra Pradesh"/>
    <s v="Vijayawada"/>
    <s v="Office Supplies"/>
    <x v="0"/>
    <x v="7"/>
    <s v="Max Labels 970"/>
    <x v="2"/>
    <s v="First Class"/>
    <n v="7"/>
    <n v="567.15"/>
    <m/>
    <n v="2977.54"/>
    <n v="1849.3"/>
    <n v="1128.24"/>
    <s v="Refunded"/>
    <x v="2"/>
    <m/>
    <m/>
    <m/>
    <m/>
    <m/>
    <x v="1"/>
    <m/>
    <m/>
  </r>
  <r>
    <s v="ORD-2024-10699"/>
    <x v="615"/>
    <s v="2024-09-14"/>
    <m/>
    <n v="0"/>
    <s v="CUST-5357"/>
    <s v="Mira Das"/>
    <s v="Mira Das"/>
    <s v="Corporate"/>
    <x v="2"/>
    <x v="0"/>
    <s v="Rajasthan"/>
    <s v="Jaipur"/>
    <s v="Technology"/>
    <x v="2"/>
    <x v="12"/>
    <s v="Classic Machines 648"/>
    <x v="3"/>
    <s v="Standard Class"/>
    <n v="8"/>
    <n v="4081.66"/>
    <n v="0.15"/>
    <n v="28208.1"/>
    <n v="23751.91"/>
    <n v="4003.38"/>
    <s v="Paid"/>
    <x v="2"/>
    <m/>
    <m/>
    <m/>
    <m/>
    <m/>
    <x v="1"/>
    <m/>
    <m/>
  </r>
  <r>
    <s v="ORD-2024-10700"/>
    <x v="616"/>
    <s v="11 Jun 2024"/>
    <m/>
    <n v="0"/>
    <s v="CUST-9802"/>
    <s v="Arjun Bose"/>
    <s v="Arjun Bose"/>
    <s v="Small Business"/>
    <x v="1"/>
    <x v="2"/>
    <s v="Karnataka"/>
    <s v="Bengaluru"/>
    <s v="Furniture"/>
    <x v="1"/>
    <x v="10"/>
    <s v="Max Bookcases 565"/>
    <x v="3"/>
    <s v="Standard Class"/>
    <n v="9"/>
    <n v="1400.11"/>
    <n v="0.25"/>
    <n v="9450.74"/>
    <n v="7798.56"/>
    <n v="1652.18"/>
    <s v="Paid"/>
    <x v="0"/>
    <m/>
    <m/>
    <m/>
    <m/>
    <m/>
    <x v="1"/>
    <m/>
    <m/>
  </r>
  <r>
    <s v="ORD-2024-10701"/>
    <x v="617"/>
    <s v="09/21/2024"/>
    <m/>
    <n v="0"/>
    <s v="CUST-5646"/>
    <s v="Neha Gupta"/>
    <s v="Neha Gupta"/>
    <s v="Corporate"/>
    <x v="2"/>
    <x v="1"/>
    <s v="West Bengal"/>
    <s v="Kolkata"/>
    <s v="Technology"/>
    <x v="2"/>
    <x v="12"/>
    <s v="Basic Machines 220"/>
    <x v="3"/>
    <s v="Standard Class"/>
    <n v="3"/>
    <n v="3055.9"/>
    <n v="0.15"/>
    <n v="7792.55"/>
    <n v="4691.7299999999996"/>
    <n v="3100.82"/>
    <s v="Paid"/>
    <x v="0"/>
    <m/>
    <m/>
    <m/>
    <m/>
    <m/>
    <x v="1"/>
    <m/>
    <m/>
  </r>
  <r>
    <s v="ORD-2024-10702"/>
    <x v="618"/>
    <s v="04 May 2024"/>
    <m/>
    <n v="0"/>
    <s v="CUST-7171"/>
    <s v="Rohan Mehta"/>
    <s v="Rohan Mehta"/>
    <s v="Small Business"/>
    <x v="1"/>
    <x v="3"/>
    <s v="Gujarat"/>
    <s v="Ahmedabad"/>
    <s v="Office Supplies"/>
    <x v="0"/>
    <x v="2"/>
    <s v="Pro Art 151"/>
    <x v="1"/>
    <s v="Same Day"/>
    <n v="7"/>
    <n v="1224.94"/>
    <n v="0"/>
    <n v="8574.58"/>
    <n v="6685.81"/>
    <n v="1888.77"/>
    <s v="Paid"/>
    <x v="2"/>
    <m/>
    <m/>
    <m/>
    <m/>
    <m/>
    <x v="1"/>
    <m/>
    <m/>
  </r>
  <r>
    <s v="ORD-2025-10703"/>
    <x v="619"/>
    <s v="02/06/2025"/>
    <m/>
    <n v="0"/>
    <s v="CUST-5231"/>
    <s v="Karan Malhotra"/>
    <s v="Karan Malhotra"/>
    <s v="Small Business"/>
    <x v="1"/>
    <x v="3"/>
    <s v="Rajasthan"/>
    <s v="Udaipur"/>
    <s v="Furniture"/>
    <x v="1"/>
    <x v="1"/>
    <s v="Pro Tables 980"/>
    <x v="0"/>
    <s v="Second Class"/>
    <n v="3"/>
    <n v="997.34"/>
    <n v="0.1"/>
    <n v="2692.82"/>
    <n v="1820.08"/>
    <n v="872.74"/>
    <s v="Paid"/>
    <x v="0"/>
    <m/>
    <m/>
    <m/>
    <m/>
    <m/>
    <x v="1"/>
    <m/>
    <m/>
  </r>
  <r>
    <s v="ORD-2024-10704"/>
    <x v="620"/>
    <s v="2024-10-20"/>
    <m/>
    <n v="0"/>
    <s v="CUST-8734"/>
    <s v="Aditi Sen"/>
    <s v="Aditi Sen"/>
    <s v="Corporate"/>
    <x v="2"/>
    <x v="0"/>
    <s v="Rajasthan"/>
    <s v="Jaipur"/>
    <s v="Furniture"/>
    <x v="1"/>
    <x v="1"/>
    <s v="Classic Tables 997"/>
    <x v="2"/>
    <s v="First Class"/>
    <n v="1"/>
    <n v="1150.03"/>
    <n v="0.1"/>
    <n v="1035.03"/>
    <n v="854.35"/>
    <n v="180.68"/>
    <s v="Paid"/>
    <x v="0"/>
    <m/>
    <m/>
    <m/>
    <m/>
    <m/>
    <x v="1"/>
    <m/>
    <m/>
  </r>
  <r>
    <s v="ORD-2024-10705"/>
    <x v="621"/>
    <s v="03/20/2024"/>
    <m/>
    <n v="0"/>
    <s v="CUST-4916"/>
    <s v="Priya Menon"/>
    <s v="Priya Menon"/>
    <s v="Home Office"/>
    <x v="3"/>
    <x v="2"/>
    <s v="Tamil Nadu"/>
    <s v="Chennai"/>
    <s v="Furniture"/>
    <x v="1"/>
    <x v="10"/>
    <s v="Max Bookcases 738"/>
    <x v="4"/>
    <s v=""/>
    <n v="1"/>
    <n v="2825.63"/>
    <n v="0.15"/>
    <n v="2401.79"/>
    <n v="1820.34"/>
    <n v="581.45000000000005"/>
    <s v="Paid"/>
    <x v="0"/>
    <m/>
    <m/>
    <m/>
    <m/>
    <m/>
    <x v="1"/>
    <m/>
    <m/>
  </r>
  <r>
    <s v="ORD-2024-10706"/>
    <x v="622"/>
    <s v="09/14/2024"/>
    <m/>
    <n v="0"/>
    <s v="CUST-3289"/>
    <s v="Rohan Mehta"/>
    <s v="Rohan Mehta"/>
    <s v="Consumer"/>
    <x v="0"/>
    <x v="0"/>
    <s v="Rajasthan"/>
    <s v="Jaipur"/>
    <s v="Office Supplies"/>
    <x v="0"/>
    <x v="9"/>
    <s v="Max Binders 411"/>
    <x v="3"/>
    <s v="Standard Class"/>
    <n v="5"/>
    <n v="3371.75"/>
    <n v="0.05"/>
    <n v="16015.81"/>
    <n v="11352.38"/>
    <n v="4663.43"/>
    <s v="Paid"/>
    <x v="0"/>
    <m/>
    <m/>
    <m/>
    <m/>
    <m/>
    <x v="1"/>
    <m/>
    <m/>
  </r>
  <r>
    <s v="ORD-2024-10707"/>
    <x v="623"/>
    <s v="28-06-2024"/>
    <m/>
    <n v="0"/>
    <s v="CUST-4928"/>
    <s v="Isha Nair"/>
    <s v="Isha Nair"/>
    <s v="Small Business"/>
    <x v="1"/>
    <x v="1"/>
    <s v="Odisha"/>
    <s v="Bhubaneswar"/>
    <s v="Office Supplies"/>
    <x v="0"/>
    <x v="0"/>
    <s v="Max Paper 343"/>
    <x v="1"/>
    <s v="Same Day"/>
    <n v="1"/>
    <n v="2112.75"/>
    <n v="0.1"/>
    <n v="1901.48"/>
    <n v="1354.28"/>
    <n v="547.20000000000005"/>
    <s v="Paid"/>
    <x v="0"/>
    <m/>
    <m/>
    <m/>
    <m/>
    <m/>
    <x v="1"/>
    <m/>
    <m/>
  </r>
  <r>
    <s v="ORD-2025-10708"/>
    <x v="624"/>
    <s v="06/26/2025"/>
    <m/>
    <n v="0"/>
    <s v="CUST-4902"/>
    <s v="Vikram Iyer"/>
    <s v="Vikram Iyer"/>
    <s v="Consumer"/>
    <x v="0"/>
    <x v="0"/>
    <s v="Rajasthan"/>
    <s v="Jaipur"/>
    <s v="Technology"/>
    <x v="2"/>
    <x v="5"/>
    <s v="Pro Accessories 485"/>
    <x v="1"/>
    <s v="Same Day"/>
    <n v="5"/>
    <n v="3722.66"/>
    <n v="0.55000000000000004"/>
    <n v="16751.97"/>
    <n v="11678.32"/>
    <n v="5073.6499999999996"/>
    <s v="Paid"/>
    <x v="0"/>
    <m/>
    <m/>
    <m/>
    <m/>
    <m/>
    <x v="1"/>
    <m/>
    <m/>
  </r>
  <r>
    <s v="ORD-2025-10709"/>
    <x v="625"/>
    <s v="2025-03-26"/>
    <m/>
    <n v="0"/>
    <s v="CUST-6504"/>
    <s v="Sneha Kapoor"/>
    <s v="Sneha Kapoor"/>
    <s v="Consumer"/>
    <x v="0"/>
    <x v="1"/>
    <s v="Assam"/>
    <s v="Guwahati"/>
    <s v="Furniture"/>
    <x v="1"/>
    <x v="10"/>
    <s v="Elite Bookcases 113"/>
    <x v="2"/>
    <s v="First Class"/>
    <n v="4"/>
    <n v="4357.66"/>
    <n v="0.05"/>
    <n v="16559.11"/>
    <n v="13233.79"/>
    <n v="3325.32"/>
    <s v="Paid"/>
    <x v="0"/>
    <m/>
    <m/>
    <m/>
    <m/>
    <m/>
    <x v="1"/>
    <m/>
    <m/>
  </r>
  <r>
    <s v="ORD-2025-10710"/>
    <x v="22"/>
    <s v="23 Jan 2025"/>
    <m/>
    <n v="0"/>
    <s v="CUST-8036"/>
    <s v="Kabir Singh"/>
    <s v="Kabir Singh"/>
    <s v="Home Office"/>
    <x v="3"/>
    <x v="0"/>
    <s v="Punjab"/>
    <s v="Ludhiana"/>
    <s v="Technology"/>
    <x v="2"/>
    <x v="11"/>
    <s v="Eco Phones 787"/>
    <x v="1"/>
    <s v="Same Day"/>
    <n v="7"/>
    <n v="1363.04"/>
    <n v="0.15"/>
    <n v="8110.09"/>
    <n v="6417.32"/>
    <n v="1692.77"/>
    <s v="Paid"/>
    <x v="1"/>
    <m/>
    <m/>
    <m/>
    <m/>
    <m/>
    <x v="1"/>
    <m/>
    <m/>
  </r>
  <r>
    <s v="ORD-2024-10711"/>
    <x v="626"/>
    <s v="07/19/2024"/>
    <m/>
    <n v="0"/>
    <s v="CUST-7199"/>
    <s v="Vikram Iyer"/>
    <s v="Vikram Iyer"/>
    <s v="Corporate"/>
    <x v="2"/>
    <x v="0"/>
    <s v="Punjab"/>
    <s v="Ludhiana"/>
    <s v="Office Supplies"/>
    <x v="0"/>
    <x v="2"/>
    <s v="Smart Art 279"/>
    <x v="0"/>
    <s v="Second Class"/>
    <n v="5"/>
    <n v="1559.16"/>
    <n v="0.05"/>
    <n v="7406.01"/>
    <n v="5941.74"/>
    <n v="1464.27"/>
    <s v="Paid"/>
    <x v="0"/>
    <m/>
    <m/>
    <m/>
    <m/>
    <m/>
    <x v="1"/>
    <m/>
    <m/>
  </r>
  <r>
    <s v="ORD-2025-10712"/>
    <x v="627"/>
    <s v="2025-02-02"/>
    <m/>
    <n v="0"/>
    <s v="CUST-6176"/>
    <s v="Kabir Singh"/>
    <s v="Kabir Singh"/>
    <s v="Corporate"/>
    <x v="2"/>
    <x v="1"/>
    <s v="West Bengal"/>
    <s v="Kolkata"/>
    <s v="Technology"/>
    <x v="2"/>
    <x v="12"/>
    <s v="Basic Machines 172"/>
    <x v="2"/>
    <s v="First Class"/>
    <n v="1"/>
    <n v="4326.75"/>
    <n v="0.05"/>
    <n v="4110.41"/>
    <n v="2394.14"/>
    <n v="1716.27"/>
    <s v="Pending"/>
    <x v="2"/>
    <m/>
    <m/>
    <m/>
    <m/>
    <m/>
    <x v="1"/>
    <m/>
    <m/>
  </r>
  <r>
    <s v="ORD-2024-10713"/>
    <x v="395"/>
    <s v="18 Feb 2024"/>
    <m/>
    <n v="0"/>
    <s v="CUST-5127"/>
    <s v="Isha Nair"/>
    <s v="Isha Nair"/>
    <s v="Home Office"/>
    <x v="3"/>
    <x v="3"/>
    <s v="Madhya Pradesh"/>
    <s v="Indore"/>
    <s v="Furniture"/>
    <x v="1"/>
    <x v="4"/>
    <s v="Smart Chairs 259"/>
    <x v="2"/>
    <s v="First Class"/>
    <n v="7"/>
    <n v="1382.86"/>
    <n v="0"/>
    <n v="9680.02"/>
    <n v="6876.66"/>
    <n v="2803.36"/>
    <s v="Paid"/>
    <x v="0"/>
    <m/>
    <m/>
    <m/>
    <m/>
    <m/>
    <x v="1"/>
    <m/>
    <m/>
  </r>
  <r>
    <s v="ORD-2025-10714"/>
    <x v="628"/>
    <s v="06/10/2025"/>
    <m/>
    <n v="0"/>
    <s v="CUST-2548"/>
    <s v="Mira Das"/>
    <s v="Mira Das"/>
    <s v="Consumer"/>
    <x v="0"/>
    <x v="3"/>
    <s v="Rajasthan"/>
    <s v="Udaipur"/>
    <s v="Technology"/>
    <x v="2"/>
    <x v="12"/>
    <s v="Pro Machines 987"/>
    <x v="0"/>
    <s v="Second Class"/>
    <n v="1"/>
    <n v="289.97000000000003"/>
    <n v="0.25"/>
    <n v="217.48"/>
    <n v="132.13"/>
    <n v="85.35"/>
    <s v="Paid"/>
    <x v="0"/>
    <m/>
    <m/>
    <m/>
    <m/>
    <m/>
    <x v="1"/>
    <m/>
    <m/>
  </r>
  <r>
    <s v="ORD-2025-10715"/>
    <x v="629"/>
    <s v="2025-03-23"/>
    <m/>
    <n v="0"/>
    <s v="CUST-9902"/>
    <s v="Karan Malhotra"/>
    <s v="Karan Malhotra"/>
    <s v="Home Office"/>
    <x v="3"/>
    <x v="0"/>
    <s v="Delhi"/>
    <s v="New Delhi"/>
    <s v="Technology"/>
    <x v="2"/>
    <x v="6"/>
    <s v="Pro Copiers 206"/>
    <x v="3"/>
    <s v="Standard Class"/>
    <n v="9"/>
    <n v="2075.02"/>
    <n v="0"/>
    <n v="18675.18"/>
    <n v="13974.7"/>
    <n v="4700.4799999999996"/>
    <s v="Paid"/>
    <x v="0"/>
    <m/>
    <m/>
    <m/>
    <m/>
    <m/>
    <x v="1"/>
    <m/>
    <m/>
  </r>
  <r>
    <s v="ORD-2025-10716"/>
    <x v="68"/>
    <s v="27 Aug 2025"/>
    <m/>
    <n v="0"/>
    <s v="CUST-7446"/>
    <s v="Priya Menon"/>
    <s v="Priya Menon"/>
    <s v="Consumer"/>
    <x v="0"/>
    <x v="0"/>
    <s v="Haryana"/>
    <s v="Gurugram"/>
    <s v="Furniture"/>
    <x v="1"/>
    <x v="4"/>
    <s v="Max Chairs 372"/>
    <x v="0"/>
    <s v="Second Class"/>
    <n v="7"/>
    <n v="2843.09"/>
    <n v="0"/>
    <n v="19901.63"/>
    <n v="15492.03"/>
    <n v="4409.6000000000004"/>
    <s v="Refunded"/>
    <x v="1"/>
    <m/>
    <m/>
    <m/>
    <m/>
    <m/>
    <x v="1"/>
    <m/>
    <m/>
  </r>
  <r>
    <s v="ORD-2025-10717"/>
    <x v="630"/>
    <s v="31-08-2025"/>
    <m/>
    <n v="0"/>
    <s v="CUST-7540"/>
    <s v="Diya Patel"/>
    <s v="Diya Patel"/>
    <s v="Small Business"/>
    <x v="1"/>
    <x v="0"/>
    <s v="Haryana"/>
    <s v="Gurugram"/>
    <s v="Technology"/>
    <x v="2"/>
    <x v="11"/>
    <s v="Basic Phones 496"/>
    <x v="2"/>
    <s v="First Class"/>
    <n v="1"/>
    <n v="3388.02"/>
    <n v="0.15"/>
    <n v="2879.82"/>
    <n v="1824.88"/>
    <n v="1054.94"/>
    <s v="Paid"/>
    <x v="0"/>
    <m/>
    <m/>
    <m/>
    <m/>
    <m/>
    <x v="1"/>
    <m/>
    <m/>
  </r>
  <r>
    <s v="ORD-2025-10718"/>
    <x v="631"/>
    <s v="15 Oct 2025"/>
    <m/>
    <n v="0"/>
    <s v="CUST-8351"/>
    <s v="Kabir Singh"/>
    <s v="Kabir Singh"/>
    <s v="Small Business"/>
    <x v="1"/>
    <x v="0"/>
    <s v="Haryana"/>
    <s v="Gurugram"/>
    <s v="Technology"/>
    <x v="2"/>
    <x v="12"/>
    <s v="Prime Machines 612"/>
    <x v="3"/>
    <s v="Standard Class"/>
    <n v="9"/>
    <n v="2598.92"/>
    <n v="0.2"/>
    <n v="18712.22"/>
    <n v="11852.22"/>
    <n v="6860"/>
    <s v="Pending"/>
    <x v="1"/>
    <m/>
    <m/>
    <m/>
    <m/>
    <m/>
    <x v="1"/>
    <m/>
    <m/>
  </r>
  <r>
    <s v="ORD-2024-10719"/>
    <x v="632"/>
    <s v="2024-09-09"/>
    <m/>
    <n v="0"/>
    <s v="CUST-3918"/>
    <s v="Mira Das"/>
    <s v="Mira Das"/>
    <s v="Consumer"/>
    <x v="0"/>
    <x v="3"/>
    <s v="Maharashtra"/>
    <s v="Mumbai"/>
    <s v="Office Supplies"/>
    <x v="0"/>
    <x v="2"/>
    <s v="Smart Art 866"/>
    <x v="1"/>
    <s v="Same Day"/>
    <n v="3"/>
    <n v="1972.27"/>
    <n v="0.2"/>
    <n v="4733.45"/>
    <n v="3672.32"/>
    <n v="1061.1300000000001"/>
    <s v="Paid"/>
    <x v="0"/>
    <m/>
    <m/>
    <m/>
    <m/>
    <m/>
    <x v="1"/>
    <m/>
    <m/>
  </r>
  <r>
    <s v="ORD-2025-10720"/>
    <x v="317"/>
    <s v="2025-09-09"/>
    <m/>
    <n v="0"/>
    <s v="CUST-3190"/>
    <s v="Kabir Singh"/>
    <s v="Kabir Singh"/>
    <s v="Corporate"/>
    <x v="2"/>
    <x v="3"/>
    <s v="Gujarat"/>
    <s v="Ahmedabad"/>
    <s v="Office Supplies"/>
    <x v="0"/>
    <x v="2"/>
    <s v="Pro Art 447"/>
    <x v="1"/>
    <s v="Same Day"/>
    <n v="2"/>
    <n v="2372.41"/>
    <n v="0.2"/>
    <n v="3795.86"/>
    <n v="2264.92"/>
    <n v="1530.94"/>
    <s v="Paid"/>
    <x v="0"/>
    <m/>
    <m/>
    <m/>
    <m/>
    <m/>
    <x v="1"/>
    <m/>
    <m/>
  </r>
  <r>
    <s v="ORD-2024-10721"/>
    <x v="473"/>
    <s v="07/16/2024"/>
    <m/>
    <n v="0"/>
    <s v="CUST-1991"/>
    <s v="Aditi Sen"/>
    <s v="Aditi Sen"/>
    <s v="Home Office"/>
    <x v="3"/>
    <x v="3"/>
    <s v="Madhya Pradesh"/>
    <s v="Indore"/>
    <s v="Technology"/>
    <x v="2"/>
    <x v="6"/>
    <s v="Smart Copiers 196"/>
    <x v="1"/>
    <s v="Same Day"/>
    <n v="4"/>
    <n v="4479.92"/>
    <n v="0.15"/>
    <n v="15231.73"/>
    <n v="12451.46"/>
    <n v="2780.27"/>
    <s v="Paid"/>
    <x v="0"/>
    <m/>
    <m/>
    <m/>
    <m/>
    <m/>
    <x v="1"/>
    <m/>
    <m/>
  </r>
  <r>
    <s v="ORD-2025-10722"/>
    <x v="269"/>
    <s v="23-06-2025"/>
    <m/>
    <n v="0"/>
    <s v="CUST-7606"/>
    <s v="Sneha Kapoor"/>
    <s v="Sneha Kapoor"/>
    <s v="Consumer"/>
    <x v="0"/>
    <x v="2"/>
    <s v="Karnataka"/>
    <s v="Bengaluru"/>
    <s v="Technology"/>
    <x v="2"/>
    <x v="6"/>
    <s v="Pro Copiers 532"/>
    <x v="2"/>
    <s v="First Class"/>
    <n v="5"/>
    <n v="2729.95"/>
    <n v="0"/>
    <n v="13649.75"/>
    <n v="10288.030000000001"/>
    <n v="3361.72"/>
    <s v="Paid"/>
    <x v="0"/>
    <m/>
    <m/>
    <m/>
    <m/>
    <m/>
    <x v="1"/>
    <m/>
    <m/>
  </r>
  <r>
    <s v="ORD-2024-10723"/>
    <x v="481"/>
    <s v="10 Oct 2024"/>
    <m/>
    <n v="0"/>
    <s v="CUST-8844"/>
    <s v="Vikram Iyer"/>
    <s v="Vikram Iyer"/>
    <s v="Consumer"/>
    <x v="0"/>
    <x v="1"/>
    <s v="West Bengal"/>
    <s v="Kolkata"/>
    <s v="Furniture"/>
    <x v="1"/>
    <x v="4"/>
    <s v="Eco Chairs 442"/>
    <x v="0"/>
    <s v="Second Class"/>
    <n v="9"/>
    <n v="481.51"/>
    <m/>
    <n v="4333.59"/>
    <n v="2533.59"/>
    <n v="1800"/>
    <s v="Refunded"/>
    <x v="1"/>
    <m/>
    <m/>
    <m/>
    <m/>
    <m/>
    <x v="1"/>
    <m/>
    <m/>
  </r>
  <r>
    <s v="ORD-2025-10724"/>
    <x v="633"/>
    <s v="2025-10-13"/>
    <m/>
    <n v="0"/>
    <s v="CUST-4335"/>
    <s v="Kabir Singh"/>
    <s v="Kabir Singh"/>
    <s v="Home Office"/>
    <x v="3"/>
    <x v="1"/>
    <s v="Jharkhand"/>
    <s v="Ranchi"/>
    <s v="Technology"/>
    <x v="2"/>
    <x v="5"/>
    <s v="Eco Accessories 364"/>
    <x v="3"/>
    <s v="Standard Class"/>
    <n v="6"/>
    <n v="2391.9299999999998"/>
    <n v="0.05"/>
    <n v="13634"/>
    <n v="9589.81"/>
    <n v="4044.19"/>
    <s v="Failed"/>
    <x v="2"/>
    <m/>
    <m/>
    <m/>
    <m/>
    <m/>
    <x v="1"/>
    <m/>
    <m/>
  </r>
  <r>
    <s v="ORD-2024-10725"/>
    <x v="634"/>
    <s v="16-02-2024"/>
    <m/>
    <n v="0"/>
    <s v="CUST-5891"/>
    <s v="Karan Malhotra"/>
    <s v="Karan Malhotra"/>
    <s v="Consumer"/>
    <x v="0"/>
    <x v="3"/>
    <s v="Goa"/>
    <s v="Panaji"/>
    <s v="Furniture"/>
    <x v="1"/>
    <x v="3"/>
    <s v="Elite Furnishings 921"/>
    <x v="0"/>
    <s v="Second Class"/>
    <n v="3"/>
    <n v="253.43"/>
    <n v="0"/>
    <n v="760.29"/>
    <n v="497.77"/>
    <n v="262.52"/>
    <s v="Paid"/>
    <x v="0"/>
    <m/>
    <m/>
    <m/>
    <m/>
    <m/>
    <x v="1"/>
    <m/>
    <m/>
  </r>
  <r>
    <s v="ORD-2025-10726"/>
    <x v="635"/>
    <s v="2025-10-12"/>
    <m/>
    <n v="0"/>
    <s v="CUST-6371"/>
    <s v="Priya Menon"/>
    <s v="Priya Menon"/>
    <s v="Corporate"/>
    <x v="2"/>
    <x v="2"/>
    <s v="Karnataka"/>
    <s v="Bengaluru"/>
    <s v="Furniture"/>
    <x v="1"/>
    <x v="1"/>
    <s v="Max Tables 309"/>
    <x v="0"/>
    <s v="Second Class"/>
    <n v="7"/>
    <n v="2134.73"/>
    <n v="0"/>
    <n v="14943.11"/>
    <n v="8521.5"/>
    <n v="6421.61"/>
    <s v="Paid"/>
    <x v="0"/>
    <m/>
    <m/>
    <m/>
    <m/>
    <m/>
    <x v="1"/>
    <m/>
    <m/>
  </r>
  <r>
    <s v="ORD-2024-10727"/>
    <x v="636"/>
    <s v="01/23/2024"/>
    <m/>
    <n v="0"/>
    <s v="CUST-6655"/>
    <s v="Kabir Singh"/>
    <s v="Kabir Singh"/>
    <s v="Home Office"/>
    <x v="3"/>
    <x v="3"/>
    <s v="Gujarat"/>
    <s v="Ahmedabad"/>
    <s v="Technology"/>
    <x v="2"/>
    <x v="11"/>
    <s v="Pro Phones 857"/>
    <x v="3"/>
    <s v="Standard Class"/>
    <n v="5"/>
    <n v="2018"/>
    <n v="0.2"/>
    <n v="8072"/>
    <n v="5379.22"/>
    <n v="2692.78"/>
    <s v="Pending"/>
    <x v="2"/>
    <m/>
    <m/>
    <m/>
    <m/>
    <m/>
    <x v="1"/>
    <m/>
    <m/>
  </r>
  <r>
    <s v="ORD-2024-10728"/>
    <x v="637"/>
    <s v="13 Oct 2024"/>
    <m/>
    <n v="0"/>
    <s v="CUST-6492"/>
    <s v="Aarav Sharma"/>
    <s v="Aarav Sharma"/>
    <s v="Small Business"/>
    <x v="1"/>
    <x v="1"/>
    <s v="Assam"/>
    <s v="Guwahati"/>
    <s v="Technology"/>
    <x v="2"/>
    <x v="5"/>
    <s v="Max Accessories 567"/>
    <x v="0"/>
    <s v="Second Class"/>
    <n v="8"/>
    <n v="3730.66"/>
    <n v="0.05"/>
    <n v="28353.02"/>
    <n v="19257.849999999999"/>
    <n v="9095.17"/>
    <s v="Paid"/>
    <x v="0"/>
    <m/>
    <m/>
    <m/>
    <m/>
    <m/>
    <x v="1"/>
    <m/>
    <m/>
  </r>
  <r>
    <s v="ORD-2024-10729"/>
    <x v="571"/>
    <s v="07-01-2024"/>
    <m/>
    <n v="0"/>
    <s v="CUST-1154"/>
    <s v="Sneha Kapoor"/>
    <s v="Sneha Kapoor"/>
    <s v="Small Business"/>
    <x v="1"/>
    <x v="2"/>
    <s v="Karnataka"/>
    <s v="Bengaluru"/>
    <s v="Technology"/>
    <x v="2"/>
    <x v="12"/>
    <s v="Max Machines 200"/>
    <x v="2"/>
    <s v="First Class"/>
    <n v="1"/>
    <n v="2363.02"/>
    <n v="0.15"/>
    <n v="2008.57"/>
    <n v="1194.83"/>
    <n v="813.74"/>
    <s v="Paid"/>
    <x v="0"/>
    <m/>
    <m/>
    <m/>
    <m/>
    <m/>
    <x v="1"/>
    <m/>
    <m/>
  </r>
  <r>
    <s v="ORD-2025-10730"/>
    <x v="638"/>
    <s v="25 May 2025"/>
    <m/>
    <n v="0"/>
    <s v="CUST-8713"/>
    <s v="Ananya Rao"/>
    <s v="Ananya Rao"/>
    <s v="Corporate"/>
    <x v="2"/>
    <x v="2"/>
    <s v="Tamil Nadu"/>
    <s v="Chennai"/>
    <s v="Technology"/>
    <x v="2"/>
    <x v="12"/>
    <s v="Pro Machines 563"/>
    <x v="1"/>
    <s v="Same Day"/>
    <n v="6"/>
    <n v="1810.63"/>
    <n v="0.15"/>
    <n v="9234.2099999999991"/>
    <n v="5516.52"/>
    <n v="3717.69"/>
    <s v="Paid"/>
    <x v="0"/>
    <m/>
    <m/>
    <m/>
    <m/>
    <m/>
    <x v="1"/>
    <m/>
    <m/>
  </r>
  <r>
    <s v="ORD-2025-10731"/>
    <x v="639"/>
    <s v="24-06-2025"/>
    <m/>
    <n v="0"/>
    <s v="CUST-6765"/>
    <s v="Arjun Bose"/>
    <s v="Arjun Bose"/>
    <s v="Consumer"/>
    <x v="0"/>
    <x v="1"/>
    <s v="West Bengal"/>
    <s v="Kolkata"/>
    <s v="Office Supplies"/>
    <x v="0"/>
    <x v="2"/>
    <s v="Elite Art 696"/>
    <x v="0"/>
    <s v="Second Class"/>
    <n v="4"/>
    <n v="782.01"/>
    <n v="0.15"/>
    <n v="2658.83"/>
    <n v="2226.9699999999998"/>
    <n v="431.86"/>
    <s v="Refunded"/>
    <x v="2"/>
    <m/>
    <m/>
    <m/>
    <m/>
    <m/>
    <x v="1"/>
    <m/>
    <m/>
  </r>
  <r>
    <s v="ORD-2024-10732"/>
    <x v="640"/>
    <s v="19 Mar 2024"/>
    <m/>
    <n v="0"/>
    <s v="CUST-6849"/>
    <s v="Ananya Rao"/>
    <s v="Ananya Rao"/>
    <s v="Corporate"/>
    <x v="2"/>
    <x v="1"/>
    <s v="Odisha"/>
    <s v="Bhubaneswar"/>
    <s v="Office Supplies"/>
    <x v="0"/>
    <x v="9"/>
    <s v="Eco Binders 178"/>
    <x v="2"/>
    <s v="First Class"/>
    <n v="4"/>
    <n v="4376.68"/>
    <n v="0.1"/>
    <n v="15756.05"/>
    <n v="10245.44"/>
    <n v="5510.61"/>
    <s v="Paid"/>
    <x v="0"/>
    <m/>
    <m/>
    <m/>
    <m/>
    <m/>
    <x v="1"/>
    <m/>
    <m/>
  </r>
  <r>
    <s v="ORD-2024-10733"/>
    <x v="641"/>
    <s v="06 Dec 2024"/>
    <m/>
    <n v="0"/>
    <s v="CUST-4973"/>
    <s v="Arjun Bose"/>
    <s v="Arjun Bose"/>
    <s v="Small Business"/>
    <x v="1"/>
    <x v="0"/>
    <s v="Punjab"/>
    <s v="Ludhiana"/>
    <s v="Technology"/>
    <x v="2"/>
    <x v="11"/>
    <s v="Max Phones 678"/>
    <x v="3"/>
    <s v="Standard Class"/>
    <n v="6"/>
    <n v="2464.63"/>
    <n v="0"/>
    <n v="14787.78"/>
    <n v="8596.65"/>
    <n v="6191.13"/>
    <s v="Paid"/>
    <x v="0"/>
    <m/>
    <m/>
    <m/>
    <m/>
    <m/>
    <x v="1"/>
    <m/>
    <m/>
  </r>
  <r>
    <s v="ORD-2024-10734"/>
    <x v="642"/>
    <s v="28 Jun 2024"/>
    <m/>
    <n v="0"/>
    <s v="CUST-2394"/>
    <s v="Aarav Sharma"/>
    <s v="Aarav Sharma"/>
    <s v="Home Office"/>
    <x v="3"/>
    <x v="0"/>
    <s v="Rajasthan"/>
    <s v="Jaipur"/>
    <s v="Furniture"/>
    <x v="1"/>
    <x v="3"/>
    <s v="Classic Furnishings 582"/>
    <x v="2"/>
    <s v="First Class"/>
    <n v="9"/>
    <n v="2797.96"/>
    <n v="0"/>
    <n v="25181.64"/>
    <n v="15337.9"/>
    <n v="9843.74"/>
    <s v="Paid"/>
    <x v="0"/>
    <m/>
    <m/>
    <m/>
    <m/>
    <m/>
    <x v="1"/>
    <m/>
    <m/>
  </r>
  <r>
    <s v="ORD-2024-10735"/>
    <x v="643"/>
    <s v="24-08-2024"/>
    <m/>
    <n v="0"/>
    <s v="CUST-5406"/>
    <s v="Ananya Rao"/>
    <s v="Ananya Rao"/>
    <s v="Small Business"/>
    <x v="1"/>
    <x v="0"/>
    <s v="Rajasthan"/>
    <s v="Jaipur"/>
    <s v="Technology"/>
    <x v="2"/>
    <x v="5"/>
    <s v="Classic Accessories 981"/>
    <x v="2"/>
    <s v="First Class"/>
    <n v="4"/>
    <n v="2761.86"/>
    <n v="0.2"/>
    <n v="8837.9500000000007"/>
    <n v="6157.27"/>
    <n v="2680.68"/>
    <s v="Paid"/>
    <x v="0"/>
    <m/>
    <m/>
    <m/>
    <m/>
    <m/>
    <x v="1"/>
    <m/>
    <m/>
  </r>
  <r>
    <s v="ORD-2024-10736"/>
    <x v="644"/>
    <s v="19-08-2024"/>
    <m/>
    <n v="0"/>
    <s v="CUST-1963"/>
    <s v="Mira Das"/>
    <s v="Mira Das"/>
    <s v="Consumer"/>
    <x v="0"/>
    <x v="3"/>
    <s v="Maharashtra"/>
    <s v="Mumbai"/>
    <s v="Furniture"/>
    <x v="1"/>
    <x v="1"/>
    <s v="Classic Tables 534"/>
    <x v="3"/>
    <s v="Standard Class"/>
    <n v="6"/>
    <n v="1515.79"/>
    <n v="0.2"/>
    <n v="7275.79"/>
    <n v="6152.87"/>
    <n v="1122.92"/>
    <s v="Paid"/>
    <x v="0"/>
    <m/>
    <m/>
    <m/>
    <m/>
    <m/>
    <x v="1"/>
    <m/>
    <m/>
  </r>
  <r>
    <s v="ORD-2024-10737"/>
    <x v="530"/>
    <s v="09-12-2024"/>
    <m/>
    <n v="0"/>
    <s v="CUST-9017"/>
    <s v="Aditi Sen"/>
    <s v="Aditi Sen"/>
    <s v="Consumer"/>
    <x v="0"/>
    <x v="3"/>
    <s v="Maharashtra"/>
    <s v="Mumbai"/>
    <s v="Furniture"/>
    <x v="1"/>
    <x v="4"/>
    <s v="Pro Chairs 383"/>
    <x v="0"/>
    <s v="Second Class"/>
    <n v="9"/>
    <n v="290.75"/>
    <n v="0.1"/>
    <n v="2355.08"/>
    <n v="1350.03"/>
    <n v="1005.05"/>
    <s v="Paid"/>
    <x v="0"/>
    <m/>
    <m/>
    <m/>
    <m/>
    <m/>
    <x v="1"/>
    <m/>
    <m/>
  </r>
  <r>
    <s v="ORD-2024-10738"/>
    <x v="420"/>
    <s v="10 Feb 2024"/>
    <m/>
    <n v="0"/>
    <s v="CUST-7967"/>
    <s v="Isha Nair"/>
    <s v="Isha Nair"/>
    <s v="Home Office"/>
    <x v="3"/>
    <x v="3"/>
    <s v="Maharashtra"/>
    <s v="Mumbai"/>
    <s v="Furniture"/>
    <x v="1"/>
    <x v="4"/>
    <s v="Max Chairs 845"/>
    <x v="1"/>
    <s v="Same Day"/>
    <n v="6"/>
    <n v="601.52"/>
    <n v="0"/>
    <n v="3609.12"/>
    <n v="2645.5"/>
    <n v="963.62"/>
    <s v="Paid"/>
    <x v="0"/>
    <m/>
    <m/>
    <m/>
    <m/>
    <m/>
    <x v="1"/>
    <m/>
    <m/>
  </r>
  <r>
    <s v="ORD-2025-10739"/>
    <x v="285"/>
    <s v="02/22/2025"/>
    <m/>
    <n v="0"/>
    <s v="CUST-5334"/>
    <s v="Priya Menon"/>
    <s v="Priya Menon"/>
    <s v="Corporate"/>
    <x v="2"/>
    <x v="2"/>
    <s v="Kerala"/>
    <s v="Kochi"/>
    <s v="Office Supplies"/>
    <x v="0"/>
    <x v="0"/>
    <s v="Prime Paper 307"/>
    <x v="2"/>
    <s v="First Class"/>
    <n v="1"/>
    <n v="2188.19"/>
    <n v="0"/>
    <n v="2188.19"/>
    <n v="1298.8399999999999"/>
    <n v="889.35"/>
    <s v="Paid"/>
    <x v="0"/>
    <m/>
    <m/>
    <m/>
    <m/>
    <m/>
    <x v="1"/>
    <m/>
    <m/>
  </r>
  <r>
    <s v="ORD-2024-10740"/>
    <x v="645"/>
    <s v="12/10/2024"/>
    <m/>
    <n v="0"/>
    <s v="CUST-5846"/>
    <s v="Neha Gupta"/>
    <s v="Neha Gupta"/>
    <s v="Corporate"/>
    <x v="2"/>
    <x v="0"/>
    <s v="Rajasthan"/>
    <s v="Jaipur"/>
    <s v="Technology"/>
    <x v="2"/>
    <x v="11"/>
    <s v="Basic Phones 859"/>
    <x v="3"/>
    <s v="Standard Class"/>
    <n v="5"/>
    <n v="2393.86"/>
    <n v="0.05"/>
    <n v="11370.84"/>
    <n v="7469.58"/>
    <n v="3901.26"/>
    <s v="Paid"/>
    <x v="0"/>
    <m/>
    <m/>
    <m/>
    <m/>
    <m/>
    <x v="1"/>
    <m/>
    <m/>
  </r>
  <r>
    <s v="ORD-2024-10741"/>
    <x v="646"/>
    <s v="04/02/2024"/>
    <m/>
    <n v="0"/>
    <s v="CUST-7932"/>
    <s v="Sneha Kapoor"/>
    <s v="Sneha Kapoor"/>
    <s v="Small Business"/>
    <x v="1"/>
    <x v="3"/>
    <s v="Maharashtra"/>
    <s v="Mumbai"/>
    <s v="Furniture"/>
    <x v="1"/>
    <x v="4"/>
    <s v="Eco Chairs 883"/>
    <x v="2"/>
    <s v="First Class"/>
    <n v="4"/>
    <n v="2583"/>
    <n v="0.1"/>
    <n v="9298.7999999999993"/>
    <n v="6548.5"/>
    <n v="2750.3"/>
    <s v="Paid"/>
    <x v="0"/>
    <m/>
    <m/>
    <m/>
    <m/>
    <m/>
    <x v="1"/>
    <m/>
    <m/>
  </r>
  <r>
    <s v="ORD-2025-10742"/>
    <x v="647"/>
    <s v="2025-04-25"/>
    <m/>
    <n v="0"/>
    <s v="CUST-3285"/>
    <s v="Isha Nair"/>
    <s v="Isha Nair"/>
    <s v="Home Office"/>
    <x v="3"/>
    <x v="2"/>
    <s v="Tamil Nadu"/>
    <s v="Chennai"/>
    <s v="Furniture"/>
    <x v="1"/>
    <x v="4"/>
    <s v="Max Chairs 706"/>
    <x v="0"/>
    <s v="Second Class"/>
    <n v="3"/>
    <n v="2951.12"/>
    <m/>
    <n v="7082.69"/>
    <n v="5596.34"/>
    <n v="1486.35"/>
    <s v="Paid"/>
    <x v="1"/>
    <m/>
    <m/>
    <m/>
    <m/>
    <m/>
    <x v="1"/>
    <m/>
    <m/>
  </r>
  <r>
    <s v="ORD-2024-10743"/>
    <x v="648"/>
    <s v="22 Oct 2024"/>
    <m/>
    <n v="0"/>
    <s v="CUST-6368"/>
    <s v="Karan Malhotra"/>
    <s v="Karan Malhotra"/>
    <s v="Corporate"/>
    <x v="2"/>
    <x v="1"/>
    <s v="Odisha"/>
    <s v="Bhubaneswar"/>
    <s v="Office Supplies"/>
    <x v="0"/>
    <x v="0"/>
    <s v="Prime Paper 768"/>
    <x v="3"/>
    <s v="Standard Class"/>
    <n v="4"/>
    <n v="2260.9499999999998"/>
    <n v="0"/>
    <n v="9043.7999999999993"/>
    <n v="5913.38"/>
    <n v="3130.42"/>
    <s v="Paid"/>
    <x v="0"/>
    <m/>
    <m/>
    <m/>
    <m/>
    <m/>
    <x v="1"/>
    <m/>
    <m/>
  </r>
  <r>
    <s v="ORD-2025-10744"/>
    <x v="352"/>
    <s v="14 Feb 2025"/>
    <m/>
    <n v="0"/>
    <s v="CUST-6231"/>
    <s v="Sneha Kapoor"/>
    <s v="Sneha Kapoor"/>
    <s v="Consumer"/>
    <x v="0"/>
    <x v="0"/>
    <s v="Uttar Pradesh"/>
    <s v="Noida"/>
    <s v="Office Supplies"/>
    <x v="0"/>
    <x v="2"/>
    <s v="Basic Art 764"/>
    <x v="3"/>
    <s v="Standard Class"/>
    <n v="6"/>
    <n v="491.4"/>
    <n v="0.25"/>
    <n v="2211.3000000000002"/>
    <n v="1735.64"/>
    <n v="475.66"/>
    <s v="Paid"/>
    <x v="0"/>
    <m/>
    <m/>
    <m/>
    <m/>
    <m/>
    <x v="1"/>
    <m/>
    <m/>
  </r>
  <r>
    <s v="ORD-2025-10745"/>
    <x v="649"/>
    <s v="2025-08-20"/>
    <m/>
    <n v="0"/>
    <s v="CUST-2021"/>
    <s v="Mira Das"/>
    <s v="Mira Das"/>
    <s v="Home Office"/>
    <x v="3"/>
    <x v="0"/>
    <s v="Punjab"/>
    <s v="Ludhiana"/>
    <s v="Office Supplies"/>
    <x v="0"/>
    <x v="9"/>
    <s v="Prime Binders 181"/>
    <x v="2"/>
    <s v="First Class"/>
    <n v="5"/>
    <n v="2701.89"/>
    <n v="0.1"/>
    <n v="12158.5"/>
    <n v="10260.07"/>
    <n v="1898.43"/>
    <s v="Paid"/>
    <x v="1"/>
    <m/>
    <m/>
    <m/>
    <m/>
    <m/>
    <x v="1"/>
    <m/>
    <m/>
  </r>
  <r>
    <s v="ORD-2024-10746"/>
    <x v="650"/>
    <s v="28-10-2024"/>
    <m/>
    <n v="0"/>
    <s v="CUST-1493"/>
    <s v="Mira Das"/>
    <s v="Mira Das"/>
    <s v="Small Business"/>
    <x v="1"/>
    <x v="1"/>
    <s v="Assam"/>
    <s v="Guwahati"/>
    <s v="Technology"/>
    <x v="2"/>
    <x v="6"/>
    <s v="Max Copiers 866"/>
    <x v="3"/>
    <s v="Standard Class"/>
    <n v="3"/>
    <n v="723.59"/>
    <n v="0.2"/>
    <n v="1736.62"/>
    <n v="1059.52"/>
    <n v="677.1"/>
    <s v="Paid"/>
    <x v="0"/>
    <m/>
    <m/>
    <m/>
    <m/>
    <m/>
    <x v="1"/>
    <m/>
    <m/>
  </r>
  <r>
    <s v="ORD-2025-10747"/>
    <x v="651"/>
    <s v="10-01-2025"/>
    <m/>
    <n v="0"/>
    <s v="CUST-2314"/>
    <s v="Aarav Sharma"/>
    <s v="Aarav Sharma"/>
    <s v="Home Office"/>
    <x v="3"/>
    <x v="1"/>
    <s v="West Bengal"/>
    <s v="Kolkata"/>
    <s v="Office Supplies"/>
    <x v="0"/>
    <x v="0"/>
    <s v="Pro Paper 662"/>
    <x v="3"/>
    <s v="Standard Class"/>
    <n v="4"/>
    <n v="2583.19"/>
    <n v="0.2"/>
    <n v="8266.2099999999991"/>
    <n v="6236.32"/>
    <n v="2029.89"/>
    <s v="Paid"/>
    <x v="0"/>
    <m/>
    <m/>
    <m/>
    <m/>
    <m/>
    <x v="1"/>
    <m/>
    <m/>
  </r>
  <r>
    <s v="ORD-2024-10748"/>
    <x v="652"/>
    <s v="07 May 2024"/>
    <m/>
    <n v="0"/>
    <s v="CUST-8416"/>
    <s v="Isha Nair"/>
    <s v="Isha Nair"/>
    <s v="Home Office"/>
    <x v="3"/>
    <x v="1"/>
    <s v="Odisha"/>
    <s v="Bhubaneswar"/>
    <s v="Office Supplies"/>
    <x v="0"/>
    <x v="0"/>
    <s v="Classic Paper 388"/>
    <x v="1"/>
    <s v="Same Day"/>
    <n v="8"/>
    <n v="1473.83"/>
    <n v="0.15"/>
    <n v="10022.040000000001"/>
    <n v="5576.98"/>
    <n v="4445.0600000000004"/>
    <s v="Paid"/>
    <x v="0"/>
    <m/>
    <m/>
    <m/>
    <m/>
    <m/>
    <x v="1"/>
    <m/>
    <m/>
  </r>
  <r>
    <s v="ORD-2024-10749"/>
    <x v="653"/>
    <s v="05/30/2024"/>
    <m/>
    <n v="0"/>
    <s v="CUST-3103"/>
    <s v="Diya Patel"/>
    <s v="Diya Patel"/>
    <s v="Home Office"/>
    <x v="3"/>
    <x v="0"/>
    <s v="Haryana"/>
    <s v="Gurugram"/>
    <s v="Technology"/>
    <x v="2"/>
    <x v="11"/>
    <s v="Pro Phones 765"/>
    <x v="0"/>
    <s v="Second Class"/>
    <n v="1"/>
    <n v="3848.04"/>
    <n v="0.25"/>
    <n v="2886.03"/>
    <n v="2064.83"/>
    <n v="821.2"/>
    <s v="Paid"/>
    <x v="0"/>
    <m/>
    <m/>
    <m/>
    <m/>
    <m/>
    <x v="1"/>
    <m/>
    <m/>
  </r>
  <r>
    <s v="ORD-2024-10750"/>
    <x v="654"/>
    <s v="2024-03-25"/>
    <m/>
    <n v="0"/>
    <s v="CUST-4457"/>
    <s v="Aditi Sen"/>
    <s v="Aditi Sen"/>
    <s v="Home Office"/>
    <x v="3"/>
    <x v="1"/>
    <s v="Assam"/>
    <s v="Guwahati"/>
    <s v="Technology"/>
    <x v="2"/>
    <x v="12"/>
    <s v="Classic Machines 543"/>
    <x v="3"/>
    <s v="Standard Class"/>
    <n v="1"/>
    <n v="1716.7"/>
    <n v="0.15"/>
    <n v="1459.19"/>
    <n v="1055.79"/>
    <n v="403.4"/>
    <s v="Paid"/>
    <x v="0"/>
    <m/>
    <m/>
    <m/>
    <m/>
    <m/>
    <x v="1"/>
    <m/>
    <m/>
  </r>
  <r>
    <s v="ORD-2025-10751"/>
    <x v="655"/>
    <s v="2025-06-02"/>
    <m/>
    <n v="0"/>
    <s v="CUST-7036"/>
    <s v="Aarav Sharma"/>
    <s v="Aarav Sharma"/>
    <s v="Home Office"/>
    <x v="3"/>
    <x v="2"/>
    <s v="Telangana"/>
    <s v="Hyderabad"/>
    <s v="Technology"/>
    <x v="2"/>
    <x v="5"/>
    <s v="Max Accessories 291"/>
    <x v="2"/>
    <s v="First Class"/>
    <n v="8"/>
    <n v="3925.93"/>
    <n v="0.15"/>
    <n v="26696.32"/>
    <n v="22724.52"/>
    <n v="3971.8"/>
    <s v="Paid"/>
    <x v="0"/>
    <m/>
    <m/>
    <m/>
    <m/>
    <m/>
    <x v="1"/>
    <m/>
    <m/>
  </r>
  <r>
    <s v="ORD-2025-10752"/>
    <x v="656"/>
    <s v="19-07-2025"/>
    <s v="OK"/>
    <s v="OK"/>
    <s v="CUST-8512"/>
    <s v="Priya Menon"/>
    <s v="Priya Menon"/>
    <s v="Home Office"/>
    <x v="3"/>
    <x v="0"/>
    <s v="Uttar Pradesh"/>
    <s v="Noida"/>
    <s v="Technology"/>
    <x v="2"/>
    <x v="12"/>
    <s v="Eco Machines 414"/>
    <x v="4"/>
    <s v=""/>
    <n v="3"/>
    <n v="2963.25"/>
    <n v="0.05"/>
    <n v="8445.26"/>
    <n v="6937.6"/>
    <n v="1507.66"/>
    <s v="Paid"/>
    <x v="0"/>
    <m/>
    <m/>
    <m/>
    <m/>
    <m/>
    <x v="1"/>
    <m/>
    <m/>
  </r>
  <r>
    <s v="ORD-2024-10753"/>
    <x v="414"/>
    <s v="27-03-2024"/>
    <m/>
    <n v="0"/>
    <s v="CUST-6345"/>
    <s v="Aditi Sen"/>
    <s v="Aditi Sen"/>
    <s v="Corporate"/>
    <x v="2"/>
    <x v="3"/>
    <s v="Gujarat"/>
    <s v="Ahmedabad"/>
    <s v="Office Supplies"/>
    <x v="0"/>
    <x v="8"/>
    <s v="Basic Storage 273"/>
    <x v="2"/>
    <s v="First Class"/>
    <n v="5"/>
    <n v="2465.2199999999998"/>
    <n v="0.05"/>
    <n v="11709.79"/>
    <n v="8372.2900000000009"/>
    <n v="3337.5"/>
    <s v="Paid"/>
    <x v="0"/>
    <m/>
    <m/>
    <m/>
    <m/>
    <m/>
    <x v="1"/>
    <m/>
    <m/>
  </r>
  <r>
    <s v="ORD-2024-10754"/>
    <x v="458"/>
    <s v="10-08-2024"/>
    <m/>
    <n v="0"/>
    <s v="CUST-4505"/>
    <s v="Aditi Sen"/>
    <s v="Aditi Sen"/>
    <s v="Corporate"/>
    <x v="2"/>
    <x v="0"/>
    <s v="Delhi"/>
    <s v="New Delhi"/>
    <s v="Furniture"/>
    <x v="1"/>
    <x v="3"/>
    <s v="Elite Furnishings 588"/>
    <x v="0"/>
    <s v="Second Class"/>
    <n v="3"/>
    <n v="1017.22"/>
    <n v="0.15"/>
    <n v="2593.91"/>
    <n v="1848.48"/>
    <n v="745.43"/>
    <s v="Failed"/>
    <x v="2"/>
    <m/>
    <m/>
    <m/>
    <m/>
    <m/>
    <x v="1"/>
    <m/>
    <m/>
  </r>
  <r>
    <s v="ORD-2025-10755"/>
    <x v="657"/>
    <s v="06/04/2025"/>
    <m/>
    <n v="0"/>
    <s v="CUST-7960"/>
    <s v="Neha Gupta"/>
    <s v="Neha Gupta"/>
    <s v="Corporate"/>
    <x v="2"/>
    <x v="2"/>
    <s v="Kerala"/>
    <s v="Kochi"/>
    <s v="Office Supplies"/>
    <x v="0"/>
    <x v="8"/>
    <s v="Elite Storage 857"/>
    <x v="3"/>
    <s v="Standard Class"/>
    <n v="4"/>
    <n v="891.34"/>
    <n v="0.25"/>
    <n v="2674.02"/>
    <n v="2207.5700000000002"/>
    <n v="466.45"/>
    <s v="Paid"/>
    <x v="0"/>
    <m/>
    <m/>
    <m/>
    <m/>
    <m/>
    <x v="1"/>
    <m/>
    <m/>
  </r>
  <r>
    <s v="ORD-2025-10756"/>
    <x v="190"/>
    <s v="24-07-2025"/>
    <m/>
    <n v="0"/>
    <s v="CUST-3365"/>
    <s v="Priya Menon"/>
    <s v="Priya Menon"/>
    <s v="Home Office"/>
    <x v="3"/>
    <x v="3"/>
    <s v="Madhya Pradesh"/>
    <s v="Indore"/>
    <s v="Office Supplies"/>
    <x v="0"/>
    <x v="8"/>
    <s v="Prime Storage 183"/>
    <x v="0"/>
    <s v="Second Class"/>
    <n v="5"/>
    <n v="2481.7399999999998"/>
    <n v="0.2"/>
    <n v="9926.9599999999991"/>
    <n v="7994.98"/>
    <n v="1931.98"/>
    <s v="Paid"/>
    <x v="0"/>
    <m/>
    <m/>
    <m/>
    <m/>
    <m/>
    <x v="1"/>
    <m/>
    <m/>
  </r>
  <r>
    <s v="ORD-2024-10757"/>
    <x v="658"/>
    <s v="11/01/2024"/>
    <m/>
    <n v="0"/>
    <s v="CUST-1557"/>
    <s v="Rohan Mehta"/>
    <s v="Rohan Mehta"/>
    <s v="Consumer"/>
    <x v="0"/>
    <x v="0"/>
    <s v="Rajasthan"/>
    <s v="Jaipur"/>
    <s v="Technology"/>
    <x v="2"/>
    <x v="5"/>
    <s v="Smart Accessories 362"/>
    <x v="1"/>
    <s v="Same Day"/>
    <n v="7"/>
    <n v="2177.1"/>
    <n v="0.2"/>
    <n v="12191.76"/>
    <n v="10457.49"/>
    <n v="1734.27"/>
    <s v="Paid"/>
    <x v="2"/>
    <m/>
    <m/>
    <m/>
    <m/>
    <m/>
    <x v="1"/>
    <m/>
    <m/>
  </r>
  <r>
    <s v="ORD-2025-10758"/>
    <x v="659"/>
    <s v="2025-08-03"/>
    <m/>
    <n v="0"/>
    <s v="CUST-3058"/>
    <s v="Aditi Sen"/>
    <s v="Aditi Sen"/>
    <s v="Small Business"/>
    <x v="1"/>
    <x v="2"/>
    <s v="Kerala"/>
    <s v="Kochi"/>
    <s v="Furniture"/>
    <x v="1"/>
    <x v="10"/>
    <s v="Classic Bookcases 310"/>
    <x v="3"/>
    <s v="Standard Class"/>
    <n v="3"/>
    <n v="1904.78"/>
    <n v="0.25"/>
    <n v="4285.76"/>
    <n v="2386.33"/>
    <n v="1899.43"/>
    <s v="Failed"/>
    <x v="1"/>
    <m/>
    <m/>
    <m/>
    <m/>
    <m/>
    <x v="1"/>
    <m/>
    <m/>
  </r>
  <r>
    <s v="ORD-2024-10759"/>
    <x v="660"/>
    <s v="10 May 2024"/>
    <m/>
    <n v="0"/>
    <s v="CUST-6076"/>
    <s v="Aarav Sharma"/>
    <s v="Aarav Sharma"/>
    <s v="Small Business"/>
    <x v="1"/>
    <x v="2"/>
    <s v="Karnataka"/>
    <s v="Bengaluru"/>
    <s v="Furniture"/>
    <x v="1"/>
    <x v="4"/>
    <s v="Prime Chairs 721"/>
    <x v="3"/>
    <s v="Standard Class"/>
    <n v="1"/>
    <n v="4166.91"/>
    <n v="0"/>
    <n v="4166.91"/>
    <n v="3412.63"/>
    <n v="754.28"/>
    <s v="Paid"/>
    <x v="0"/>
    <m/>
    <m/>
    <m/>
    <m/>
    <m/>
    <x v="1"/>
    <m/>
    <m/>
  </r>
  <r>
    <s v="ORD-2024-10760"/>
    <x v="123"/>
    <s v="26-07-2024"/>
    <m/>
    <n v="0"/>
    <s v="CUST-2098"/>
    <s v="Arjun Bose"/>
    <s v="Arjun Bose"/>
    <s v="Home Office"/>
    <x v="3"/>
    <x v="2"/>
    <s v="Karnataka"/>
    <s v="Bengaluru"/>
    <s v="Furniture"/>
    <x v="1"/>
    <x v="1"/>
    <s v="Prime Tables 797"/>
    <x v="0"/>
    <s v="Second Class"/>
    <n v="5"/>
    <n v="3986.01"/>
    <n v="0.25"/>
    <n v="14947.54"/>
    <n v="9438.4599999999991"/>
    <n v="5509.08"/>
    <s v="Paid"/>
    <x v="0"/>
    <m/>
    <m/>
    <m/>
    <m/>
    <m/>
    <x v="1"/>
    <m/>
    <m/>
  </r>
  <r>
    <s v="ORD-2024-10761"/>
    <x v="661"/>
    <s v="02 Sep 2024"/>
    <m/>
    <n v="0"/>
    <s v="CUST-7193"/>
    <s v="Aditi Sen"/>
    <s v="Aditi Sen"/>
    <s v="Home Office"/>
    <x v="3"/>
    <x v="1"/>
    <s v="Assam"/>
    <s v="Guwahati"/>
    <s v="Office Supplies"/>
    <x v="0"/>
    <x v="2"/>
    <s v="Max Art 926"/>
    <x v="0"/>
    <s v="Second Class"/>
    <n v="4"/>
    <n v="3365.53"/>
    <n v="0"/>
    <n v="13462.12"/>
    <n v="7600.63"/>
    <n v="5861.49"/>
    <s v="Pending"/>
    <x v="2"/>
    <m/>
    <m/>
    <m/>
    <m/>
    <m/>
    <x v="1"/>
    <m/>
    <m/>
  </r>
  <r>
    <s v="ORD-2025-10762"/>
    <x v="662"/>
    <s v="08/31/2025"/>
    <m/>
    <n v="0"/>
    <s v="CUST-8948"/>
    <s v="Isha Nair"/>
    <s v="Isha Nair"/>
    <s v="Consumer"/>
    <x v="0"/>
    <x v="2"/>
    <s v="Karnataka"/>
    <s v="Bengaluru"/>
    <s v="Technology"/>
    <x v="2"/>
    <x v="12"/>
    <s v="Max Machines 364"/>
    <x v="2"/>
    <s v="First Class"/>
    <n v="3"/>
    <n v="2489.12"/>
    <n v="0"/>
    <n v="7467.36"/>
    <n v="5010.6099999999997"/>
    <n v="2456.75"/>
    <s v="Paid"/>
    <x v="0"/>
    <m/>
    <m/>
    <m/>
    <m/>
    <m/>
    <x v="1"/>
    <m/>
    <m/>
  </r>
  <r>
    <s v="ORD-2024-10763"/>
    <x v="663"/>
    <s v="05 Jan 2024"/>
    <m/>
    <n v="0"/>
    <s v="CUST-6921"/>
    <s v="Diya Patel"/>
    <s v="Diya Patel"/>
    <s v="Corporate"/>
    <x v="2"/>
    <x v="3"/>
    <s v="Madhya Pradesh"/>
    <s v="Indore"/>
    <s v="Technology"/>
    <x v="2"/>
    <x v="12"/>
    <s v="Classic Machines 122"/>
    <x v="0"/>
    <s v="Second Class"/>
    <n v="2"/>
    <n v="3694.12"/>
    <n v="0.2"/>
    <n v="5910.59"/>
    <n v="4775.4399999999996"/>
    <n v="1135.1500000000001"/>
    <s v="Refunded"/>
    <x v="2"/>
    <m/>
    <m/>
    <m/>
    <m/>
    <m/>
    <x v="1"/>
    <m/>
    <m/>
  </r>
  <r>
    <s v="ORD-2025-10764"/>
    <x v="664"/>
    <s v="2025-08-25"/>
    <m/>
    <n v="0"/>
    <s v="CUST-4086"/>
    <s v="Diya Patel"/>
    <s v="Diya Patel"/>
    <s v="Consumer"/>
    <x v="0"/>
    <x v="0"/>
    <s v="Rajasthan"/>
    <s v="Jaipur"/>
    <s v="Furniture"/>
    <x v="1"/>
    <x v="3"/>
    <s v="Elite Furnishings 169"/>
    <x v="1"/>
    <s v="Same Day"/>
    <n v="6"/>
    <n v="2742.48"/>
    <n v="0"/>
    <n v="16454.88"/>
    <n v="12081.54"/>
    <n v="4373.34"/>
    <s v="Paid"/>
    <x v="0"/>
    <m/>
    <m/>
    <m/>
    <m/>
    <m/>
    <x v="1"/>
    <m/>
    <m/>
  </r>
  <r>
    <s v="ORD-2025-10765"/>
    <x v="341"/>
    <s v="13-04-2025"/>
    <m/>
    <n v="0"/>
    <s v="CUST-5174"/>
    <s v="Priya Menon"/>
    <s v="Priya Menon"/>
    <s v="Corporate"/>
    <x v="2"/>
    <x v="2"/>
    <s v="Kerala"/>
    <s v="Kochi"/>
    <s v="Furniture"/>
    <x v="1"/>
    <x v="10"/>
    <s v="Pro Bookcases 615"/>
    <x v="2"/>
    <s v="First Class"/>
    <n v="6"/>
    <n v="4414"/>
    <n v="0.05"/>
    <n v="25159.8"/>
    <n v="21606.83"/>
    <n v="3552.97"/>
    <s v="Paid"/>
    <x v="0"/>
    <m/>
    <m/>
    <m/>
    <m/>
    <m/>
    <x v="1"/>
    <m/>
    <m/>
  </r>
  <r>
    <s v="ORD-2025-10766"/>
    <x v="665"/>
    <s v="2025-07-03"/>
    <m/>
    <n v="0"/>
    <s v="CUST-8747"/>
    <s v="Vikram Iyer"/>
    <s v="Vikram Iyer"/>
    <s v="Corporate"/>
    <x v="2"/>
    <x v="1"/>
    <s v="Jharkhand"/>
    <s v="Ranchi"/>
    <s v="Office Supplies"/>
    <x v="0"/>
    <x v="7"/>
    <s v="Max Labels 136"/>
    <x v="2"/>
    <s v="First Class"/>
    <n v="3"/>
    <n v="608.14"/>
    <n v="0"/>
    <n v="1824.42"/>
    <n v="1214.8699999999999"/>
    <n v="609.54999999999995"/>
    <s v="Paid"/>
    <x v="0"/>
    <m/>
    <m/>
    <m/>
    <m/>
    <m/>
    <x v="1"/>
    <m/>
    <m/>
  </r>
  <r>
    <s v="ORD-2024-10767"/>
    <x v="666"/>
    <s v="24 Sep 2024"/>
    <m/>
    <n v="0"/>
    <s v="CUST-3156"/>
    <s v="Mira Das"/>
    <s v="Mira Das"/>
    <s v="Corporate"/>
    <x v="2"/>
    <x v="3"/>
    <s v="Gujarat"/>
    <s v="Ahmedabad"/>
    <s v="Office Supplies"/>
    <x v="0"/>
    <x v="2"/>
    <s v="Prime Art 380"/>
    <x v="0"/>
    <s v="Second Class"/>
    <n v="9"/>
    <n v="2307.96"/>
    <n v="0.2"/>
    <n v="16617.310000000001"/>
    <n v="9195.73"/>
    <n v="7421.58"/>
    <s v="Paid"/>
    <x v="1"/>
    <m/>
    <m/>
    <m/>
    <m/>
    <m/>
    <x v="1"/>
    <m/>
    <m/>
  </r>
  <r>
    <s v="ORD-2024-10768"/>
    <x v="667"/>
    <s v="05/06/2024"/>
    <m/>
    <n v="0"/>
    <s v="CUST-2043"/>
    <s v="Ananya Rao"/>
    <s v="Ananya Rao"/>
    <s v="Home Office"/>
    <x v="3"/>
    <x v="0"/>
    <s v="Uttar Pradesh"/>
    <s v="Noida"/>
    <s v="Office Supplies"/>
    <x v="0"/>
    <x v="9"/>
    <s v="Classic Binders 234"/>
    <x v="3"/>
    <s v="Standard Class"/>
    <n v="1"/>
    <n v="1244.58"/>
    <n v="0.25"/>
    <n v="933.43"/>
    <n v="583.09"/>
    <n v="350.34"/>
    <s v="Paid"/>
    <x v="0"/>
    <m/>
    <m/>
    <m/>
    <m/>
    <m/>
    <x v="1"/>
    <m/>
    <m/>
  </r>
  <r>
    <s v="ORD-2025-10769"/>
    <x v="668"/>
    <s v="2025-04-04"/>
    <m/>
    <n v="0"/>
    <s v="CUST-8808"/>
    <s v="Sneha Kapoor"/>
    <s v="Sneha Kapoor"/>
    <s v="Home Office"/>
    <x v="3"/>
    <x v="1"/>
    <s v="Jharkhand"/>
    <s v="Ranchi"/>
    <s v="Office Supplies"/>
    <x v="0"/>
    <x v="0"/>
    <s v="Classic Paper 280"/>
    <x v="1"/>
    <s v="Same Day"/>
    <n v="5"/>
    <n v="3234.24"/>
    <n v="0.1"/>
    <n v="14554.08"/>
    <n v="11166.84"/>
    <n v="3387.24"/>
    <s v="Paid"/>
    <x v="0"/>
    <m/>
    <m/>
    <m/>
    <m/>
    <m/>
    <x v="1"/>
    <m/>
    <m/>
  </r>
  <r>
    <s v="ORD-2024-10770"/>
    <x v="669"/>
    <s v="13 May 2024"/>
    <m/>
    <n v="0"/>
    <s v="CUST-1293"/>
    <s v="Priya Menon"/>
    <s v="Priya Menon"/>
    <s v="Home Office"/>
    <x v="3"/>
    <x v="3"/>
    <s v="Goa"/>
    <s v="Panaji"/>
    <s v="Furniture"/>
    <x v="1"/>
    <x v="10"/>
    <s v="Classic Bookcases 922"/>
    <x v="1"/>
    <s v="Same Day"/>
    <n v="3"/>
    <n v="3612.75"/>
    <n v="0.25"/>
    <n v="8128.69"/>
    <n v="5071.66"/>
    <n v="3057.03"/>
    <s v="Paid"/>
    <x v="0"/>
    <m/>
    <m/>
    <m/>
    <m/>
    <m/>
    <x v="1"/>
    <m/>
    <m/>
  </r>
  <r>
    <s v="ORD-2024-10771"/>
    <x v="670"/>
    <s v="17-02-2024"/>
    <m/>
    <n v="0"/>
    <s v="CUST-8384"/>
    <s v="Neha Gupta"/>
    <s v="Neha Gupta"/>
    <s v="Consumer"/>
    <x v="0"/>
    <x v="0"/>
    <s v="Uttar Pradesh"/>
    <s v="Noida"/>
    <s v="Technology"/>
    <x v="2"/>
    <x v="6"/>
    <s v="Eco Copiers 396"/>
    <x v="2"/>
    <s v="First Class"/>
    <n v="4"/>
    <n v="863"/>
    <m/>
    <n v="3106.8"/>
    <n v="2376.62"/>
    <n v="730.18"/>
    <s v="Paid"/>
    <x v="0"/>
    <m/>
    <m/>
    <m/>
    <m/>
    <m/>
    <x v="1"/>
    <m/>
    <m/>
  </r>
  <r>
    <s v="ORD-2024-10772"/>
    <x v="671"/>
    <s v="2024-07-14"/>
    <m/>
    <n v="0"/>
    <s v="CUST-7861"/>
    <s v="Ananya Rao"/>
    <s v="Ananya Rao"/>
    <s v="Consumer"/>
    <x v="0"/>
    <x v="0"/>
    <s v="Haryana"/>
    <s v="Gurugram"/>
    <s v="Technology"/>
    <x v="2"/>
    <x v="12"/>
    <s v="Basic Machines 401"/>
    <x v="0"/>
    <s v="Second Class"/>
    <n v="4"/>
    <n v="2131.41"/>
    <m/>
    <n v="6394.23"/>
    <n v="3520.69"/>
    <n v="2873.54"/>
    <s v="Paid"/>
    <x v="0"/>
    <m/>
    <m/>
    <m/>
    <m/>
    <m/>
    <x v="1"/>
    <m/>
    <m/>
  </r>
  <r>
    <s v="ORD-2025-10773"/>
    <x v="18"/>
    <s v="19 Jul 2025"/>
    <m/>
    <n v="0"/>
    <s v="CUST-8422"/>
    <s v="Diya Patel"/>
    <s v="Diya Patel"/>
    <s v="Consumer"/>
    <x v="0"/>
    <x v="2"/>
    <s v="Tamil Nadu"/>
    <s v="Chennai"/>
    <s v="Furniture"/>
    <x v="1"/>
    <x v="4"/>
    <s v="Basic Chairs 279"/>
    <x v="1"/>
    <s v="Same Day"/>
    <n v="1"/>
    <n v="3903.22"/>
    <n v="0.05"/>
    <n v="3708.06"/>
    <n v="2760.29"/>
    <n v="947.77"/>
    <s v="Pending"/>
    <x v="1"/>
    <m/>
    <m/>
    <m/>
    <m/>
    <m/>
    <x v="1"/>
    <m/>
    <m/>
  </r>
  <r>
    <s v="ORD-2025-10774"/>
    <x v="672"/>
    <s v="21 Feb 2025"/>
    <m/>
    <n v="0"/>
    <s v="CUST-4766"/>
    <s v="Karan Malhotra"/>
    <s v="Karan Malhotra"/>
    <s v="Home Office"/>
    <x v="3"/>
    <x v="3"/>
    <s v="Gujarat"/>
    <s v="Ahmedabad"/>
    <s v="Technology"/>
    <x v="2"/>
    <x v="11"/>
    <s v="Basic Phones 753"/>
    <x v="4"/>
    <s v=""/>
    <n v="4"/>
    <n v="2945.07"/>
    <n v="0.2"/>
    <n v="9424.2199999999993"/>
    <n v="6178.92"/>
    <n v="3245.3"/>
    <s v="Paid"/>
    <x v="0"/>
    <m/>
    <m/>
    <m/>
    <m/>
    <m/>
    <x v="1"/>
    <m/>
    <m/>
  </r>
  <r>
    <s v="ORD-2025-10775"/>
    <x v="673"/>
    <s v="2025-08-07"/>
    <m/>
    <n v="0"/>
    <s v="CUST-1182"/>
    <s v="Kabir Singh"/>
    <s v="Kabir Singh"/>
    <s v="Consumer"/>
    <x v="0"/>
    <x v="3"/>
    <s v="Rajasthan"/>
    <s v="Udaipur"/>
    <s v="Technology"/>
    <x v="2"/>
    <x v="12"/>
    <s v="Smart Machines 789"/>
    <x v="4"/>
    <s v=""/>
    <n v="9"/>
    <n v="1076.75"/>
    <n v="0.2"/>
    <n v="7752.6"/>
    <n v="4689.3"/>
    <n v="3063.3"/>
    <s v="Paid"/>
    <x v="0"/>
    <m/>
    <m/>
    <m/>
    <m/>
    <m/>
    <x v="1"/>
    <m/>
    <m/>
  </r>
  <r>
    <s v="ORD-2024-10776"/>
    <x v="674"/>
    <s v="22-04-2024"/>
    <m/>
    <n v="0"/>
    <s v="CUST-4461"/>
    <s v="Arjun Bose"/>
    <s v="Arjun Bose"/>
    <s v="Consumer"/>
    <x v="0"/>
    <x v="0"/>
    <s v="Haryana"/>
    <s v="Gurugram"/>
    <s v="Technology"/>
    <x v="2"/>
    <x v="5"/>
    <s v="Elite Accessories 312"/>
    <x v="3"/>
    <s v="Standard Class"/>
    <n v="8"/>
    <n v="3956.12"/>
    <n v="0.25"/>
    <n v="23736.720000000001"/>
    <n v="13890.9"/>
    <n v="9845.82"/>
    <s v="Paid"/>
    <x v="0"/>
    <m/>
    <m/>
    <m/>
    <m/>
    <m/>
    <x v="1"/>
    <m/>
    <m/>
  </r>
  <r>
    <s v="ORD-2025-10777"/>
    <x v="675"/>
    <s v="06/13/2025"/>
    <m/>
    <n v="0"/>
    <s v="CUST-9690"/>
    <s v="Aditi Sen"/>
    <s v="Aditi Sen"/>
    <s v="Small Business"/>
    <x v="1"/>
    <x v="0"/>
    <s v="Rajasthan"/>
    <s v="Jaipur"/>
    <s v="Technology"/>
    <x v="2"/>
    <x v="6"/>
    <s v="Eco Copiers 528"/>
    <x v="0"/>
    <s v="Second Class"/>
    <n v="7"/>
    <n v="3857.13"/>
    <n v="0"/>
    <n v="26999.91"/>
    <n v="17815.98"/>
    <n v="9183.93"/>
    <s v="Paid"/>
    <x v="0"/>
    <m/>
    <m/>
    <m/>
    <m/>
    <m/>
    <x v="1"/>
    <m/>
    <m/>
  </r>
  <r>
    <s v="ORD-2024-10778"/>
    <x v="676"/>
    <s v="2024-02-06"/>
    <m/>
    <n v="0"/>
    <s v="CUST-6879"/>
    <s v="Kabir Singh"/>
    <s v="Kabir Singh"/>
    <s v="Small Business"/>
    <x v="1"/>
    <x v="3"/>
    <s v="Madhya Pradesh"/>
    <s v="Indore"/>
    <s v="Technology"/>
    <x v="2"/>
    <x v="5"/>
    <s v="Elite Accessories 226"/>
    <x v="0"/>
    <s v="Second Class"/>
    <n v="4"/>
    <n v="1489.74"/>
    <n v="0.15"/>
    <n v="5065.12"/>
    <n v="3530.12"/>
    <n v="1535"/>
    <s v="Failed"/>
    <x v="1"/>
    <m/>
    <m/>
    <m/>
    <m/>
    <m/>
    <x v="1"/>
    <m/>
    <m/>
  </r>
  <r>
    <s v="ORD-2024-10779"/>
    <x v="677"/>
    <s v="24-07-2024"/>
    <m/>
    <n v="0"/>
    <s v="CUST-4714"/>
    <s v="Karan Malhotra"/>
    <s v="Karan Malhotra"/>
    <s v="Small Business"/>
    <x v="1"/>
    <x v="0"/>
    <s v="Haryana"/>
    <s v="Gurugram"/>
    <s v="Technology"/>
    <x v="2"/>
    <x v="6"/>
    <s v="Pro Copiers 298"/>
    <x v="0"/>
    <s v="Second Class"/>
    <n v="4"/>
    <n v="1676.88"/>
    <n v="0"/>
    <n v="6707.52"/>
    <n v="5672.57"/>
    <n v="1034.95"/>
    <s v="Paid"/>
    <x v="0"/>
    <m/>
    <m/>
    <m/>
    <m/>
    <m/>
    <x v="1"/>
    <m/>
    <m/>
  </r>
  <r>
    <s v="ORD-2024-10780"/>
    <x v="411"/>
    <s v="20-01-2024"/>
    <m/>
    <n v="0"/>
    <s v="CUST-7547"/>
    <s v="Priya Menon"/>
    <s v="Priya Menon"/>
    <s v="Small Business"/>
    <x v="1"/>
    <x v="2"/>
    <s v="Andhra Pradesh"/>
    <s v="Vijayawada"/>
    <s v="Furniture"/>
    <x v="1"/>
    <x v="4"/>
    <s v="Prime Chairs 331"/>
    <x v="3"/>
    <s v="Standard Class"/>
    <n v="4"/>
    <n v="3153.54"/>
    <n v="0.05"/>
    <n v="11983.45"/>
    <n v="8572.9"/>
    <n v="3410.55"/>
    <s v="Paid"/>
    <x v="0"/>
    <m/>
    <m/>
    <m/>
    <m/>
    <m/>
    <x v="1"/>
    <m/>
    <m/>
  </r>
  <r>
    <s v="ORD-2024-10781"/>
    <x v="678"/>
    <s v="08/10/2024"/>
    <m/>
    <n v="0"/>
    <s v="CUST-3288"/>
    <s v="Diya Patel"/>
    <s v="Diya Patel"/>
    <s v="Small Business"/>
    <x v="1"/>
    <x v="3"/>
    <s v="Rajasthan"/>
    <s v="Udaipur"/>
    <s v="Furniture"/>
    <x v="1"/>
    <x v="4"/>
    <s v="Classic Chairs 798"/>
    <x v="1"/>
    <s v="Same Day"/>
    <n v="4"/>
    <n v="426.43"/>
    <n v="0.2"/>
    <n v="1364.58"/>
    <n v="978.16"/>
    <n v="386.42"/>
    <s v="Paid"/>
    <x v="0"/>
    <m/>
    <m/>
    <m/>
    <m/>
    <m/>
    <x v="1"/>
    <m/>
    <m/>
  </r>
  <r>
    <s v="ORD-2024-10782"/>
    <x v="679"/>
    <s v="10 Feb 2024"/>
    <m/>
    <n v="0"/>
    <s v="CUST-8597"/>
    <s v="Karan Malhotra"/>
    <s v="Karan Malhotra"/>
    <s v="Home Office"/>
    <x v="3"/>
    <x v="3"/>
    <s v="Rajasthan"/>
    <s v="Udaipur"/>
    <s v="Office Supplies"/>
    <x v="0"/>
    <x v="7"/>
    <s v="Classic Labels 204"/>
    <x v="2"/>
    <s v="First Class"/>
    <n v="3"/>
    <n v="383.4"/>
    <n v="0.25"/>
    <n v="862.65"/>
    <n v="603.73"/>
    <n v="258.92"/>
    <s v="Pending"/>
    <x v="2"/>
    <m/>
    <m/>
    <m/>
    <m/>
    <m/>
    <x v="1"/>
    <m/>
    <m/>
  </r>
  <r>
    <s v="ORD-2025-10783"/>
    <x v="680"/>
    <s v="03/22/2025"/>
    <m/>
    <n v="0"/>
    <s v="CUST-9085"/>
    <s v="Mira Das"/>
    <s v="Mira Das"/>
    <s v="Corporate"/>
    <x v="2"/>
    <x v="1"/>
    <s v="West Bengal"/>
    <s v="Kolkata"/>
    <s v="Technology"/>
    <x v="2"/>
    <x v="6"/>
    <s v="Basic Copiers 254"/>
    <x v="3"/>
    <s v="Standard Class"/>
    <n v="2"/>
    <n v="669.63"/>
    <n v="0.15"/>
    <n v="1138.3699999999999"/>
    <n v="797.34"/>
    <n v="341.03"/>
    <s v="Paid"/>
    <x v="0"/>
    <m/>
    <m/>
    <m/>
    <m/>
    <m/>
    <x v="1"/>
    <m/>
    <m/>
  </r>
  <r>
    <s v="ORD-2024-10784"/>
    <x v="681"/>
    <s v="2024-06-07"/>
    <m/>
    <n v="0"/>
    <s v="CUST-7746"/>
    <s v="Aarav Sharma"/>
    <s v="Aarav Sharma"/>
    <s v="Small Business"/>
    <x v="1"/>
    <x v="1"/>
    <s v="Bihar"/>
    <s v="Patna"/>
    <s v="Office Supplies"/>
    <x v="0"/>
    <x v="2"/>
    <s v="Basic Art 709"/>
    <x v="0"/>
    <s v="Second Class"/>
    <n v="1"/>
    <n v="2581.9299999999998"/>
    <n v="0.05"/>
    <n v="2452.83"/>
    <n v="1906.7"/>
    <n v="546.13"/>
    <s v="Paid"/>
    <x v="0"/>
    <m/>
    <m/>
    <m/>
    <m/>
    <m/>
    <x v="1"/>
    <m/>
    <m/>
  </r>
  <r>
    <s v="ORD-2025-10785"/>
    <x v="682"/>
    <s v="2025-10-05"/>
    <m/>
    <n v="0"/>
    <s v="CUST-3119"/>
    <s v="Priya Menon"/>
    <s v="Priya Menon"/>
    <s v="Corporate"/>
    <x v="2"/>
    <x v="0"/>
    <s v="Punjab"/>
    <s v="Ludhiana"/>
    <s v="Technology"/>
    <x v="2"/>
    <x v="6"/>
    <s v="Max Copiers 551"/>
    <x v="2"/>
    <s v="First Class"/>
    <n v="4"/>
    <n v="418.18"/>
    <n v="0.05"/>
    <n v="1589.08"/>
    <n v="1084.6600000000001"/>
    <n v="504.42"/>
    <s v="Paid"/>
    <x v="0"/>
    <m/>
    <m/>
    <m/>
    <m/>
    <m/>
    <x v="1"/>
    <m/>
    <m/>
  </r>
  <r>
    <s v="ORD-2024-10786"/>
    <x v="683"/>
    <s v="29-05-2024"/>
    <m/>
    <n v="0"/>
    <s v="CUST-7518"/>
    <s v="Diya Patel"/>
    <s v="Diya Patel"/>
    <s v="Small Business"/>
    <x v="1"/>
    <x v="0"/>
    <s v="Haryana"/>
    <s v="Gurugram"/>
    <s v="Office Supplies"/>
    <x v="0"/>
    <x v="8"/>
    <s v="Eco Storage 183"/>
    <x v="1"/>
    <s v="Same Day"/>
    <n v="2"/>
    <n v="3012.94"/>
    <n v="0.25"/>
    <n v="4519.41"/>
    <n v="3504.16"/>
    <n v="1275.55"/>
    <s v="Failed"/>
    <x v="1"/>
    <m/>
    <m/>
    <m/>
    <m/>
    <m/>
    <x v="1"/>
    <m/>
    <m/>
  </r>
  <r>
    <s v="ORD-2025-10787"/>
    <x v="226"/>
    <s v="08 Jul 2025"/>
    <m/>
    <n v="0"/>
    <s v="CUST-1343"/>
    <s v="Ananya Rao"/>
    <s v="Ananya Rao"/>
    <s v="Corporate"/>
    <x v="2"/>
    <x v="0"/>
    <s v="Rajasthan"/>
    <s v="Jaipur"/>
    <s v="Furniture"/>
    <x v="1"/>
    <x v="3"/>
    <s v="Pro Furnishings 233"/>
    <x v="4"/>
    <s v=""/>
    <n v="4"/>
    <n v="715.45"/>
    <n v="0.05"/>
    <n v="2718.71"/>
    <n v="2065.0500000000002"/>
    <n v="653.66"/>
    <s v="Refunded"/>
    <x v="2"/>
    <m/>
    <m/>
    <m/>
    <m/>
    <m/>
    <x v="1"/>
    <m/>
    <m/>
  </r>
  <r>
    <s v="ORD-2024-10788"/>
    <x v="236"/>
    <s v="2024-09-18"/>
    <m/>
    <n v="0"/>
    <s v="CUST-7548"/>
    <s v="Ananya Rao"/>
    <s v="Ananya Rao"/>
    <s v="Home Office"/>
    <x v="3"/>
    <x v="1"/>
    <s v="Bihar"/>
    <s v="Patna"/>
    <s v="Office Supplies"/>
    <x v="0"/>
    <x v="0"/>
    <s v="Prime Paper 878"/>
    <x v="0"/>
    <s v="Second Class"/>
    <n v="2"/>
    <n v="3718.77"/>
    <n v="0.05"/>
    <n v="7065.66"/>
    <n v="4915.2700000000004"/>
    <n v="2150.39"/>
    <s v="Paid"/>
    <x v="0"/>
    <m/>
    <m/>
    <m/>
    <m/>
    <m/>
    <x v="1"/>
    <m/>
    <m/>
  </r>
  <r>
    <s v="ORD-2024-10789"/>
    <x v="484"/>
    <s v="02-08-2024"/>
    <m/>
    <n v="0"/>
    <s v="CUST-3631"/>
    <s v="Isha Nair"/>
    <s v="Isha Nair"/>
    <s v="Corporate"/>
    <x v="2"/>
    <x v="0"/>
    <s v="Uttar Pradesh"/>
    <s v="Noida"/>
    <s v="Furniture"/>
    <x v="1"/>
    <x v="4"/>
    <s v="Smart Chairs 353"/>
    <x v="3"/>
    <s v="Standard Class"/>
    <n v="8"/>
    <n v="2487.64"/>
    <n v="0.1"/>
    <n v="17911.009999999998"/>
    <n v="11546.05"/>
    <n v="6364.96"/>
    <s v="Failed"/>
    <x v="2"/>
    <m/>
    <m/>
    <m/>
    <m/>
    <m/>
    <x v="1"/>
    <m/>
    <m/>
  </r>
  <r>
    <s v="ORD-2025-10790"/>
    <x v="684"/>
    <s v="08 Mar 2025"/>
    <s v="OK"/>
    <s v="OK"/>
    <s v="CUST-1453"/>
    <s v="Priya Menon"/>
    <s v="Priya Menon"/>
    <s v="Home Office"/>
    <x v="3"/>
    <x v="0"/>
    <s v="Rajasthan"/>
    <s v="Udaipur"/>
    <s v="Technology"/>
    <x v="2"/>
    <x v="6"/>
    <s v="Smart Copiers 408"/>
    <x v="1"/>
    <s v="Same Day"/>
    <n v="4"/>
    <n v="3537.48"/>
    <n v="0"/>
    <n v="14149.92"/>
    <n v="9466.51"/>
    <n v="4683.41"/>
    <s v="Paid"/>
    <x v="0"/>
    <m/>
    <m/>
    <m/>
    <m/>
    <m/>
    <x v="1"/>
    <m/>
    <m/>
  </r>
  <r>
    <s v="ORD-2024-10791"/>
    <x v="685"/>
    <s v="2024-06-02"/>
    <m/>
    <n v="0"/>
    <s v="CUST-1951"/>
    <s v="Rahul Verma"/>
    <s v="Rahul Verma"/>
    <s v="Corporate"/>
    <x v="2"/>
    <x v="2"/>
    <s v="Andhra Pradesh"/>
    <s v="Vijayawada"/>
    <s v="Office Supplies"/>
    <x v="0"/>
    <x v="2"/>
    <s v="Classic Art 781"/>
    <x v="3"/>
    <s v="Standard Class"/>
    <n v="8"/>
    <n v="667.59"/>
    <n v="0.2"/>
    <n v="4272.58"/>
    <n v="3328.92"/>
    <n v="943.66"/>
    <s v="Paid"/>
    <x v="0"/>
    <m/>
    <m/>
    <m/>
    <m/>
    <m/>
    <x v="1"/>
    <m/>
    <m/>
  </r>
  <r>
    <s v="ORD-2024-10792"/>
    <x v="565"/>
    <s v="2024-10-06"/>
    <m/>
    <n v="0"/>
    <s v="CUST-6300"/>
    <s v="Rahul Verma"/>
    <s v="Rahul Verma"/>
    <s v="Home Office"/>
    <x v="3"/>
    <x v="2"/>
    <s v="Karnataka"/>
    <s v="Bengaluru"/>
    <s v="Furniture"/>
    <x v="1"/>
    <x v="10"/>
    <s v="Eco Bookcases 144"/>
    <x v="1"/>
    <s v="Same Day"/>
    <n v="8"/>
    <n v="1558.77"/>
    <n v="0.25"/>
    <n v="9352.6200000000008"/>
    <n v="5269.41"/>
    <n v="4083.21"/>
    <s v="Paid"/>
    <x v="0"/>
    <m/>
    <m/>
    <m/>
    <m/>
    <m/>
    <x v="1"/>
    <m/>
    <m/>
  </r>
  <r>
    <s v="ORD-2025-10793"/>
    <x v="217"/>
    <s v="08 Jun 2025"/>
    <m/>
    <n v="0"/>
    <s v="CUST-1417"/>
    <s v="Arjun Bose"/>
    <s v="Arjun Bose"/>
    <s v="Small Business"/>
    <x v="1"/>
    <x v="1"/>
    <s v="Assam"/>
    <s v="Guwahati"/>
    <s v="Furniture"/>
    <x v="1"/>
    <x v="3"/>
    <s v="Elite Furnishings 852"/>
    <x v="0"/>
    <s v="Second Class"/>
    <n v="1"/>
    <n v="3501.12"/>
    <n v="0.2"/>
    <n v="2800.9"/>
    <n v="1735.98"/>
    <n v="1064.92"/>
    <s v="Paid"/>
    <x v="2"/>
    <m/>
    <m/>
    <m/>
    <m/>
    <m/>
    <x v="1"/>
    <m/>
    <m/>
  </r>
  <r>
    <s v="ORD-2024-10794"/>
    <x v="215"/>
    <s v="03 Jun 2024"/>
    <m/>
    <n v="0"/>
    <s v="CUST-5421"/>
    <s v="Vikram Iyer"/>
    <s v="Vikram Iyer"/>
    <s v="Corporate"/>
    <x v="2"/>
    <x v="0"/>
    <s v="Rajasthan"/>
    <s v="Jaipur"/>
    <s v="Technology"/>
    <x v="2"/>
    <x v="6"/>
    <s v="Basic Copiers 238"/>
    <x v="0"/>
    <s v="Second Class"/>
    <n v="5"/>
    <n v="4302.32"/>
    <n v="0"/>
    <n v="21511.599999999999"/>
    <n v="15408.47"/>
    <n v="6103.13"/>
    <s v="Paid"/>
    <x v="0"/>
    <m/>
    <m/>
    <m/>
    <m/>
    <m/>
    <x v="1"/>
    <m/>
    <m/>
  </r>
  <r>
    <s v="ORD-2025-10795"/>
    <x v="686"/>
    <s v="2025-06-24"/>
    <m/>
    <n v="0"/>
    <s v="CUST-2829"/>
    <s v="Sneha Kapoor"/>
    <s v="Sneha Kapoor"/>
    <s v="Corporate"/>
    <x v="2"/>
    <x v="1"/>
    <s v="Assam"/>
    <s v="Guwahati"/>
    <s v="Office Supplies"/>
    <x v="0"/>
    <x v="0"/>
    <s v="Elite Paper 847"/>
    <x v="3"/>
    <s v="Standard Class"/>
    <n v="9"/>
    <n v="951.55"/>
    <n v="0.15"/>
    <n v="7279.36"/>
    <n v="4870.3900000000003"/>
    <n v="2408.9699999999998"/>
    <s v="Paid"/>
    <x v="0"/>
    <m/>
    <m/>
    <m/>
    <m/>
    <m/>
    <x v="1"/>
    <m/>
    <m/>
  </r>
  <r>
    <s v="ORD-2024-10796"/>
    <x v="687"/>
    <s v="2024-07-30"/>
    <m/>
    <n v="0"/>
    <s v="CUST-6529"/>
    <s v="Diya Patel"/>
    <s v="Diya Patel"/>
    <s v="Home Office"/>
    <x v="3"/>
    <x v="1"/>
    <s v="Odisha"/>
    <s v="Bhubaneswar"/>
    <s v="Technology"/>
    <x v="2"/>
    <x v="6"/>
    <s v="Pro Copiers 653"/>
    <x v="1"/>
    <s v="Same Day"/>
    <n v="9"/>
    <n v="2894.66"/>
    <n v="0"/>
    <n v="26051.94"/>
    <n v="16883.59"/>
    <n v="9168.35"/>
    <s v="Refunded"/>
    <x v="1"/>
    <m/>
    <m/>
    <m/>
    <m/>
    <m/>
    <x v="1"/>
    <m/>
    <m/>
  </r>
  <r>
    <s v="ORD-2024-10797"/>
    <x v="135"/>
    <s v="30-03-2024"/>
    <m/>
    <n v="0"/>
    <s v="CUST-3126"/>
    <s v="Rohan Mehta"/>
    <s v="Rohan Mehta"/>
    <s v="Small Business"/>
    <x v="1"/>
    <x v="2"/>
    <s v="Andhra Pradesh"/>
    <s v="Vijayawada"/>
    <s v="Technology"/>
    <x v="2"/>
    <x v="12"/>
    <s v="Elite Machines 459"/>
    <x v="2"/>
    <s v="First Class"/>
    <n v="6"/>
    <n v="1894.44"/>
    <n v="0.15"/>
    <n v="9661.64"/>
    <n v="6303.77"/>
    <n v="3357.87"/>
    <s v="Paid"/>
    <x v="0"/>
    <m/>
    <m/>
    <m/>
    <m/>
    <m/>
    <x v="1"/>
    <m/>
    <m/>
  </r>
  <r>
    <s v="ORD-2024-10798"/>
    <x v="688"/>
    <s v="22-04-2024"/>
    <m/>
    <n v="0"/>
    <s v="CUST-3991"/>
    <s v="Aarav Sharma"/>
    <s v="Aarav Sharma"/>
    <s v="Consumer"/>
    <x v="0"/>
    <x v="1"/>
    <s v="Odisha"/>
    <s v="Bhubaneswar"/>
    <s v="Office Supplies"/>
    <x v="0"/>
    <x v="9"/>
    <s v="Elite Binders 764"/>
    <x v="2"/>
    <s v="First Class"/>
    <n v="8"/>
    <n v="1714.37"/>
    <n v="0"/>
    <n v="13714.96"/>
    <n v="10550.47"/>
    <n v="3164.49"/>
    <s v="Failed"/>
    <x v="1"/>
    <m/>
    <m/>
    <m/>
    <m/>
    <m/>
    <x v="1"/>
    <m/>
    <m/>
  </r>
  <r>
    <s v="ORD-2025-10799"/>
    <x v="689"/>
    <s v="09-07-2025"/>
    <m/>
    <n v="0"/>
    <s v="CUST-7553"/>
    <s v="Aditi Sen"/>
    <s v="Aditi Sen"/>
    <s v="Corporate"/>
    <x v="2"/>
    <x v="0"/>
    <s v="Delhi"/>
    <s v="New Delhi"/>
    <s v="Furniture"/>
    <x v="1"/>
    <x v="3"/>
    <s v="Classic Furnishings 348"/>
    <x v="3"/>
    <s v="Standard Class"/>
    <n v="9"/>
    <n v="1706.05"/>
    <n v="0"/>
    <n v="15354.45"/>
    <n v="9656.5"/>
    <n v="5697.95"/>
    <s v="Paid"/>
    <x v="0"/>
    <m/>
    <m/>
    <m/>
    <m/>
    <m/>
    <x v="1"/>
    <m/>
    <m/>
  </r>
  <r>
    <s v="ORD-2024-10800"/>
    <x v="690"/>
    <s v="2024-10-17"/>
    <m/>
    <n v="0"/>
    <s v="CUST-8527"/>
    <s v="Isha Nair"/>
    <s v="Isha Nair"/>
    <s v="Home Office"/>
    <x v="3"/>
    <x v="0"/>
    <s v="Haryana"/>
    <s v="Gurugram"/>
    <s v="Technology"/>
    <x v="2"/>
    <x v="5"/>
    <s v="Smart Accessories 487"/>
    <x v="4"/>
    <s v=""/>
    <n v="5"/>
    <n v="967.41"/>
    <n v="0.05"/>
    <n v="4595.2"/>
    <n v="3887.41"/>
    <n v="707.79"/>
    <s v="Paid"/>
    <x v="2"/>
    <m/>
    <m/>
    <m/>
    <m/>
    <m/>
    <x v="1"/>
    <m/>
    <m/>
  </r>
  <r>
    <s v="ORD-2024-10801"/>
    <x v="691"/>
    <s v="2024-03-07"/>
    <m/>
    <n v="0"/>
    <s v="CUST-5015"/>
    <s v="Vikram Iyer"/>
    <s v="Vikram Iyer"/>
    <s v="Small Business"/>
    <x v="1"/>
    <x v="3"/>
    <s v="Maharashtra"/>
    <s v="Mumbai"/>
    <s v="Office Supplies"/>
    <x v="0"/>
    <x v="8"/>
    <s v="Elite Storage 825"/>
    <x v="0"/>
    <s v="Second Class"/>
    <n v="6"/>
    <n v="4163.72"/>
    <n v="0.15"/>
    <n v="21234.97"/>
    <n v="16736.09"/>
    <n v="4498.88"/>
    <s v="Paid"/>
    <x v="0"/>
    <m/>
    <m/>
    <m/>
    <m/>
    <m/>
    <x v="1"/>
    <m/>
    <m/>
  </r>
  <r>
    <s v="ORD-2025-10802"/>
    <x v="692"/>
    <s v="15 Oct 2025"/>
    <m/>
    <n v="0"/>
    <s v="CUST-3344"/>
    <s v="Aarav Sharma"/>
    <s v="Aarav Sharma"/>
    <s v="Home Office"/>
    <x v="3"/>
    <x v="1"/>
    <s v="Odisha"/>
    <s v="Bhubaneswar"/>
    <s v="Technology"/>
    <x v="2"/>
    <x v="5"/>
    <s v="Pro Accessories 500"/>
    <x v="0"/>
    <s v="Second Class"/>
    <n v="3"/>
    <n v="3372.21"/>
    <n v="0.2"/>
    <n v="8093.3"/>
    <n v="6052.43"/>
    <n v="2040.87"/>
    <s v="Pending"/>
    <x v="1"/>
    <m/>
    <m/>
    <m/>
    <m/>
    <m/>
    <x v="1"/>
    <m/>
    <m/>
  </r>
  <r>
    <s v="ORD-2025-10803"/>
    <x v="693"/>
    <s v="2025-02-16"/>
    <m/>
    <n v="0"/>
    <s v="CUST-5866"/>
    <s v="Rohan Mehta"/>
    <s v="Rohan Mehta"/>
    <s v="Small Business"/>
    <x v="1"/>
    <x v="1"/>
    <s v="Assam"/>
    <s v="Guwahati"/>
    <s v="Furniture"/>
    <x v="1"/>
    <x v="3"/>
    <s v="Pro Furnishings 909"/>
    <x v="0"/>
    <s v="Second Class"/>
    <n v="6"/>
    <n v="1441.91"/>
    <n v="0"/>
    <n v="8651.4599999999991"/>
    <n v="5254.62"/>
    <n v="3396.84"/>
    <s v="Failed"/>
    <x v="2"/>
    <m/>
    <m/>
    <m/>
    <m/>
    <m/>
    <x v="1"/>
    <m/>
    <m/>
  </r>
  <r>
    <s v="ORD-2024-10804"/>
    <x v="694"/>
    <s v="13 Dec 2024"/>
    <s v="OK"/>
    <s v="OK"/>
    <s v="CUST-7180"/>
    <s v="Rohan Mehta"/>
    <s v="Rohan Mehta"/>
    <s v="Consumer"/>
    <x v="0"/>
    <x v="1"/>
    <s v="Jharkhand"/>
    <s v="Ranchi"/>
    <s v="Office Supplies"/>
    <x v="0"/>
    <x v="7"/>
    <s v="Basic Labels 359"/>
    <x v="2"/>
    <s v="First Class"/>
    <n v="1"/>
    <n v="4306.6499999999996"/>
    <n v="0"/>
    <n v="4306.6499999999996"/>
    <n v="2568.8200000000002"/>
    <n v="1737.83"/>
    <s v="Paid"/>
    <x v="0"/>
    <m/>
    <m/>
    <m/>
    <m/>
    <m/>
    <x v="1"/>
    <m/>
    <m/>
  </r>
  <r>
    <s v="ORD-2025-10805"/>
    <x v="695"/>
    <s v="18-09-2025"/>
    <m/>
    <n v="0"/>
    <s v="CUST-8745"/>
    <s v="Rahul Verma"/>
    <s v="Rahul Verma"/>
    <s v="Home Office"/>
    <x v="3"/>
    <x v="2"/>
    <s v="Telangana"/>
    <s v="Hyderabad"/>
    <s v="Furniture"/>
    <x v="1"/>
    <x v="3"/>
    <s v="Eco Furnishings 541"/>
    <x v="3"/>
    <s v="Standard Class"/>
    <n v="1"/>
    <n v="2050.62"/>
    <n v="0.05"/>
    <n v="1948.09"/>
    <n v="1507.08"/>
    <n v="441.01"/>
    <s v="Paid"/>
    <x v="0"/>
    <m/>
    <m/>
    <m/>
    <m/>
    <m/>
    <x v="1"/>
    <m/>
    <m/>
  </r>
  <r>
    <s v="ORD-2025-10806"/>
    <x v="234"/>
    <s v="07-04-2025"/>
    <m/>
    <n v="0"/>
    <s v="CUST-2098"/>
    <s v="Priya Menon"/>
    <s v="Priya Menon"/>
    <s v="Home Office"/>
    <x v="3"/>
    <x v="1"/>
    <s v="Assam"/>
    <s v="Guwahati"/>
    <s v="Office Supplies"/>
    <x v="0"/>
    <x v="9"/>
    <s v="Classic Binders 103"/>
    <x v="0"/>
    <s v="Second Class"/>
    <n v="2"/>
    <n v="2030.06"/>
    <n v="0.25"/>
    <n v="3045.09"/>
    <n v="2601.09"/>
    <n v="444"/>
    <s v="Paid"/>
    <x v="0"/>
    <m/>
    <m/>
    <m/>
    <m/>
    <m/>
    <x v="1"/>
    <m/>
    <m/>
  </r>
  <r>
    <s v="ORD-2024-10807"/>
    <x v="696"/>
    <s v="15 Nov 2024"/>
    <m/>
    <n v="0"/>
    <s v="CUST-3704"/>
    <s v="Isha Nair"/>
    <s v="Isha Nair"/>
    <s v="Home Office"/>
    <x v="3"/>
    <x v="0"/>
    <s v="Rajasthan"/>
    <s v="Jaipur"/>
    <s v="Technology"/>
    <x v="2"/>
    <x v="6"/>
    <s v="Max Copiers 560"/>
    <x v="3"/>
    <s v="Standard Class"/>
    <n v="1"/>
    <n v="3665.97"/>
    <n v="0.2"/>
    <n v="2932.78"/>
    <n v="1900.35"/>
    <n v="1032.43"/>
    <s v="Failed"/>
    <x v="1"/>
    <m/>
    <m/>
    <m/>
    <m/>
    <m/>
    <x v="1"/>
    <m/>
    <m/>
  </r>
  <r>
    <s v="ORD-2025-10808"/>
    <x v="227"/>
    <s v="2025-02-08"/>
    <m/>
    <n v="0"/>
    <s v="CUST-5884"/>
    <s v="Karan Malhotra"/>
    <s v="Karan Malhotra"/>
    <s v="Small Business"/>
    <x v="1"/>
    <x v="2"/>
    <s v="Telangana"/>
    <s v="Hyderabad"/>
    <s v="Office Supplies"/>
    <x v="0"/>
    <x v="7"/>
    <s v="Smart Labels 436"/>
    <x v="3"/>
    <s v="Standard Class"/>
    <n v="2"/>
    <n v="2432.98"/>
    <n v="0.1"/>
    <n v="4379.3599999999997"/>
    <n v="3723.93"/>
    <n v="655.43"/>
    <s v="Paid"/>
    <x v="0"/>
    <m/>
    <m/>
    <m/>
    <m/>
    <m/>
    <x v="1"/>
    <m/>
    <m/>
  </r>
  <r>
    <s v="ORD-2025-10809"/>
    <x v="697"/>
    <s v="2025-08-28"/>
    <m/>
    <n v="0"/>
    <s v="CUST-7503"/>
    <s v="Aarav Sharma"/>
    <s v="Aarav Sharma"/>
    <s v="Small Business"/>
    <x v="1"/>
    <x v="2"/>
    <s v="Tamil Nadu"/>
    <s v="Chennai"/>
    <s v="Furniture"/>
    <x v="1"/>
    <x v="3"/>
    <s v="Pro Furnishings 386"/>
    <x v="2"/>
    <s v="First Class"/>
    <n v="7"/>
    <n v="977.28"/>
    <n v="0.2"/>
    <n v="5472.77"/>
    <n v="4477.33"/>
    <n v="995.44"/>
    <s v="Paid"/>
    <x v="0"/>
    <m/>
    <m/>
    <m/>
    <m/>
    <m/>
    <x v="1"/>
    <m/>
    <m/>
  </r>
  <r>
    <s v="ORD-2025-10810"/>
    <x v="275"/>
    <s v="25 Jun 2025"/>
    <s v="OK"/>
    <s v="OK"/>
    <s v="CUST-6973"/>
    <s v="Arjun Bose"/>
    <s v="Arjun Bose"/>
    <s v="Small Business"/>
    <x v="1"/>
    <x v="0"/>
    <s v="Punjab"/>
    <s v="Ludhiana"/>
    <s v="Office Supplies"/>
    <x v="0"/>
    <x v="9"/>
    <s v="Eco Binders 601"/>
    <x v="0"/>
    <s v="Second Class"/>
    <n v="6"/>
    <n v="1366.13"/>
    <n v="0.1"/>
    <n v="7377.1"/>
    <n v="5085.21"/>
    <n v="2291.89"/>
    <s v="Paid"/>
    <x v="0"/>
    <m/>
    <m/>
    <m/>
    <m/>
    <m/>
    <x v="1"/>
    <m/>
    <m/>
  </r>
  <r>
    <s v="ORD-2024-10811"/>
    <x v="698"/>
    <s v="08-04-2024"/>
    <m/>
    <n v="0"/>
    <s v="CUST-4653"/>
    <s v="Kabir Singh"/>
    <s v="Kabir Singh"/>
    <s v="Home Office"/>
    <x v="3"/>
    <x v="3"/>
    <s v="Gujarat"/>
    <s v="Ahmedabad"/>
    <s v="Technology"/>
    <x v="2"/>
    <x v="6"/>
    <s v="Pro Copiers 867"/>
    <x v="2"/>
    <s v="First Class"/>
    <n v="1"/>
    <n v="3151.85"/>
    <n v="0.25"/>
    <n v="2363.89"/>
    <n v="1471.51"/>
    <n v="892.38"/>
    <s v="Paid"/>
    <x v="0"/>
    <m/>
    <m/>
    <m/>
    <m/>
    <m/>
    <x v="1"/>
    <m/>
    <m/>
  </r>
  <r>
    <s v="ORD-2024-10812"/>
    <x v="699"/>
    <s v="19 Dec 2024"/>
    <m/>
    <n v="0"/>
    <s v="CUST-3303"/>
    <s v="Rohan Mehta"/>
    <s v="Rohan Mehta"/>
    <s v="Home Office"/>
    <x v="3"/>
    <x v="0"/>
    <s v="Haryana"/>
    <s v="Gurugram"/>
    <s v="Technology"/>
    <x v="2"/>
    <x v="5"/>
    <s v="Eco Accessories 122"/>
    <x v="2"/>
    <s v="First Class"/>
    <n v="2"/>
    <n v="1610.75"/>
    <n v="0.2"/>
    <n v="2577.1999999999998"/>
    <n v="1475.87"/>
    <n v="1101.33"/>
    <s v="Paid"/>
    <x v="0"/>
    <m/>
    <m/>
    <m/>
    <m/>
    <m/>
    <x v="1"/>
    <m/>
    <m/>
  </r>
  <r>
    <s v="ORD-2024-10813"/>
    <x v="700"/>
    <s v="20-06-2024"/>
    <m/>
    <n v="0"/>
    <s v="CUST-5754"/>
    <s v="Sneha Kapoor"/>
    <s v="Sneha Kapoor"/>
    <s v="Small Business"/>
    <x v="1"/>
    <x v="1"/>
    <s v="Jharkhand"/>
    <s v="Ranchi"/>
    <s v="Furniture"/>
    <x v="1"/>
    <x v="1"/>
    <s v="Basic Tables 127"/>
    <x v="2"/>
    <s v="First Class"/>
    <n v="8"/>
    <n v="2228.4699999999998"/>
    <n v="0"/>
    <n v="17827.759999999998"/>
    <n v="14122.13"/>
    <n v="3705.63"/>
    <s v="Paid"/>
    <x v="0"/>
    <m/>
    <m/>
    <m/>
    <m/>
    <m/>
    <x v="1"/>
    <m/>
    <m/>
  </r>
  <r>
    <s v="ORD-2025-10814"/>
    <x v="701"/>
    <s v="10 Apr 2025"/>
    <m/>
    <n v="0"/>
    <s v="CUST-7848"/>
    <s v="Rohan Mehta"/>
    <s v="Rohan Mehta"/>
    <s v="Consumer"/>
    <x v="0"/>
    <x v="1"/>
    <s v="Odisha"/>
    <s v="Bhubaneswar"/>
    <s v="Furniture"/>
    <x v="1"/>
    <x v="10"/>
    <s v="Elite Bookcases 988"/>
    <x v="3"/>
    <s v="Standard Class"/>
    <n v="2"/>
    <n v="1337.67"/>
    <n v="0"/>
    <n v="2675.34"/>
    <n v="1595.87"/>
    <n v="1079.47"/>
    <s v="Paid"/>
    <x v="0"/>
    <m/>
    <m/>
    <m/>
    <m/>
    <m/>
    <x v="1"/>
    <m/>
    <m/>
  </r>
  <r>
    <s v="ORD-2025-10815"/>
    <x v="246"/>
    <s v="2025-08-11"/>
    <m/>
    <n v="0"/>
    <s v="CUST-9048"/>
    <s v="Arjun Bose"/>
    <s v="Arjun Bose"/>
    <s v="Consumer"/>
    <x v="0"/>
    <x v="3"/>
    <s v="Madhya Pradesh"/>
    <s v="Indore"/>
    <s v="Office Supplies"/>
    <x v="0"/>
    <x v="7"/>
    <s v="Smart Labels 126"/>
    <x v="2"/>
    <s v="First Class"/>
    <n v="2"/>
    <n v="2375.94"/>
    <n v="0.25"/>
    <n v="3563.91"/>
    <n v="2639.7"/>
    <n v="924.21"/>
    <s v="Paid"/>
    <x v="0"/>
    <m/>
    <m/>
    <m/>
    <m/>
    <m/>
    <x v="1"/>
    <m/>
    <m/>
  </r>
  <r>
    <s v="ORD-2024-10816"/>
    <x v="459"/>
    <s v="2024-04-08"/>
    <m/>
    <n v="0"/>
    <s v="CUST-2951"/>
    <s v="Diya Patel"/>
    <s v="Diya Patel"/>
    <s v="Consumer"/>
    <x v="0"/>
    <x v="1"/>
    <s v="Odisha"/>
    <s v="Bhubaneswar"/>
    <s v="Technology"/>
    <x v="2"/>
    <x v="12"/>
    <s v="Max Machines 569"/>
    <x v="3"/>
    <s v="Standard Class"/>
    <n v="7"/>
    <n v="715.81"/>
    <n v="0.15"/>
    <n v="4259.07"/>
    <n v="3130.32"/>
    <n v="1128.75"/>
    <s v="Pending"/>
    <x v="1"/>
    <m/>
    <m/>
    <m/>
    <m/>
    <m/>
    <x v="1"/>
    <m/>
    <m/>
  </r>
  <r>
    <s v="ORD-2024-10817"/>
    <x v="702"/>
    <s v="2024-11-30"/>
    <m/>
    <n v="0"/>
    <s v="CUST-3072"/>
    <s v="Rahul Verma"/>
    <s v="Rahul Verma"/>
    <s v="Small Business"/>
    <x v="1"/>
    <x v="1"/>
    <s v="Jharkhand"/>
    <s v="Ranchi"/>
    <s v="Furniture"/>
    <x v="1"/>
    <x v="3"/>
    <s v="Basic Furnishings 306"/>
    <x v="2"/>
    <s v="First Class"/>
    <n v="1"/>
    <n v="874.3"/>
    <n v="0.1"/>
    <n v="786.87"/>
    <n v="498.5"/>
    <n v="288.37"/>
    <s v="Paid"/>
    <x v="0"/>
    <m/>
    <m/>
    <m/>
    <m/>
    <m/>
    <x v="1"/>
    <m/>
    <m/>
  </r>
  <r>
    <s v="ORD-2025-10818"/>
    <x v="703"/>
    <s v="04/05/2025"/>
    <m/>
    <n v="0"/>
    <s v="CUST-2221"/>
    <s v="Sneha Kapoor"/>
    <s v="Sneha Kapoor"/>
    <s v="Consumer"/>
    <x v="0"/>
    <x v="1"/>
    <s v="Bihar"/>
    <s v="Patna"/>
    <s v="Office Supplies"/>
    <x v="0"/>
    <x v="9"/>
    <s v="Classic Binders 873"/>
    <x v="3"/>
    <s v="Standard Class"/>
    <n v="6"/>
    <n v="1829.69"/>
    <n v="0.25"/>
    <n v="8233.6"/>
    <n v="4713.79"/>
    <n v="3519.81"/>
    <s v="Paid"/>
    <x v="0"/>
    <m/>
    <m/>
    <m/>
    <m/>
    <m/>
    <x v="1"/>
    <m/>
    <m/>
  </r>
  <r>
    <s v="ORD-2024-10819"/>
    <x v="704"/>
    <s v="05-10-2024"/>
    <m/>
    <n v="0"/>
    <s v="CUST-3943"/>
    <s v="Priya Menon"/>
    <s v="Priya Menon"/>
    <s v="Small Business"/>
    <x v="1"/>
    <x v="3"/>
    <s v="Maharashtra"/>
    <s v="Mumbai"/>
    <s v="Office Supplies"/>
    <x v="0"/>
    <x v="7"/>
    <s v="Pro Labels 611"/>
    <x v="2"/>
    <s v="First Class"/>
    <n v="8"/>
    <n v="1981.04"/>
    <n v="-0.14000000000000001"/>
    <n v="12678.66"/>
    <n v="10088.65"/>
    <n v="2590.0100000000002"/>
    <s v="Paid"/>
    <x v="0"/>
    <m/>
    <m/>
    <m/>
    <m/>
    <m/>
    <x v="1"/>
    <m/>
    <m/>
  </r>
  <r>
    <s v="ORD-2024-10820"/>
    <x v="291"/>
    <s v="31-07-2024"/>
    <m/>
    <n v="0"/>
    <s v="CUST-7510"/>
    <s v="Karan Malhotra"/>
    <s v="Karan Malhotra"/>
    <s v="Home Office"/>
    <x v="3"/>
    <x v="2"/>
    <s v="Kerala"/>
    <s v="Kochi"/>
    <s v="Technology"/>
    <x v="2"/>
    <x v="12"/>
    <s v="Prime Machines 524"/>
    <x v="3"/>
    <s v="Standard Class"/>
    <n v="8"/>
    <n v="4246.01"/>
    <n v="0"/>
    <n v="33968.080000000002"/>
    <n v="26902.44"/>
    <n v="7065.64"/>
    <s v="Failed"/>
    <x v="1"/>
    <m/>
    <m/>
    <m/>
    <m/>
    <m/>
    <x v="1"/>
    <m/>
    <m/>
  </r>
  <r>
    <s v="ORD-2025-10821"/>
    <x v="705"/>
    <s v="10-02-2025"/>
    <m/>
    <n v="0"/>
    <s v="CUST-2041"/>
    <s v="Ananya Rao"/>
    <s v="Ananya Rao"/>
    <s v="Home Office"/>
    <x v="3"/>
    <x v="0"/>
    <s v="Uttar Pradesh"/>
    <s v="Noida"/>
    <s v="Furniture"/>
    <x v="1"/>
    <x v="10"/>
    <s v="Classic Bookcases 882"/>
    <x v="3"/>
    <s v="Standard Class"/>
    <n v="2"/>
    <n v="319.57"/>
    <n v="0.2"/>
    <n v="511.31"/>
    <n v="436.43"/>
    <n v="74.88"/>
    <s v="Paid"/>
    <x v="0"/>
    <m/>
    <m/>
    <m/>
    <m/>
    <m/>
    <x v="1"/>
    <m/>
    <m/>
  </r>
  <r>
    <s v="ORD-2024-10822"/>
    <x v="706"/>
    <s v="06-07-2024"/>
    <m/>
    <n v="0"/>
    <s v="CUST-4466"/>
    <s v="Aarav Sharma"/>
    <s v="Aarav Sharma"/>
    <s v="Corporate"/>
    <x v="2"/>
    <x v="2"/>
    <s v="Karnataka"/>
    <s v="Bengaluru"/>
    <s v="Technology"/>
    <x v="2"/>
    <x v="5"/>
    <s v="Classic Accessories 471"/>
    <x v="2"/>
    <s v="First Class"/>
    <n v="7"/>
    <n v="1942.49"/>
    <n v="0.2"/>
    <n v="10877.94"/>
    <n v="9110.14"/>
    <n v="1767.8"/>
    <s v="Paid"/>
    <x v="0"/>
    <m/>
    <m/>
    <m/>
    <m/>
    <m/>
    <x v="1"/>
    <m/>
    <m/>
  </r>
  <r>
    <s v="ORD-2024-10823"/>
    <x v="707"/>
    <s v="08 Oct 2024"/>
    <m/>
    <n v="0"/>
    <s v="CUST-3188"/>
    <s v="Mira Das"/>
    <s v="Mira Das"/>
    <s v="Corporate"/>
    <x v="2"/>
    <x v="1"/>
    <s v="Assam"/>
    <s v="Guwahati"/>
    <s v="Furniture"/>
    <x v="1"/>
    <x v="3"/>
    <s v="Smart Furnishings 175"/>
    <x v="0"/>
    <s v="Second Class"/>
    <n v="4"/>
    <n v="3202.04"/>
    <n v="0.2"/>
    <n v="10246.530000000001"/>
    <n v="8634.42"/>
    <n v="1612.11"/>
    <s v="Pending"/>
    <x v="2"/>
    <m/>
    <m/>
    <m/>
    <m/>
    <m/>
    <x v="1"/>
    <m/>
    <m/>
  </r>
  <r>
    <s v="ORD-2025-10824"/>
    <x v="708"/>
    <s v="12 Jan 2025"/>
    <m/>
    <n v="0"/>
    <s v="CUST-6638"/>
    <s v="Mira Das"/>
    <s v="Mira Das"/>
    <s v="Home Office"/>
    <x v="3"/>
    <x v="3"/>
    <s v="Goa"/>
    <s v="Panaji"/>
    <s v="Office Supplies"/>
    <x v="0"/>
    <x v="0"/>
    <s v="Basic Paper 899"/>
    <x v="1"/>
    <s v="Same Day"/>
    <n v="3"/>
    <n v="668.33"/>
    <n v="0.15"/>
    <n v="1704.24"/>
    <n v="957.55"/>
    <n v="746.69"/>
    <s v="Paid"/>
    <x v="0"/>
    <m/>
    <m/>
    <m/>
    <m/>
    <m/>
    <x v="1"/>
    <m/>
    <m/>
  </r>
  <r>
    <s v="ORD-2025-10825"/>
    <x v="709"/>
    <s v="22 Mar 2025"/>
    <m/>
    <n v="0"/>
    <s v="CUST-3540"/>
    <s v="Priya Menon"/>
    <s v="Priya Menon"/>
    <s v="Consumer"/>
    <x v="0"/>
    <x v="3"/>
    <s v="Goa"/>
    <s v="Panaji"/>
    <s v="Office Supplies"/>
    <x v="0"/>
    <x v="0"/>
    <s v="Pro Paper 267"/>
    <x v="2"/>
    <s v="First Class"/>
    <n v="8"/>
    <n v="4436.74"/>
    <n v="0.05"/>
    <n v="33719.22"/>
    <n v="28924.43"/>
    <n v="4794.79"/>
    <s v="Paid"/>
    <x v="0"/>
    <m/>
    <m/>
    <m/>
    <m/>
    <m/>
    <x v="1"/>
    <m/>
    <m/>
  </r>
  <r>
    <s v="ORD-2025-10826"/>
    <x v="710"/>
    <s v="17-04-2025"/>
    <m/>
    <n v="0"/>
    <s v="CUST-3351"/>
    <s v="Vikram Iyer"/>
    <s v="Vikram Iyer"/>
    <s v="Small Business"/>
    <x v="1"/>
    <x v="0"/>
    <s v="Uttar Pradesh"/>
    <s v="Noida"/>
    <s v="Technology"/>
    <x v="2"/>
    <x v="12"/>
    <s v="Basic Machines 832"/>
    <x v="2"/>
    <s v="First Class"/>
    <n v="1"/>
    <n v="2720.17"/>
    <n v="0"/>
    <n v="2720.17"/>
    <n v="1834.23"/>
    <n v="885.94"/>
    <s v="Paid"/>
    <x v="0"/>
    <m/>
    <m/>
    <m/>
    <m/>
    <m/>
    <x v="1"/>
    <m/>
    <m/>
  </r>
  <r>
    <s v="ORD-2025-10827"/>
    <x v="711"/>
    <s v="14 Aug 2025"/>
    <m/>
    <n v="0"/>
    <s v="CUST-4375"/>
    <s v="Aditi Sen"/>
    <s v="Aditi Sen"/>
    <s v="Consumer"/>
    <x v="0"/>
    <x v="3"/>
    <s v="Rajasthan"/>
    <s v="Udaipur"/>
    <s v="Technology"/>
    <x v="2"/>
    <x v="5"/>
    <s v="Elite Accessories 790"/>
    <x v="3"/>
    <s v="Standard Class"/>
    <n v="5"/>
    <n v="2190.14"/>
    <n v="0.25"/>
    <n v="8213.02"/>
    <n v="5569.3"/>
    <n v="2643.72"/>
    <s v="Paid"/>
    <x v="0"/>
    <m/>
    <m/>
    <m/>
    <m/>
    <m/>
    <x v="1"/>
    <m/>
    <m/>
  </r>
  <r>
    <s v="ORD-2024-10828"/>
    <x v="712"/>
    <s v="01-12-2024"/>
    <m/>
    <n v="0"/>
    <s v="CUST-5125"/>
    <s v="Priya Menon"/>
    <s v="Priya Menon"/>
    <s v="Home Office"/>
    <x v="3"/>
    <x v="2"/>
    <s v="Tamil Nadu"/>
    <s v="Chennai"/>
    <s v="Office Supplies"/>
    <x v="0"/>
    <x v="0"/>
    <s v="Basic Paper 707"/>
    <x v="1"/>
    <s v="Same Day"/>
    <n v="1"/>
    <n v="844.89"/>
    <n v="0.25"/>
    <n v="633.66999999999996"/>
    <n v="520.47"/>
    <n v="113.2"/>
    <s v="Paid"/>
    <x v="1"/>
    <m/>
    <m/>
    <m/>
    <m/>
    <m/>
    <x v="1"/>
    <m/>
    <m/>
  </r>
  <r>
    <s v="ORD-2025-10829"/>
    <x v="713"/>
    <s v="11-10-2025"/>
    <m/>
    <n v="0"/>
    <s v="CUST-6010"/>
    <s v="Karan Malhotra"/>
    <s v="Karan Malhotra"/>
    <s v="Corporate"/>
    <x v="2"/>
    <x v="1"/>
    <s v="Odisha"/>
    <s v="Bhubaneswar"/>
    <s v="Furniture"/>
    <x v="1"/>
    <x v="4"/>
    <s v="Elite Chairs 979"/>
    <x v="0"/>
    <s v="Second Class"/>
    <n v="7"/>
    <n v="3791.96"/>
    <n v="0.05"/>
    <n v="25216.53"/>
    <n v="14216.94"/>
    <n v="10999.59"/>
    <s v="Failed"/>
    <x v="1"/>
    <m/>
    <m/>
    <m/>
    <m/>
    <m/>
    <x v="1"/>
    <m/>
    <m/>
  </r>
  <r>
    <s v="ORD-2024-10830"/>
    <x v="714"/>
    <s v="28-02-2024"/>
    <m/>
    <n v="0"/>
    <s v="CUST-9036"/>
    <s v="Aditi Sen"/>
    <s v="Aditi Sen"/>
    <s v="Small Business"/>
    <x v="1"/>
    <x v="3"/>
    <s v="Goa"/>
    <s v="Panaji"/>
    <s v="Furniture"/>
    <x v="1"/>
    <x v="3"/>
    <s v="Pro Furnishings 192"/>
    <x v="0"/>
    <s v="Second Class"/>
    <n v="7"/>
    <n v="1035.1400000000001"/>
    <n v="0.1"/>
    <n v="6521.38"/>
    <n v="4511.1000000000004"/>
    <n v="2010.28"/>
    <s v="Paid"/>
    <x v="0"/>
    <m/>
    <m/>
    <m/>
    <m/>
    <m/>
    <x v="1"/>
    <m/>
    <m/>
  </r>
  <r>
    <s v="ORD-2025-10831"/>
    <x v="715"/>
    <s v="18-07-2025"/>
    <s v="OK"/>
    <s v="OK"/>
    <s v="CUST-7929"/>
    <s v="Aditi Sen"/>
    <s v="Aditi Sen"/>
    <s v="Small Business"/>
    <x v="1"/>
    <x v="2"/>
    <s v="Tamil Nadu"/>
    <s v="Chennai"/>
    <s v="Technology"/>
    <x v="2"/>
    <x v="12"/>
    <s v="Smart Machines 951"/>
    <x v="2"/>
    <s v="First Class"/>
    <n v="6"/>
    <n v="2382.88"/>
    <n v="0.1"/>
    <n v="12867.55"/>
    <n v="10068.94"/>
    <n v="2798.61"/>
    <s v="Paid"/>
    <x v="0"/>
    <m/>
    <m/>
    <m/>
    <m/>
    <m/>
    <x v="1"/>
    <m/>
    <m/>
  </r>
  <r>
    <s v="ORD-2025-10832"/>
    <x v="716"/>
    <s v="03-04-2025"/>
    <s v="OK"/>
    <s v="OK"/>
    <s v="CUST-1106"/>
    <s v="Diya Patel"/>
    <s v="Diya Patel"/>
    <s v="Home Office"/>
    <x v="3"/>
    <x v="0"/>
    <s v="Haryana"/>
    <s v="Gurugram"/>
    <s v="Furniture"/>
    <x v="1"/>
    <x v="4"/>
    <s v="Smart Chairs 794"/>
    <x v="2"/>
    <s v="First Class"/>
    <n v="9"/>
    <n v="3462.7"/>
    <n v="0.15"/>
    <n v="26489.65"/>
    <n v="15818.46"/>
    <n v="10671.19"/>
    <s v="Failed"/>
    <x v="2"/>
    <m/>
    <m/>
    <m/>
    <m/>
    <m/>
    <x v="1"/>
    <m/>
    <m/>
  </r>
  <r>
    <s v="ORD-2025-10833"/>
    <x v="717"/>
    <s v="28-05-2025"/>
    <m/>
    <n v="0"/>
    <s v="CUST-9557"/>
    <s v="Kabir Singh"/>
    <s v="Kabir Singh"/>
    <s v="Small Business"/>
    <x v="1"/>
    <x v="2"/>
    <s v="Andhra Pradesh"/>
    <s v="Vijayawada"/>
    <s v="Technology"/>
    <x v="2"/>
    <x v="11"/>
    <s v="Max Phones 919"/>
    <x v="0"/>
    <s v="Second Class"/>
    <n v="9"/>
    <n v="4302.0200000000004"/>
    <n v="0.05"/>
    <n v="36782.269999999997"/>
    <n v="25902.81"/>
    <n v="10879.46"/>
    <s v="Paid"/>
    <x v="0"/>
    <m/>
    <m/>
    <m/>
    <m/>
    <m/>
    <x v="1"/>
    <m/>
    <m/>
  </r>
  <r>
    <s v="ORD-2024-10834"/>
    <x v="718"/>
    <s v="06/04/2024"/>
    <m/>
    <n v="0"/>
    <s v="CUST-2689"/>
    <s v="Rahul Verma"/>
    <s v="Rahul Verma"/>
    <s v="Home Office"/>
    <x v="3"/>
    <x v="1"/>
    <s v="West Bengal"/>
    <s v="Kolkata"/>
    <s v="Furniture"/>
    <x v="1"/>
    <x v="10"/>
    <s v="Basic Bookcases 499"/>
    <x v="2"/>
    <s v="First Class"/>
    <n v="6"/>
    <n v="3949.4"/>
    <n v="0"/>
    <n v="23696.400000000001"/>
    <n v="18109.77"/>
    <n v="5586.63"/>
    <s v="Paid"/>
    <x v="0"/>
    <m/>
    <m/>
    <m/>
    <m/>
    <m/>
    <x v="1"/>
    <m/>
    <m/>
  </r>
  <r>
    <s v="ORD-2024-10835"/>
    <x v="719"/>
    <s v="2024-10-22"/>
    <m/>
    <n v="0"/>
    <s v="CUST-2879"/>
    <s v="Aarav Sharma"/>
    <s v="Aarav Sharma"/>
    <s v="Home Office"/>
    <x v="3"/>
    <x v="2"/>
    <s v="Telangana"/>
    <s v="Hyderabad"/>
    <s v="Office Supplies"/>
    <x v="0"/>
    <x v="2"/>
    <s v="Basic Art 143"/>
    <x v="2"/>
    <s v="First Class"/>
    <n v="6"/>
    <n v="674.61"/>
    <n v="0"/>
    <n v="4047.66"/>
    <n v="3078.93"/>
    <n v="1279.79"/>
    <s v="Paid"/>
    <x v="0"/>
    <m/>
    <m/>
    <m/>
    <m/>
    <m/>
    <x v="1"/>
    <m/>
    <m/>
  </r>
  <r>
    <s v="ORD-2025-10836"/>
    <x v="720"/>
    <s v="04-10-2025"/>
    <m/>
    <n v="0"/>
    <s v="CUST-5150"/>
    <s v="Priya Menon"/>
    <s v="Priya Menon"/>
    <s v="Small Business"/>
    <x v="1"/>
    <x v="1"/>
    <s v="Assam"/>
    <s v="Guwahati"/>
    <s v="Technology"/>
    <x v="2"/>
    <x v="11"/>
    <s v="Prime Phones 338"/>
    <x v="0"/>
    <s v="Second Class"/>
    <n v="7"/>
    <n v="1509.59"/>
    <n v="0.05"/>
    <n v="10038.77"/>
    <n v="5673.1"/>
    <n v="4365.67"/>
    <s v="Paid"/>
    <x v="0"/>
    <m/>
    <m/>
    <m/>
    <m/>
    <m/>
    <x v="1"/>
    <m/>
    <m/>
  </r>
  <r>
    <s v="ORD-2024-10837"/>
    <x v="721"/>
    <s v="2024-12-18"/>
    <m/>
    <n v="0"/>
    <s v="CUST-9776"/>
    <s v="Isha Nair"/>
    <s v="Isha Nair"/>
    <s v="Small Business"/>
    <x v="1"/>
    <x v="0"/>
    <s v="Rajasthan"/>
    <s v="Jaipur"/>
    <s v="Office Supplies"/>
    <x v="0"/>
    <x v="7"/>
    <s v="Smart Labels 814"/>
    <x v="0"/>
    <s v="Second Class"/>
    <n v="2"/>
    <n v="537.11"/>
    <n v="0"/>
    <n v="1074.22"/>
    <n v="850.86"/>
    <n v="223.36"/>
    <s v="Paid"/>
    <x v="0"/>
    <m/>
    <m/>
    <m/>
    <m/>
    <m/>
    <x v="1"/>
    <m/>
    <m/>
  </r>
  <r>
    <s v="ORD-2025-10838"/>
    <x v="77"/>
    <s v="09/28/2025"/>
    <m/>
    <n v="0"/>
    <s v="CUST-2551"/>
    <s v="Karan Malhotra"/>
    <s v="Karan Malhotra"/>
    <s v="Home Office"/>
    <x v="3"/>
    <x v="3"/>
    <s v="Maharashtra"/>
    <s v="Mumbai"/>
    <s v="Office Supplies"/>
    <x v="0"/>
    <x v="0"/>
    <s v="Prime Paper 812"/>
    <x v="2"/>
    <s v="First Class"/>
    <n v="3"/>
    <n v="4177.63"/>
    <n v="0.25"/>
    <n v="9399.67"/>
    <n v="6540.37"/>
    <n v="2859.3"/>
    <s v="Paid"/>
    <x v="0"/>
    <m/>
    <m/>
    <m/>
    <m/>
    <m/>
    <x v="1"/>
    <m/>
    <m/>
  </r>
  <r>
    <s v="ORD-2025-10839"/>
    <x v="716"/>
    <s v="07 Apr 2025"/>
    <m/>
    <n v="0"/>
    <s v="CUST-4708"/>
    <s v="Ananya Rao"/>
    <s v="Ananya Rao"/>
    <s v="Small Business"/>
    <x v="1"/>
    <x v="3"/>
    <s v="Goa"/>
    <s v="Panaji"/>
    <s v="Office Supplies"/>
    <x v="0"/>
    <x v="0"/>
    <s v="Pro Paper 355"/>
    <x v="1"/>
    <s v="Same Day"/>
    <n v="1"/>
    <n v="1470.57"/>
    <n v="0"/>
    <n v="1470.57"/>
    <n v="834.02"/>
    <n v="636.54999999999995"/>
    <s v="Paid"/>
    <x v="2"/>
    <m/>
    <m/>
    <m/>
    <m/>
    <m/>
    <x v="1"/>
    <m/>
    <m/>
  </r>
  <r>
    <s v="ORD-2024-10840"/>
    <x v="722"/>
    <s v="22-09-2024"/>
    <m/>
    <n v="0"/>
    <s v="CUST-8206"/>
    <s v="Rohan Mehta"/>
    <s v="Rohan Mehta"/>
    <s v="Home Office"/>
    <x v="3"/>
    <x v="1"/>
    <s v="Odisha"/>
    <s v="Bhubaneswar"/>
    <s v="Technology"/>
    <x v="2"/>
    <x v="11"/>
    <s v="Basic Phones 398"/>
    <x v="3"/>
    <s v="Standard Class"/>
    <n v="8"/>
    <n v="531.42999999999995"/>
    <n v="0.1"/>
    <n v="3826.3"/>
    <n v="2194.12"/>
    <n v="1632.18"/>
    <s v="Paid"/>
    <x v="0"/>
    <m/>
    <m/>
    <m/>
    <m/>
    <m/>
    <x v="1"/>
    <m/>
    <m/>
  </r>
  <r>
    <s v="ORD-2025-10841"/>
    <x v="348"/>
    <s v="19-09-2025"/>
    <m/>
    <n v="0"/>
    <s v="CUST-1297"/>
    <s v="Neha Gupta"/>
    <s v="Neha Gupta"/>
    <s v="Home Office"/>
    <x v="3"/>
    <x v="0"/>
    <s v="Delhi"/>
    <s v="New Delhi"/>
    <s v="Furniture"/>
    <x v="1"/>
    <x v="4"/>
    <s v="Classic Chairs 204"/>
    <x v="1"/>
    <s v="Same Day"/>
    <n v="4"/>
    <n v="1584.11"/>
    <n v="0"/>
    <n v="6336.44"/>
    <n v="4680.68"/>
    <n v="1655.76"/>
    <s v="Paid"/>
    <x v="0"/>
    <m/>
    <m/>
    <m/>
    <m/>
    <m/>
    <x v="1"/>
    <m/>
    <m/>
  </r>
  <r>
    <s v="ORD-2025-10842"/>
    <x v="723"/>
    <s v="12 Feb 2025"/>
    <m/>
    <n v="0"/>
    <s v="CUST-7558"/>
    <s v="Ananya Rao"/>
    <s v="Ananya Rao"/>
    <s v="Small Business"/>
    <x v="1"/>
    <x v="1"/>
    <s v="Bihar"/>
    <s v="Patna"/>
    <s v="Office Supplies"/>
    <x v="0"/>
    <x v="2"/>
    <s v="Max Art 339"/>
    <x v="3"/>
    <s v="Standard Class"/>
    <n v="9"/>
    <n v="3237.16"/>
    <n v="0.25"/>
    <n v="21850.83"/>
    <n v="16600.13"/>
    <n v="5250.7"/>
    <s v="Paid"/>
    <x v="0"/>
    <m/>
    <m/>
    <m/>
    <m/>
    <m/>
    <x v="1"/>
    <m/>
    <m/>
  </r>
  <r>
    <s v="ORD-2024-10843"/>
    <x v="724"/>
    <s v="03/30/2024"/>
    <m/>
    <n v="0"/>
    <s v="CUST-1798"/>
    <s v="Kabir Singh"/>
    <s v="Kabir Singh"/>
    <s v="Consumer"/>
    <x v="0"/>
    <x v="0"/>
    <s v="Haryana"/>
    <s v="Gurugram"/>
    <s v="Technology"/>
    <x v="2"/>
    <x v="12"/>
    <s v="Smart Machines 581"/>
    <x v="2"/>
    <s v="First Class"/>
    <n v="4"/>
    <n v="2192.08"/>
    <n v="0.15"/>
    <n v="7453.07"/>
    <n v="5133.78"/>
    <n v="2319.29"/>
    <s v="Paid"/>
    <x v="2"/>
    <m/>
    <m/>
    <m/>
    <m/>
    <m/>
    <x v="1"/>
    <m/>
    <m/>
  </r>
  <r>
    <s v="ORD-2025-10844"/>
    <x v="725"/>
    <s v="25 Jul 2025"/>
    <m/>
    <n v="0"/>
    <s v="CUST-7333"/>
    <s v="Priya Menon"/>
    <s v="Priya Menon"/>
    <s v="Small Business"/>
    <x v="1"/>
    <x v="0"/>
    <s v="Uttar Pradesh"/>
    <s v="Noida"/>
    <s v="Technology"/>
    <x v="2"/>
    <x v="11"/>
    <s v="Prime Phones 482"/>
    <x v="2"/>
    <s v="First Class"/>
    <n v="9"/>
    <n v="3989.52"/>
    <n v="-0.02"/>
    <n v="35905.68"/>
    <n v="23916.1"/>
    <n v="11989.58"/>
    <s v="Paid"/>
    <x v="0"/>
    <m/>
    <m/>
    <m/>
    <m/>
    <m/>
    <x v="1"/>
    <m/>
    <m/>
  </r>
  <r>
    <s v="ORD-2025-10845"/>
    <x v="726"/>
    <s v="25-01-2025"/>
    <m/>
    <n v="0"/>
    <s v="CUST-2086"/>
    <s v="Aditi Sen"/>
    <s v="Aditi Sen"/>
    <s v="Home Office"/>
    <x v="3"/>
    <x v="3"/>
    <s v="Goa"/>
    <s v="Panaji"/>
    <s v="Office Supplies"/>
    <x v="0"/>
    <x v="2"/>
    <s v="Pro Art 588"/>
    <x v="2"/>
    <s v="First Class"/>
    <n v="1"/>
    <n v="3515.15"/>
    <n v="0"/>
    <n v="3515.15"/>
    <n v="2216.34"/>
    <n v="1298.81"/>
    <s v="Paid"/>
    <x v="0"/>
    <m/>
    <m/>
    <m/>
    <m/>
    <m/>
    <x v="1"/>
    <m/>
    <m/>
  </r>
  <r>
    <s v="ORD-2024-10846"/>
    <x v="727"/>
    <s v="27 Feb 2024"/>
    <m/>
    <n v="0"/>
    <s v="CUST-2367"/>
    <s v="Karan Malhotra"/>
    <s v="Karan Malhotra"/>
    <s v="Consumer"/>
    <x v="0"/>
    <x v="1"/>
    <s v="Odisha"/>
    <s v="Bhubaneswar"/>
    <s v="Furniture"/>
    <x v="1"/>
    <x v="1"/>
    <s v="Eco Tables 792"/>
    <x v="2"/>
    <s v="First Class"/>
    <n v="9"/>
    <n v="3616.23"/>
    <n v="0.25"/>
    <n v="24409.55"/>
    <n v="17157.580000000002"/>
    <n v="7251.97"/>
    <s v="Pending"/>
    <x v="2"/>
    <m/>
    <m/>
    <m/>
    <m/>
    <m/>
    <x v="1"/>
    <m/>
    <m/>
  </r>
  <r>
    <s v="ORD-2024-10847"/>
    <x v="728"/>
    <s v="2024-04-22"/>
    <m/>
    <n v="0"/>
    <s v="CUST-6522"/>
    <s v="Priya Menon"/>
    <s v="Priya Menon"/>
    <s v="Small Business"/>
    <x v="1"/>
    <x v="3"/>
    <s v="Gujarat"/>
    <s v="Ahmedabad"/>
    <s v="Furniture"/>
    <x v="1"/>
    <x v="10"/>
    <s v="Prime Bookcases 177"/>
    <x v="3"/>
    <s v="Standard Class"/>
    <n v="2"/>
    <n v="3977.52"/>
    <n v="0"/>
    <n v="7955.04"/>
    <n v="5580.68"/>
    <n v="2374.36"/>
    <s v="Pending"/>
    <x v="2"/>
    <m/>
    <m/>
    <m/>
    <m/>
    <m/>
    <x v="1"/>
    <m/>
    <m/>
  </r>
  <r>
    <s v="ORD-2025-10848"/>
    <x v="729"/>
    <s v="05/22/2025"/>
    <m/>
    <n v="0"/>
    <s v="CUST-8329"/>
    <s v="Diya Patel"/>
    <s v="Diya Patel"/>
    <s v="Home Office"/>
    <x v="3"/>
    <x v="1"/>
    <s v="Odisha"/>
    <s v="Bhubaneswar"/>
    <s v="Furniture"/>
    <x v="1"/>
    <x v="1"/>
    <s v="Pro Tables 828"/>
    <x v="0"/>
    <s v="Second Class"/>
    <n v="2"/>
    <n v="210.08"/>
    <n v="0.2"/>
    <n v="336.13"/>
    <n v="242.19"/>
    <n v="93.94"/>
    <s v="Paid"/>
    <x v="0"/>
    <m/>
    <m/>
    <m/>
    <m/>
    <m/>
    <x v="1"/>
    <m/>
    <m/>
  </r>
  <r>
    <s v="ORD-2025-10849"/>
    <x v="730"/>
    <s v="29 May 2025"/>
    <m/>
    <n v="0"/>
    <s v="CUST-4426"/>
    <s v="Rahul Verma"/>
    <s v="Rahul Verma"/>
    <s v="Home Office"/>
    <x v="3"/>
    <x v="2"/>
    <s v="Tamil Nadu"/>
    <s v="Chennai"/>
    <s v="Furniture"/>
    <x v="1"/>
    <x v="3"/>
    <s v="Elite Furnishings 480"/>
    <x v="0"/>
    <s v="Second Class"/>
    <n v="1"/>
    <n v="1744.35"/>
    <n v="0.25"/>
    <n v="1308.26"/>
    <n v="1083.56"/>
    <n v="224.7"/>
    <s v="Paid"/>
    <x v="0"/>
    <m/>
    <m/>
    <m/>
    <m/>
    <m/>
    <x v="1"/>
    <m/>
    <m/>
  </r>
  <r>
    <s v="ORD-2024-10850"/>
    <x v="731"/>
    <s v="12-03-2024"/>
    <m/>
    <n v="0"/>
    <s v="CUST-3360"/>
    <s v="Isha Nair"/>
    <s v="Isha Nair"/>
    <s v="Home Office"/>
    <x v="3"/>
    <x v="3"/>
    <s v="Gujarat"/>
    <s v="Ahmedabad"/>
    <s v="Furniture"/>
    <x v="1"/>
    <x v="10"/>
    <s v="Prime Bookcases 755"/>
    <x v="3"/>
    <s v="Standard Class"/>
    <n v="3"/>
    <n v="679.63"/>
    <n v="0.2"/>
    <n v="1631.11"/>
    <n v="898.73"/>
    <n v="396.58"/>
    <s v="Paid"/>
    <x v="0"/>
    <m/>
    <m/>
    <m/>
    <m/>
    <m/>
    <x v="1"/>
    <m/>
    <m/>
  </r>
  <r>
    <s v="ORD-2024-10851"/>
    <x v="390"/>
    <s v="2024-07-03"/>
    <m/>
    <n v="0"/>
    <s v="CUST-2623"/>
    <s v="Priya Menon"/>
    <s v="Priya Menon"/>
    <s v="Home Office"/>
    <x v="3"/>
    <x v="1"/>
    <s v="West Bengal"/>
    <s v="Kolkata"/>
    <s v="Office Supplies"/>
    <x v="0"/>
    <x v="0"/>
    <s v="Prime Paper 317"/>
    <x v="2"/>
    <s v="First Class"/>
    <n v="6"/>
    <n v="1211.01"/>
    <n v="0"/>
    <n v="7266.06"/>
    <n v="6216.89"/>
    <n v="1049.17"/>
    <s v="Paid"/>
    <x v="0"/>
    <m/>
    <m/>
    <m/>
    <m/>
    <m/>
    <x v="1"/>
    <m/>
    <m/>
  </r>
  <r>
    <s v="ORD-2024-10852"/>
    <x v="732"/>
    <s v="01 Apr 2024"/>
    <m/>
    <n v="0"/>
    <s v="CUST-3175"/>
    <s v="Karan Malhotra"/>
    <s v="Karan Malhotra"/>
    <s v="Small Business"/>
    <x v="1"/>
    <x v="3"/>
    <s v="Gujarat"/>
    <s v="Ahmedabad"/>
    <s v="Technology"/>
    <x v="2"/>
    <x v="5"/>
    <s v="Classic Accessories 933"/>
    <x v="2"/>
    <s v="First Class"/>
    <n v="2"/>
    <n v="1161.3"/>
    <n v="0.2"/>
    <n v="1858.08"/>
    <n v="1590.75"/>
    <n v="267.33"/>
    <s v="Paid"/>
    <x v="0"/>
    <m/>
    <m/>
    <m/>
    <m/>
    <m/>
    <x v="1"/>
    <m/>
    <m/>
  </r>
  <r>
    <s v="ORD-2024-10853"/>
    <x v="733"/>
    <s v="08-04-2024"/>
    <m/>
    <n v="0"/>
    <s v="CUST-9630"/>
    <s v="Ananya Rao"/>
    <s v="Ananya Rao"/>
    <s v="Consumer"/>
    <x v="0"/>
    <x v="1"/>
    <s v="Assam"/>
    <s v="Guwahati"/>
    <s v="Furniture"/>
    <x v="1"/>
    <x v="1"/>
    <s v="Smart Tables 513"/>
    <x v="0"/>
    <s v="Second Class"/>
    <n v="7"/>
    <n v="4205.3500000000004"/>
    <n v="0.15"/>
    <n v="25021.83"/>
    <n v="15544.44"/>
    <n v="9477.39"/>
    <s v="Pending"/>
    <x v="1"/>
    <m/>
    <m/>
    <m/>
    <m/>
    <m/>
    <x v="1"/>
    <m/>
    <m/>
  </r>
  <r>
    <s v="ORD-2025-10854"/>
    <x v="734"/>
    <s v="05/22/2025"/>
    <m/>
    <n v="0"/>
    <s v="CUST-8274"/>
    <s v="Arjun Bose"/>
    <s v="Arjun Bose"/>
    <s v="Corporate"/>
    <x v="2"/>
    <x v="2"/>
    <s v="Tamil Nadu"/>
    <s v="Chennai"/>
    <s v="Technology"/>
    <x v="2"/>
    <x v="5"/>
    <s v="Elite Accessories 708"/>
    <x v="1"/>
    <s v="Same Day"/>
    <n v="8"/>
    <n v="579.79999999999995"/>
    <n v="0.2"/>
    <n v="3710.72"/>
    <n v="3115.29"/>
    <n v="595.42999999999995"/>
    <s v="Paid"/>
    <x v="0"/>
    <m/>
    <m/>
    <m/>
    <m/>
    <m/>
    <x v="1"/>
    <m/>
    <m/>
  </r>
  <r>
    <s v="ORD-2025-10855"/>
    <x v="735"/>
    <s v="04/02/2025"/>
    <m/>
    <n v="0"/>
    <s v="CUST-2514"/>
    <s v="Priya Menon"/>
    <s v="Priya Menon"/>
    <s v="Consumer"/>
    <x v="0"/>
    <x v="2"/>
    <s v="Karnataka"/>
    <s v="Bengaluru"/>
    <s v="Furniture"/>
    <x v="1"/>
    <x v="10"/>
    <s v="Max Bookcases 381"/>
    <x v="0"/>
    <s v="Second Class"/>
    <n v="4"/>
    <n v="2233.64"/>
    <n v="0.05"/>
    <n v="8487.83"/>
    <n v="5245.72"/>
    <n v="3242.11"/>
    <s v="Paid"/>
    <x v="0"/>
    <m/>
    <m/>
    <m/>
    <m/>
    <m/>
    <x v="1"/>
    <m/>
    <m/>
  </r>
  <r>
    <s v="ORD-2024-10856"/>
    <x v="736"/>
    <s v="02 Aug 2024"/>
    <m/>
    <n v="0"/>
    <s v="CUST-2752"/>
    <s v="Rahul Verma"/>
    <s v="Rahul Verma"/>
    <s v="Consumer"/>
    <x v="0"/>
    <x v="0"/>
    <s v="Rajasthan"/>
    <s v="Jaipur"/>
    <s v="Office Supplies"/>
    <x v="0"/>
    <x v="7"/>
    <s v="Classic Labels 215"/>
    <x v="0"/>
    <s v="Second Class"/>
    <n v="2"/>
    <n v="2073.5300000000002"/>
    <n v="0.25"/>
    <n v="3110.3"/>
    <n v="2101.0300000000002"/>
    <n v="1009.27"/>
    <s v="Paid"/>
    <x v="0"/>
    <m/>
    <m/>
    <m/>
    <m/>
    <m/>
    <x v="1"/>
    <m/>
    <m/>
  </r>
  <r>
    <s v="ORD-2024-10857"/>
    <x v="737"/>
    <s v="19 Jun 2024"/>
    <m/>
    <n v="0"/>
    <s v="CUST-5647"/>
    <s v="Rohan Mehta"/>
    <s v="Rohan Mehta"/>
    <s v="Home Office"/>
    <x v="3"/>
    <x v="2"/>
    <s v="Tamil Nadu"/>
    <s v="Chennai"/>
    <s v="Office Supplies"/>
    <x v="0"/>
    <x v="8"/>
    <s v="Classic Storage 918"/>
    <x v="3"/>
    <s v="Standard Class"/>
    <n v="4"/>
    <n v="395.1"/>
    <n v="-0.16"/>
    <n v="1185.3"/>
    <n v="966.55"/>
    <n v="218.75"/>
    <s v="Failed"/>
    <x v="1"/>
    <m/>
    <m/>
    <m/>
    <m/>
    <m/>
    <x v="1"/>
    <m/>
    <m/>
  </r>
  <r>
    <s v="ORD-2024-10858"/>
    <x v="738"/>
    <s v="04-06-2024"/>
    <m/>
    <n v="0"/>
    <s v="CUST-8575"/>
    <s v="Sneha Kapoor"/>
    <s v="Sneha Kapoor"/>
    <s v="Home Office"/>
    <x v="3"/>
    <x v="2"/>
    <s v="Kerala"/>
    <s v="Kochi"/>
    <s v="Office Supplies"/>
    <x v="0"/>
    <x v="8"/>
    <s v="Max Storage 223"/>
    <x v="2"/>
    <s v="First Class"/>
    <n v="6"/>
    <n v="2708.97"/>
    <n v="0.25"/>
    <n v="12190.36"/>
    <n v="10176.99"/>
    <n v="2013.37"/>
    <s v="Paid"/>
    <x v="0"/>
    <m/>
    <m/>
    <m/>
    <m/>
    <m/>
    <x v="1"/>
    <m/>
    <m/>
  </r>
  <r>
    <s v="ORD-2024-10859"/>
    <x v="585"/>
    <s v="09 May 2024"/>
    <m/>
    <n v="0"/>
    <s v="CUST-9576"/>
    <s v="Arjun Bose"/>
    <s v="Arjun Bose"/>
    <s v="Consumer"/>
    <x v="0"/>
    <x v="1"/>
    <s v="Odisha"/>
    <s v="Bhubaneswar"/>
    <s v="Technology"/>
    <x v="2"/>
    <x v="5"/>
    <s v="Basic Accessories 602"/>
    <x v="0"/>
    <s v="Second Class"/>
    <n v="4"/>
    <n v="2904.86"/>
    <n v="0"/>
    <n v="11619.44"/>
    <n v="7184.32"/>
    <n v="4494.6400000000003"/>
    <s v="Paid"/>
    <x v="0"/>
    <m/>
    <m/>
    <m/>
    <m/>
    <m/>
    <x v="1"/>
    <m/>
    <m/>
  </r>
  <r>
    <s v="ORD-2024-10860"/>
    <x v="658"/>
    <s v="2024-11-01"/>
    <m/>
    <n v="0"/>
    <s v="CUST-2395"/>
    <s v="Aditi Sen"/>
    <s v="Aditi Sen"/>
    <s v="Corporate"/>
    <x v="2"/>
    <x v="2"/>
    <s v="Tamil Nadu"/>
    <s v="Chennai"/>
    <s v="Technology"/>
    <x v="2"/>
    <x v="11"/>
    <s v="Elite Phones 394"/>
    <x v="3"/>
    <s v="Standard Class"/>
    <n v="6"/>
    <n v="4399.2"/>
    <n v="0.05"/>
    <n v="25075.439999999999"/>
    <n v="16282.74"/>
    <n v="8792.7000000000007"/>
    <s v="Paid"/>
    <x v="0"/>
    <m/>
    <m/>
    <m/>
    <m/>
    <m/>
    <x v="1"/>
    <m/>
    <m/>
  </r>
  <r>
    <s v="ORD-2024-10861"/>
    <x v="739"/>
    <s v="04 Feb 2024"/>
    <m/>
    <n v="0"/>
    <s v="CUST-8941"/>
    <s v="Vikram Iyer"/>
    <s v="Vikram Iyer"/>
    <s v="Home Office"/>
    <x v="3"/>
    <x v="0"/>
    <s v="Uttar Pradesh"/>
    <s v="Noida"/>
    <s v="Office Supplies"/>
    <x v="0"/>
    <x v="8"/>
    <s v="Classic Storage 194"/>
    <x v="0"/>
    <s v="Second Class"/>
    <n v="1"/>
    <n v="4397.32"/>
    <n v="0.05"/>
    <n v="4177.45"/>
    <n v="2299.5"/>
    <n v="1877.95"/>
    <s v="Paid"/>
    <x v="0"/>
    <m/>
    <m/>
    <m/>
    <m/>
    <m/>
    <x v="1"/>
    <m/>
    <m/>
  </r>
  <r>
    <s v="ORD-2025-10862"/>
    <x v="740"/>
    <s v="2025-03-09"/>
    <m/>
    <n v="0"/>
    <s v="CUST-9448"/>
    <s v="Priya Menon"/>
    <s v="Priya Menon"/>
    <s v="Home Office"/>
    <x v="3"/>
    <x v="0"/>
    <s v="Delhi"/>
    <s v="New Delhi"/>
    <s v="Furniture"/>
    <x v="1"/>
    <x v="3"/>
    <s v="Smart Furnishings 892"/>
    <x v="1"/>
    <s v="Same Day"/>
    <n v="4"/>
    <n v="3405.68"/>
    <n v="0.2"/>
    <n v="10898.18"/>
    <n v="6231.41"/>
    <n v="4666.7700000000004"/>
    <s v="Paid"/>
    <x v="0"/>
    <m/>
    <m/>
    <m/>
    <m/>
    <m/>
    <x v="1"/>
    <m/>
    <m/>
  </r>
  <r>
    <s v="ORD-2025-10863"/>
    <x v="741"/>
    <s v="31-03-2025"/>
    <m/>
    <n v="0"/>
    <s v="CUST-8354"/>
    <s v="Priya Menon"/>
    <s v="Priya Menon"/>
    <s v="Small Business"/>
    <x v="1"/>
    <x v="1"/>
    <s v="Jharkhand"/>
    <s v="Ranchi"/>
    <s v="Office Supplies"/>
    <x v="0"/>
    <x v="9"/>
    <s v="Pro Binders 488"/>
    <x v="2"/>
    <s v="First Class"/>
    <n v="5"/>
    <n v="1395.14"/>
    <n v="0"/>
    <n v="6975.7"/>
    <n v="4797.88"/>
    <n v="2177.8200000000002"/>
    <s v="Paid"/>
    <x v="1"/>
    <m/>
    <m/>
    <m/>
    <m/>
    <m/>
    <x v="1"/>
    <m/>
    <m/>
  </r>
  <r>
    <s v="ORD-2025-10864"/>
    <x v="742"/>
    <s v="09/08/2025"/>
    <m/>
    <n v="0"/>
    <s v="CUST-2200"/>
    <s v="Aarav Sharma"/>
    <s v="Aarav Sharma"/>
    <s v="Home Office"/>
    <x v="3"/>
    <x v="3"/>
    <s v="Madhya Pradesh"/>
    <s v="Indore"/>
    <s v="Furniture"/>
    <x v="1"/>
    <x v="3"/>
    <s v="Prime Furnishings 679"/>
    <x v="1"/>
    <s v="Same Day"/>
    <n v="3"/>
    <n v="2937.23"/>
    <n v="0"/>
    <n v="8811.69"/>
    <n v="6765.91"/>
    <n v="2045.78"/>
    <s v="Paid"/>
    <x v="0"/>
    <m/>
    <m/>
    <m/>
    <m/>
    <m/>
    <x v="1"/>
    <m/>
    <m/>
  </r>
  <r>
    <s v="ORD-2025-10865"/>
    <x v="743"/>
    <s v="05-09-2025"/>
    <m/>
    <n v="0"/>
    <s v="CUST-1178"/>
    <s v="Vikram Iyer"/>
    <s v="Vikram Iyer"/>
    <s v="Consumer"/>
    <x v="0"/>
    <x v="2"/>
    <s v="Tamil Nadu"/>
    <s v="Chennai"/>
    <s v="Technology"/>
    <x v="2"/>
    <x v="11"/>
    <s v="Smart Phones 158"/>
    <x v="2"/>
    <s v="First Class"/>
    <n v="5"/>
    <n v="3406.87"/>
    <n v="0"/>
    <n v="17034.349999999999"/>
    <n v="14631.36"/>
    <n v="2402.9899999999998"/>
    <s v="Paid"/>
    <x v="0"/>
    <m/>
    <m/>
    <m/>
    <m/>
    <m/>
    <x v="1"/>
    <m/>
    <m/>
  </r>
  <r>
    <s v="ORD-2025-10866"/>
    <x v="705"/>
    <s v="14-02-2025"/>
    <m/>
    <n v="0"/>
    <s v="CUST-8099"/>
    <s v="Kabir Singh"/>
    <s v="Kabir Singh"/>
    <s v="Consumer"/>
    <x v="0"/>
    <x v="3"/>
    <s v="Maharashtra"/>
    <s v="Mumbai"/>
    <s v="Office Supplies"/>
    <x v="0"/>
    <x v="7"/>
    <s v="Classic Labels 218"/>
    <x v="0"/>
    <s v="Second Class"/>
    <n v="2"/>
    <n v="3992.04"/>
    <n v="0"/>
    <n v="7984.08"/>
    <n v="5658.05"/>
    <n v="2326.0300000000002"/>
    <s v="Paid"/>
    <x v="0"/>
    <m/>
    <m/>
    <m/>
    <m/>
    <m/>
    <x v="1"/>
    <m/>
    <m/>
  </r>
  <r>
    <s v="ORD-2025-10867"/>
    <x v="744"/>
    <s v="2025-03-06"/>
    <m/>
    <n v="0"/>
    <s v="CUST-7596"/>
    <s v="Priya Menon"/>
    <s v="Priya Menon"/>
    <s v="Consumer"/>
    <x v="0"/>
    <x v="1"/>
    <s v="Bihar"/>
    <s v="Patna"/>
    <s v="Furniture"/>
    <x v="1"/>
    <x v="10"/>
    <s v="Smart Bookcases 552"/>
    <x v="2"/>
    <s v="First Class"/>
    <n v="9"/>
    <n v="3043.37"/>
    <n v="0.2"/>
    <n v="21912.26"/>
    <n v="16367.78"/>
    <n v="5544.48"/>
    <s v="Pending"/>
    <x v="1"/>
    <m/>
    <m/>
    <m/>
    <m/>
    <m/>
    <x v="1"/>
    <m/>
    <m/>
  </r>
  <r>
    <s v="ORD-2024-10868"/>
    <x v="745"/>
    <s v="22 Nov 2024"/>
    <m/>
    <n v="0"/>
    <s v="CUST-2328"/>
    <s v="Rahul Verma"/>
    <s v="Rahul Verma"/>
    <s v="Home Office"/>
    <x v="3"/>
    <x v="2"/>
    <s v="Andhra Pradesh"/>
    <s v="Vijayawada"/>
    <s v="Technology"/>
    <x v="2"/>
    <x v="5"/>
    <s v="Eco Accessories 389"/>
    <x v="1"/>
    <s v="Same Day"/>
    <n v="6"/>
    <n v="1043.49"/>
    <n v="0.25"/>
    <n v="4695.7"/>
    <n v="3871.69"/>
    <n v="824.01"/>
    <s v="Failed"/>
    <x v="1"/>
    <m/>
    <m/>
    <m/>
    <m/>
    <m/>
    <x v="1"/>
    <m/>
    <m/>
  </r>
  <r>
    <s v="ORD-2025-10869"/>
    <x v="138"/>
    <s v="2025-04-15"/>
    <m/>
    <n v="0"/>
    <s v="CUST-8483"/>
    <s v="Vikram Iyer"/>
    <s v="Vikram Iyer"/>
    <s v="Home Office"/>
    <x v="3"/>
    <x v="2"/>
    <s v="Karnataka"/>
    <s v="Bengaluru"/>
    <s v="Office Supplies"/>
    <x v="0"/>
    <x v="8"/>
    <s v="Elite Storage 187"/>
    <x v="1"/>
    <s v="Same Day"/>
    <n v="9"/>
    <n v="224.94"/>
    <n v="0.05"/>
    <n v="1923.24"/>
    <n v="1093.6600000000001"/>
    <n v="829.58"/>
    <s v="Paid"/>
    <x v="0"/>
    <m/>
    <m/>
    <m/>
    <m/>
    <m/>
    <x v="1"/>
    <m/>
    <m/>
  </r>
  <r>
    <s v="ORD-2025-10870"/>
    <x v="746"/>
    <s v="07-03-2025"/>
    <s v="OK"/>
    <s v="OK"/>
    <s v="CUST-2388"/>
    <s v="Rohan Mehta"/>
    <s v="Rohan Mehta"/>
    <s v="Home Office"/>
    <x v="3"/>
    <x v="0"/>
    <s v="Delhi"/>
    <s v="New Delhi"/>
    <s v="Furniture"/>
    <x v="1"/>
    <x v="4"/>
    <s v="Max Chairs 487"/>
    <x v="1"/>
    <s v="Same Day"/>
    <n v="6"/>
    <n v="796.65"/>
    <n v="0.1"/>
    <n v="4301.91"/>
    <n v="2374.4"/>
    <n v="1927.51"/>
    <s v="Paid"/>
    <x v="0"/>
    <m/>
    <m/>
    <m/>
    <m/>
    <m/>
    <x v="1"/>
    <m/>
    <m/>
  </r>
  <r>
    <s v="ORD-2025-10871"/>
    <x v="747"/>
    <s v="07 Jun 2025"/>
    <m/>
    <n v="0"/>
    <s v="CUST-7054"/>
    <s v="Vikram Iyer"/>
    <s v="Vikram Iyer"/>
    <s v="Corporate"/>
    <x v="2"/>
    <x v="3"/>
    <s v="Goa"/>
    <s v="Panaji"/>
    <s v="Furniture"/>
    <x v="1"/>
    <x v="1"/>
    <s v="Max Tables 281"/>
    <x v="3"/>
    <s v="Standard Class"/>
    <n v="9"/>
    <n v="2932.92"/>
    <n v="0.15"/>
    <n v="22436.84"/>
    <n v="17454.669999999998"/>
    <n v="4982.17"/>
    <s v="Paid"/>
    <x v="1"/>
    <m/>
    <m/>
    <m/>
    <m/>
    <m/>
    <x v="1"/>
    <m/>
    <m/>
  </r>
  <r>
    <s v="ORD-2024-10872"/>
    <x v="748"/>
    <s v="2024-02-22"/>
    <m/>
    <n v="0"/>
    <s v="CUST-4375"/>
    <s v="Neha Gupta"/>
    <s v="Neha Gupta"/>
    <s v="Small Business"/>
    <x v="1"/>
    <x v="2"/>
    <s v="Telangana"/>
    <s v="Hyderabad"/>
    <s v="Technology"/>
    <x v="2"/>
    <x v="5"/>
    <s v="Pro Accessories 325"/>
    <x v="2"/>
    <s v="First Class"/>
    <n v="9"/>
    <n v="2186.23"/>
    <n v="0"/>
    <n v="19676.07"/>
    <n v="12458.62"/>
    <n v="7217.45"/>
    <s v="Refunded"/>
    <x v="1"/>
    <m/>
    <m/>
    <m/>
    <m/>
    <m/>
    <x v="1"/>
    <m/>
    <m/>
  </r>
  <r>
    <s v="ORD-2024-10873"/>
    <x v="749"/>
    <s v="02 Nov 2024"/>
    <m/>
    <n v="0"/>
    <s v="CUST-6262"/>
    <s v="Karan Malhotra"/>
    <s v="Karan Malhotra"/>
    <s v="Corporate"/>
    <x v="2"/>
    <x v="1"/>
    <s v="West Bengal"/>
    <s v="Kolkata"/>
    <s v="Furniture"/>
    <x v="1"/>
    <x v="3"/>
    <s v="Prime Furnishings 178"/>
    <x v="3"/>
    <s v="Standard Class"/>
    <n v="5"/>
    <n v="2212.02"/>
    <n v="0.2"/>
    <n v="8848.08"/>
    <n v="5691.56"/>
    <n v="3156.52"/>
    <s v="Paid"/>
    <x v="0"/>
    <m/>
    <m/>
    <m/>
    <m/>
    <m/>
    <x v="1"/>
    <m/>
    <m/>
  </r>
  <r>
    <s v="ORD-2025-10874"/>
    <x v="750"/>
    <s v="08-02-2025"/>
    <m/>
    <n v="0"/>
    <s v="CUST-8160"/>
    <s v="Aditi Sen"/>
    <s v="Aditi Sen"/>
    <s v="Home Office"/>
    <x v="3"/>
    <x v="3"/>
    <s v="Gujarat"/>
    <s v="Ahmedabad"/>
    <s v="Office Supplies"/>
    <x v="0"/>
    <x v="8"/>
    <s v="Elite Storage 144"/>
    <x v="0"/>
    <s v="Second Class"/>
    <n v="8"/>
    <n v="623.30999999999995"/>
    <n v="0.1"/>
    <n v="4487.83"/>
    <n v="2633.78"/>
    <n v="1854.05"/>
    <s v="Paid"/>
    <x v="0"/>
    <m/>
    <m/>
    <m/>
    <m/>
    <m/>
    <x v="1"/>
    <m/>
    <m/>
  </r>
  <r>
    <s v="ORD-2025-10875"/>
    <x v="715"/>
    <s v="16 Jul 2025"/>
    <m/>
    <n v="0"/>
    <s v="CUST-8770"/>
    <s v="Vikram Iyer"/>
    <s v="Vikram Iyer"/>
    <s v="Small Business"/>
    <x v="1"/>
    <x v="3"/>
    <s v="Maharashtra"/>
    <s v="Mumbai"/>
    <s v="Office Supplies"/>
    <x v="0"/>
    <x v="0"/>
    <s v="Elite Paper 309"/>
    <x v="3"/>
    <s v="Standard Class"/>
    <n v="8"/>
    <n v="3924.88"/>
    <n v="0.05"/>
    <n v="29829.09"/>
    <n v="20710.18"/>
    <n v="9118.91"/>
    <s v="Paid"/>
    <x v="0"/>
    <m/>
    <m/>
    <m/>
    <m/>
    <m/>
    <x v="1"/>
    <m/>
    <m/>
  </r>
  <r>
    <s v="ORD-2024-10876"/>
    <x v="751"/>
    <s v="08/11/2024"/>
    <m/>
    <n v="0"/>
    <s v="CUST-6928"/>
    <s v="Mira Das"/>
    <s v="Mira Das"/>
    <s v="Corporate"/>
    <x v="2"/>
    <x v="3"/>
    <s v="Maharashtra"/>
    <s v="Mumbai"/>
    <s v="Technology"/>
    <x v="2"/>
    <x v="6"/>
    <s v="Elite Copiers 752"/>
    <x v="2"/>
    <s v="First Class"/>
    <n v="7"/>
    <n v="3852.62"/>
    <n v="0.2"/>
    <n v="21574.67"/>
    <n v="14672.83"/>
    <n v="6901.84"/>
    <s v="Paid"/>
    <x v="0"/>
    <m/>
    <m/>
    <m/>
    <m/>
    <m/>
    <x v="1"/>
    <m/>
    <m/>
  </r>
  <r>
    <s v="ORD-2024-10877"/>
    <x v="752"/>
    <s v="20-11-2024"/>
    <m/>
    <n v="0"/>
    <s v="CUST-9044"/>
    <s v="Priya Menon"/>
    <s v="Priya Menon"/>
    <s v="Consumer"/>
    <x v="0"/>
    <x v="3"/>
    <s v="Rajasthan"/>
    <s v="Udaipur"/>
    <s v="Furniture"/>
    <x v="1"/>
    <x v="4"/>
    <s v="Pro Chairs 316"/>
    <x v="2"/>
    <s v="First Class"/>
    <n v="6"/>
    <n v="3790.22"/>
    <n v="0"/>
    <n v="22741.32"/>
    <n v="16388.57"/>
    <n v="6352.75"/>
    <s v="Paid"/>
    <x v="0"/>
    <m/>
    <m/>
    <m/>
    <m/>
    <m/>
    <x v="1"/>
    <m/>
    <m/>
  </r>
  <r>
    <s v="ORD-2025-10878"/>
    <x v="753"/>
    <s v="2025-09-03"/>
    <m/>
    <n v="0"/>
    <s v="CUST-7146"/>
    <s v="Aarav Sharma"/>
    <s v="Aarav Sharma"/>
    <s v="Consumer"/>
    <x v="0"/>
    <x v="3"/>
    <s v="Rajasthan"/>
    <s v="Udaipur"/>
    <s v="Office Supplies"/>
    <x v="0"/>
    <x v="8"/>
    <s v="Max Storage 438"/>
    <x v="0"/>
    <s v="Second Class"/>
    <n v="6"/>
    <n v="674.36"/>
    <n v="0.1"/>
    <n v="3641.54"/>
    <n v="2690.37"/>
    <n v="951.17"/>
    <s v="Paid"/>
    <x v="0"/>
    <m/>
    <m/>
    <m/>
    <m/>
    <m/>
    <x v="1"/>
    <m/>
    <m/>
  </r>
  <r>
    <s v="ORD-2024-10879"/>
    <x v="377"/>
    <s v="2024-01-22"/>
    <m/>
    <n v="0"/>
    <s v="CUST-8534"/>
    <s v="Karan Malhotra"/>
    <s v="Karan Malhotra"/>
    <s v="Corporate"/>
    <x v="2"/>
    <x v="1"/>
    <s v="West Bengal"/>
    <s v="Kolkata"/>
    <s v="Office Supplies"/>
    <x v="0"/>
    <x v="0"/>
    <s v="Basic Paper 904"/>
    <x v="2"/>
    <s v="First Class"/>
    <n v="8"/>
    <n v="1557.21"/>
    <n v="0.05"/>
    <n v="11834.8"/>
    <n v="9322.36"/>
    <n v="2512.44"/>
    <s v="Paid"/>
    <x v="0"/>
    <m/>
    <m/>
    <m/>
    <m/>
    <m/>
    <x v="1"/>
    <m/>
    <m/>
  </r>
  <r>
    <s v="ORD-2025-10880"/>
    <x v="754"/>
    <s v="08/28/2025"/>
    <m/>
    <n v="0"/>
    <s v="CUST-4486"/>
    <s v="Ananya Rao"/>
    <s v="Ananya Rao"/>
    <s v="Home Office"/>
    <x v="3"/>
    <x v="0"/>
    <s v="Uttar Pradesh"/>
    <s v="Noida"/>
    <s v="Office Supplies"/>
    <x v="0"/>
    <x v="2"/>
    <s v="Smart Art 990"/>
    <x v="3"/>
    <s v="Standard Class"/>
    <n v="6"/>
    <n v="1182.03"/>
    <n v="0.15"/>
    <n v="6028.35"/>
    <n v="4433.63"/>
    <n v="1594.72"/>
    <s v="Paid"/>
    <x v="0"/>
    <m/>
    <m/>
    <m/>
    <m/>
    <m/>
    <x v="1"/>
    <m/>
    <m/>
  </r>
  <r>
    <s v="ORD-2024-10881"/>
    <x v="755"/>
    <s v="03/15/2024"/>
    <s v="OK"/>
    <s v="OK"/>
    <s v="CUST-5287"/>
    <s v="Aarav Sharma"/>
    <s v="Aarav Sharma"/>
    <s v="Small Business"/>
    <x v="1"/>
    <x v="0"/>
    <s v="Punjab"/>
    <s v="Ludhiana"/>
    <s v="Furniture"/>
    <x v="1"/>
    <x v="4"/>
    <s v="Basic Chairs 327"/>
    <x v="2"/>
    <s v="First Class"/>
    <n v="5"/>
    <n v="3234.77"/>
    <n v="0"/>
    <n v="16173.85"/>
    <n v="13636.34"/>
    <n v="2537.5100000000002"/>
    <s v="Paid"/>
    <x v="0"/>
    <m/>
    <m/>
    <m/>
    <m/>
    <m/>
    <x v="1"/>
    <m/>
    <m/>
  </r>
  <r>
    <s v="ORD-2024-10882"/>
    <x v="756"/>
    <s v="05-12-2024"/>
    <m/>
    <n v="0"/>
    <s v="CUST-3445"/>
    <s v="Ananya Rao"/>
    <s v="Ananya Rao"/>
    <s v="Small Business"/>
    <x v="1"/>
    <x v="2"/>
    <s v="Andhra Pradesh"/>
    <s v="Vijayawada"/>
    <s v="Technology"/>
    <x v="2"/>
    <x v="6"/>
    <s v="Eco Copiers 987"/>
    <x v="0"/>
    <s v="Second Class"/>
    <n v="9"/>
    <n v="3726.75"/>
    <n v="0.25"/>
    <n v="25155.56"/>
    <n v="17592.689999999999"/>
    <n v="7562.87"/>
    <s v="Paid"/>
    <x v="0"/>
    <m/>
    <m/>
    <m/>
    <m/>
    <m/>
    <x v="1"/>
    <m/>
    <m/>
  </r>
  <r>
    <s v="ORD-2025-10883"/>
    <x v="757"/>
    <s v="02/10/2025"/>
    <m/>
    <n v="0"/>
    <s v="CUST-4983"/>
    <s v="Sneha Kapoor"/>
    <s v="Sneha Kapoor"/>
    <s v="Corporate"/>
    <x v="2"/>
    <x v="1"/>
    <s v="Bihar"/>
    <s v="Patna"/>
    <s v="Technology"/>
    <x v="2"/>
    <x v="5"/>
    <s v="Basic Accessories 607"/>
    <x v="3"/>
    <s v="Standard Class"/>
    <n v="4"/>
    <n v="1912.45"/>
    <n v="0"/>
    <n v="7649.8"/>
    <n v="4894.53"/>
    <n v="2755.27"/>
    <s v="Pending"/>
    <x v="2"/>
    <m/>
    <m/>
    <m/>
    <m/>
    <m/>
    <x v="1"/>
    <m/>
    <m/>
  </r>
  <r>
    <s v="ORD-2025-10884"/>
    <x v="758"/>
    <s v="05/01/2025"/>
    <m/>
    <n v="0"/>
    <s v="CUST-2597"/>
    <s v="Aarav Sharma"/>
    <s v="Aarav Sharma"/>
    <s v="Small Business"/>
    <x v="1"/>
    <x v="3"/>
    <s v="Goa"/>
    <s v="Panaji"/>
    <s v="Office Supplies"/>
    <x v="0"/>
    <x v="8"/>
    <s v="Classic Storage 211"/>
    <x v="1"/>
    <s v="Same Day"/>
    <n v="1"/>
    <n v="1620.87"/>
    <n v="0"/>
    <n v="1620.87"/>
    <n v="1103.6099999999999"/>
    <n v="517.26"/>
    <s v="Paid"/>
    <x v="0"/>
    <m/>
    <m/>
    <m/>
    <m/>
    <m/>
    <x v="1"/>
    <m/>
    <m/>
  </r>
  <r>
    <s v="ORD-2025-10885"/>
    <x v="759"/>
    <s v="2025-01-25"/>
    <m/>
    <n v="0"/>
    <s v="CUST-7505"/>
    <s v="Neha Gupta"/>
    <s v="Neha Gupta"/>
    <s v="Home Office"/>
    <x v="3"/>
    <x v="2"/>
    <s v="Karnataka"/>
    <s v="Bengaluru"/>
    <s v="Office Supplies"/>
    <x v="0"/>
    <x v="8"/>
    <s v="Eco Storage 783"/>
    <x v="1"/>
    <s v="Same Day"/>
    <n v="2"/>
    <n v="2098.54"/>
    <n v="0.15"/>
    <n v="3567.52"/>
    <n v="2411.8000000000002"/>
    <n v="1155.72"/>
    <s v="Paid"/>
    <x v="0"/>
    <m/>
    <m/>
    <m/>
    <m/>
    <m/>
    <x v="1"/>
    <m/>
    <m/>
  </r>
  <r>
    <s v="ORD-2024-10886"/>
    <x v="760"/>
    <s v="2024-01-05"/>
    <m/>
    <n v="0"/>
    <s v="CUST-3446"/>
    <s v="Diya Patel"/>
    <s v="Diya Patel"/>
    <s v="Consumer"/>
    <x v="0"/>
    <x v="0"/>
    <s v="Rajasthan"/>
    <s v="Jaipur"/>
    <s v="Furniture"/>
    <x v="1"/>
    <x v="1"/>
    <s v="Pro Tables 866"/>
    <x v="3"/>
    <s v="Standard Class"/>
    <n v="1"/>
    <n v="2167.08"/>
    <n v="0.25"/>
    <n v="1625.31"/>
    <n v="1157.8900000000001"/>
    <n v="467.42"/>
    <s v="Paid"/>
    <x v="0"/>
    <m/>
    <m/>
    <m/>
    <m/>
    <m/>
    <x v="1"/>
    <m/>
    <m/>
  </r>
  <r>
    <s v="ORD-2025-10887"/>
    <x v="761"/>
    <s v="03-05-2025"/>
    <m/>
    <n v="0"/>
    <s v="CUST-3549"/>
    <s v="Arjun Bose"/>
    <s v="Arjun Bose"/>
    <s v="Home Office"/>
    <x v="3"/>
    <x v="2"/>
    <s v="Tamil Nadu"/>
    <s v="Chennai"/>
    <s v="Technology"/>
    <x v="2"/>
    <x v="5"/>
    <s v="Max Accessories 541"/>
    <x v="2"/>
    <s v="First Class"/>
    <n v="7"/>
    <n v="3989.9"/>
    <n v="0.15"/>
    <n v="23739.9"/>
    <n v="17716.52"/>
    <n v="6023.38"/>
    <s v="Paid"/>
    <x v="1"/>
    <m/>
    <m/>
    <m/>
    <m/>
    <m/>
    <x v="1"/>
    <m/>
    <m/>
  </r>
  <r>
    <s v="ORD-2024-10888"/>
    <x v="737"/>
    <s v="2024-06-18"/>
    <m/>
    <n v="0"/>
    <s v="CUST-2795"/>
    <s v="Aarav Sharma"/>
    <s v="Aarav Sharma"/>
    <s v="Small Business"/>
    <x v="1"/>
    <x v="2"/>
    <s v="Andhra Pradesh"/>
    <s v="Vijayawada"/>
    <s v="Office Supplies"/>
    <x v="0"/>
    <x v="2"/>
    <s v="Prime Art 596"/>
    <x v="3"/>
    <s v="Standard Class"/>
    <n v="4"/>
    <n v="4176.13"/>
    <n v="0"/>
    <n v="16704.52"/>
    <n v="10158.280000000001"/>
    <n v="6546.24"/>
    <s v="Paid"/>
    <x v="0"/>
    <m/>
    <m/>
    <m/>
    <m/>
    <m/>
    <x v="1"/>
    <m/>
    <m/>
  </r>
  <r>
    <s v="ORD-2025-10889"/>
    <x v="762"/>
    <s v="07-08-2025"/>
    <m/>
    <n v="0"/>
    <s v="CUST-1081"/>
    <s v="Rahul Verma"/>
    <s v="Rahul Verma"/>
    <s v="Small Business"/>
    <x v="1"/>
    <x v="3"/>
    <s v="Maharashtra"/>
    <s v="Mumbai"/>
    <s v="Office Supplies"/>
    <x v="0"/>
    <x v="2"/>
    <s v="Pro Art 620"/>
    <x v="3"/>
    <s v="Standard Class"/>
    <n v="4"/>
    <n v="3523.64"/>
    <n v="0.1"/>
    <n v="12685.1"/>
    <n v="10779.56"/>
    <n v="1905.54"/>
    <s v="Refunded"/>
    <x v="1"/>
    <m/>
    <m/>
    <m/>
    <m/>
    <m/>
    <x v="1"/>
    <m/>
    <m/>
  </r>
  <r>
    <s v="ORD-2025-10890"/>
    <x v="763"/>
    <s v="03/11/2025"/>
    <m/>
    <n v="0"/>
    <s v="CUST-8467"/>
    <s v="Aditi Sen"/>
    <s v="Aditi Sen"/>
    <s v="Home Office"/>
    <x v="3"/>
    <x v="3"/>
    <s v="Madhya Pradesh"/>
    <s v="Indore"/>
    <s v="Office Supplies"/>
    <x v="0"/>
    <x v="8"/>
    <s v="Prime Storage 806"/>
    <x v="2"/>
    <s v="First Class"/>
    <n v="2"/>
    <n v="3922.08"/>
    <n v="0.25"/>
    <n v="5883.12"/>
    <n v="4647.91"/>
    <n v="1235.21"/>
    <s v="Paid"/>
    <x v="2"/>
    <m/>
    <m/>
    <m/>
    <m/>
    <m/>
    <x v="1"/>
    <m/>
    <m/>
  </r>
  <r>
    <s v="ORD-2024-10891"/>
    <x v="764"/>
    <s v="21-05-2024"/>
    <m/>
    <n v="0"/>
    <s v="CUST-3992"/>
    <s v="Karan Malhotra"/>
    <s v="Karan Malhotra"/>
    <s v="Consumer"/>
    <x v="0"/>
    <x v="3"/>
    <s v="Goa"/>
    <s v="Panaji"/>
    <s v="Office Supplies"/>
    <x v="0"/>
    <x v="8"/>
    <s v="Smart Storage 288"/>
    <x v="3"/>
    <s v="Standard Class"/>
    <n v="6"/>
    <n v="2909.56"/>
    <n v="0.2"/>
    <n v="13965.89"/>
    <n v="11646.12"/>
    <n v="2319.77"/>
    <s v="Paid"/>
    <x v="0"/>
    <m/>
    <m/>
    <m/>
    <m/>
    <m/>
    <x v="1"/>
    <m/>
    <m/>
  </r>
  <r>
    <s v="ORD-2024-10892"/>
    <x v="765"/>
    <s v="09-10-2024"/>
    <m/>
    <n v="0"/>
    <s v="CUST-6647"/>
    <s v="Kabir Singh"/>
    <s v="Kabir Singh"/>
    <s v="Corporate"/>
    <x v="2"/>
    <x v="2"/>
    <s v="Tamil Nadu"/>
    <s v="Chennai"/>
    <s v="Technology"/>
    <x v="2"/>
    <x v="12"/>
    <s v="Elite Machines 281"/>
    <x v="1"/>
    <s v="Same Day"/>
    <n v="5"/>
    <n v="2407.9699999999998"/>
    <n v="0.1"/>
    <n v="10835.86"/>
    <n v="6419.92"/>
    <n v="4415.9399999999996"/>
    <s v="Failed"/>
    <x v="1"/>
    <m/>
    <m/>
    <m/>
    <m/>
    <m/>
    <x v="1"/>
    <m/>
    <m/>
  </r>
  <r>
    <s v="ORD-2025-10893"/>
    <x v="766"/>
    <s v="04/18/2025"/>
    <m/>
    <n v="0"/>
    <s v="CUST-5087"/>
    <s v="Isha Nair"/>
    <s v="Isha Nair"/>
    <s v="Small Business"/>
    <x v="1"/>
    <x v="1"/>
    <s v="Jharkhand"/>
    <s v="Ranchi"/>
    <s v="Technology"/>
    <x v="2"/>
    <x v="6"/>
    <s v="Elite Copiers 221"/>
    <x v="1"/>
    <s v="Same Day"/>
    <n v="1"/>
    <n v="726.89"/>
    <n v="0.2"/>
    <n v="581.51"/>
    <n v="423.86"/>
    <n v="157.65"/>
    <s v="Paid"/>
    <x v="0"/>
    <m/>
    <m/>
    <m/>
    <m/>
    <m/>
    <x v="1"/>
    <m/>
    <m/>
  </r>
  <r>
    <s v="ORD-2024-10894"/>
    <x v="767"/>
    <s v="08 Jun 2024"/>
    <m/>
    <n v="0"/>
    <s v="CUST-9297"/>
    <s v="Aarav Sharma"/>
    <s v="Aarav Sharma"/>
    <s v="Corporate"/>
    <x v="2"/>
    <x v="2"/>
    <s v="Karnataka"/>
    <s v="Bengaluru"/>
    <s v="Furniture"/>
    <x v="1"/>
    <x v="1"/>
    <s v="Max Tables 291"/>
    <x v="0"/>
    <s v="Second Class"/>
    <n v="3"/>
    <n v="395.49"/>
    <n v="0.05"/>
    <n v="1127.1500000000001"/>
    <n v="845.62"/>
    <n v="281.52999999999997"/>
    <s v="Paid"/>
    <x v="2"/>
    <m/>
    <m/>
    <m/>
    <m/>
    <m/>
    <x v="1"/>
    <m/>
    <m/>
  </r>
  <r>
    <s v="ORD-2024-10895"/>
    <x v="768"/>
    <s v="02/29/2024"/>
    <m/>
    <n v="0"/>
    <s v="CUST-7996"/>
    <s v="Isha Nair"/>
    <s v="Isha Nair"/>
    <s v="Home Office"/>
    <x v="3"/>
    <x v="2"/>
    <s v="Telangana"/>
    <s v="Hyderabad"/>
    <s v="Furniture"/>
    <x v="1"/>
    <x v="1"/>
    <s v="Classic Tables 638"/>
    <x v="2"/>
    <s v="First Class"/>
    <n v="6"/>
    <n v="4254.05"/>
    <n v="0"/>
    <n v="25524.3"/>
    <n v="16711.93"/>
    <n v="8812.3700000000008"/>
    <s v="Paid"/>
    <x v="0"/>
    <m/>
    <m/>
    <m/>
    <m/>
    <m/>
    <x v="1"/>
    <m/>
    <m/>
  </r>
  <r>
    <s v="ORD-2024-10896"/>
    <x v="769"/>
    <s v="11/10/2024"/>
    <m/>
    <n v="0"/>
    <s v="CUST-4117"/>
    <s v="Arjun Bose"/>
    <s v="Arjun Bose"/>
    <s v="Consumer"/>
    <x v="0"/>
    <x v="2"/>
    <s v="Kerala"/>
    <s v="Kochi"/>
    <s v="Furniture"/>
    <x v="1"/>
    <x v="4"/>
    <s v="Basic Chairs 212"/>
    <x v="1"/>
    <s v="Same Day"/>
    <n v="4"/>
    <n v="711.18"/>
    <n v="0.15"/>
    <n v="2418.0100000000002"/>
    <n v="1441.89"/>
    <n v="976.12"/>
    <s v="Pending"/>
    <x v="2"/>
    <m/>
    <m/>
    <m/>
    <m/>
    <m/>
    <x v="1"/>
    <m/>
    <m/>
  </r>
  <r>
    <s v="ORD-2024-10897"/>
    <x v="770"/>
    <s v="25-12-2024"/>
    <m/>
    <n v="0"/>
    <s v="CUST-4848"/>
    <s v="Ananya Rao"/>
    <s v="Ananya Rao"/>
    <s v="Small Business"/>
    <x v="1"/>
    <x v="2"/>
    <s v="Tamil Nadu"/>
    <s v="Chennai"/>
    <s v="Technology"/>
    <x v="2"/>
    <x v="6"/>
    <s v="Max Copiers 121"/>
    <x v="0"/>
    <s v="Second Class"/>
    <n v="1"/>
    <n v="3693.03"/>
    <n v="0.05"/>
    <n v="3508.38"/>
    <n v="2828.06"/>
    <n v="680.32"/>
    <s v="Failed"/>
    <x v="2"/>
    <m/>
    <m/>
    <m/>
    <m/>
    <m/>
    <x v="1"/>
    <m/>
    <m/>
  </r>
  <r>
    <s v="ORD-2025-10898"/>
    <x v="207"/>
    <s v="03 May 2025"/>
    <m/>
    <n v="0"/>
    <s v="CUST-2897"/>
    <s v="Rohan Mehta"/>
    <s v="Rohan Mehta"/>
    <s v="Corporate"/>
    <x v="2"/>
    <x v="0"/>
    <s v="Haryana"/>
    <s v="Gurugram"/>
    <s v="Office Supplies"/>
    <x v="0"/>
    <x v="0"/>
    <s v="Eco Paper 747"/>
    <x v="2"/>
    <s v="First Class"/>
    <n v="4"/>
    <n v="1786.65"/>
    <n v="0.05"/>
    <n v="6789.27"/>
    <n v="5626.43"/>
    <n v="1162.8399999999999"/>
    <s v="Paid"/>
    <x v="0"/>
    <m/>
    <m/>
    <m/>
    <m/>
    <m/>
    <x v="1"/>
    <m/>
    <m/>
  </r>
  <r>
    <s v="ORD-2024-10899"/>
    <x v="771"/>
    <s v="06/08/2024"/>
    <m/>
    <n v="0"/>
    <s v="CUST-6046"/>
    <s v="Vikram Iyer"/>
    <s v="Vikram Iyer"/>
    <s v="Consumer"/>
    <x v="0"/>
    <x v="0"/>
    <s v="Delhi"/>
    <s v="New Delhi"/>
    <s v="Furniture"/>
    <x v="1"/>
    <x v="1"/>
    <s v="Classic Tables 535"/>
    <x v="2"/>
    <s v="First Class"/>
    <n v="4"/>
    <n v="1536.7"/>
    <n v="0.2"/>
    <n v="4917.4399999999996"/>
    <n v="3846.77"/>
    <n v="1070.67"/>
    <s v="Paid"/>
    <x v="0"/>
    <m/>
    <m/>
    <m/>
    <m/>
    <m/>
    <x v="1"/>
    <m/>
    <m/>
  </r>
  <r>
    <s v="ORD-2025-10900"/>
    <x v="309"/>
    <s v="06/03/2025"/>
    <m/>
    <n v="0"/>
    <s v="CUST-3789"/>
    <s v="Karan Malhotra"/>
    <s v="Karan Malhotra"/>
    <s v="Consumer"/>
    <x v="0"/>
    <x v="0"/>
    <s v="Punjab"/>
    <s v="Ludhiana"/>
    <s v="Furniture"/>
    <x v="1"/>
    <x v="4"/>
    <s v="Elite Chairs 971"/>
    <x v="2"/>
    <s v="First Class"/>
    <n v="5"/>
    <n v="881.08"/>
    <n v="0.25"/>
    <n v="3304.05"/>
    <n v="2279.41"/>
    <n v="1024.6400000000001"/>
    <s v="Failed"/>
    <x v="1"/>
    <m/>
    <m/>
    <m/>
    <m/>
    <m/>
    <x v="1"/>
    <m/>
    <m/>
  </r>
  <r>
    <s v="ORD-2024-10277"/>
    <x v="184"/>
    <s v="23-01-2024"/>
    <s v="OK"/>
    <s v="OK"/>
    <s v="CUST-7039"/>
    <s v="Aarav Sharma"/>
    <s v="Aarav Sharma"/>
    <s v="Small Business"/>
    <x v="1"/>
    <x v="1"/>
    <s v="Assam"/>
    <s v="Guwahati"/>
    <s v="Furniture"/>
    <x v="1"/>
    <x v="4"/>
    <s v="Basic Chairs 141"/>
    <x v="0"/>
    <s v="Second Class"/>
    <n v="6"/>
    <n v="3391.53"/>
    <n v="-0.14000000000000001"/>
    <n v="15261.89"/>
    <n v="8413.5300000000007"/>
    <n v="6848.36"/>
    <s v="Paid"/>
    <x v="0"/>
    <m/>
    <m/>
    <m/>
    <m/>
    <m/>
    <x v="1"/>
    <m/>
    <m/>
  </r>
  <r>
    <s v="ORD-2025-10007"/>
    <x v="6"/>
    <s v="04/16/2025"/>
    <m/>
    <n v="0"/>
    <s v="CUST-3656"/>
    <s v="Neha Gupta"/>
    <s v="Neha Gupta"/>
    <s v="Consumer"/>
    <x v="0"/>
    <x v="1"/>
    <s v="Odisha"/>
    <s v="Bhubaneswar"/>
    <s v="Technology"/>
    <x v="2"/>
    <x v="6"/>
    <s v="Eco Copiers 790"/>
    <x v="3"/>
    <s v="Standard Class"/>
    <n v="4"/>
    <n v="1719.87"/>
    <n v="0.15"/>
    <n v="5847.56"/>
    <n v="4727.25"/>
    <n v="1120.31"/>
    <s v="Paid"/>
    <x v="0"/>
    <m/>
    <m/>
    <m/>
    <m/>
    <m/>
    <x v="1"/>
    <m/>
    <m/>
  </r>
  <r>
    <s v="ORD-2024-10332"/>
    <x v="308"/>
    <s v="2024-12-06"/>
    <m/>
    <n v="0"/>
    <s v="CUST-9346"/>
    <s v="Sneha Kapoor"/>
    <s v="Sneha Kapoor"/>
    <s v="Home Office"/>
    <x v="3"/>
    <x v="1"/>
    <s v="Odisha"/>
    <s v="Bhubaneswar"/>
    <s v="Office Supplies"/>
    <x v="0"/>
    <x v="9"/>
    <s v="Smart Binders 939"/>
    <x v="0"/>
    <s v="Second Class"/>
    <n v="4"/>
    <n v="2685.66"/>
    <n v="0"/>
    <n v="10989.89"/>
    <n v="6477.37"/>
    <n v="4265.2700000000004"/>
    <s v="Paid"/>
    <x v="0"/>
    <m/>
    <m/>
    <m/>
    <m/>
    <m/>
    <x v="1"/>
    <m/>
    <m/>
  </r>
  <r>
    <s v="ORD-2025-10091"/>
    <x v="87"/>
    <s v="29 Aug 2025"/>
    <m/>
    <n v="0"/>
    <s v="CUST-5909"/>
    <s v="Aarav Sharma"/>
    <s v="Aarav Sharma"/>
    <s v="Small Business"/>
    <x v="1"/>
    <x v="1"/>
    <s v="Bihar"/>
    <s v="Patna"/>
    <s v="Technology"/>
    <x v="2"/>
    <x v="6"/>
    <s v="Smart Copiers 556"/>
    <x v="2"/>
    <s v="First Class"/>
    <n v="3"/>
    <n v="3703.96"/>
    <n v="0.15"/>
    <n v="9549.44"/>
    <n v="5586.28"/>
    <n v="3858.82"/>
    <s v="Paid"/>
    <x v="2"/>
    <m/>
    <m/>
    <m/>
    <m/>
    <m/>
    <x v="1"/>
    <m/>
    <m/>
  </r>
  <r>
    <s v="ORD-2025-10374"/>
    <x v="341"/>
    <s v="2025-04-13"/>
    <m/>
    <n v="0"/>
    <s v="CUST-8566"/>
    <s v="Sneha Kapoor"/>
    <s v="Sneha Kapoor"/>
    <s v="Small Business"/>
    <x v="1"/>
    <x v="0"/>
    <s v="Uttar Pradesh"/>
    <s v="Noida"/>
    <s v="Office Supplies"/>
    <x v="0"/>
    <x v="8"/>
    <s v="Prime Storage 951"/>
    <x v="0"/>
    <s v="Second Class"/>
    <n v="9"/>
    <n v="1118.68"/>
    <n v="0"/>
    <n v="10348.43"/>
    <n v="8595.3700000000008"/>
    <n v="1472.75"/>
    <s v="Paid"/>
    <x v="2"/>
    <m/>
    <m/>
    <m/>
    <m/>
    <m/>
    <x v="1"/>
    <m/>
    <m/>
  </r>
  <r>
    <s v="ORD-2025-10225"/>
    <x v="209"/>
    <s v="08 Oct 2025"/>
    <m/>
    <n v="0"/>
    <s v="CUST-9871"/>
    <s v="Isha Nair"/>
    <s v="Isha Nair"/>
    <s v="Small Business"/>
    <x v="1"/>
    <x v="0"/>
    <s v="Punjab"/>
    <s v="Ludhiana"/>
    <s v="Furniture"/>
    <x v="1"/>
    <x v="3"/>
    <s v="Classic Furnishings 109"/>
    <x v="3"/>
    <s v="Standard Class"/>
    <n v="4"/>
    <n v="3944.64"/>
    <n v="0.25"/>
    <n v="12116.89"/>
    <n v="6682.92"/>
    <n v="5151"/>
    <s v="Paid"/>
    <x v="2"/>
    <m/>
    <m/>
    <m/>
    <m/>
    <m/>
    <x v="1"/>
    <m/>
    <m/>
  </r>
  <r>
    <s v="ORD-2025-10315"/>
    <x v="192"/>
    <s v="20 May 2025"/>
    <m/>
    <n v="0"/>
    <s v="CUST-1945"/>
    <s v="Isha Nair"/>
    <s v="Isha Nair"/>
    <s v="Corporate"/>
    <x v="2"/>
    <x v="3"/>
    <s v="Madhya Pradesh"/>
    <s v="Indore"/>
    <s v="Office Supplies"/>
    <x v="0"/>
    <x v="7"/>
    <s v="Elite Labels 544"/>
    <x v="3"/>
    <s v="Standard Class"/>
    <n v="9"/>
    <n v="847.76"/>
    <n v="0.15"/>
    <n v="6589.37"/>
    <n v="5376.17"/>
    <n v="1109.19"/>
    <s v="Failed"/>
    <x v="0"/>
    <m/>
    <m/>
    <m/>
    <m/>
    <m/>
    <x v="1"/>
    <m/>
    <m/>
  </r>
  <r>
    <s v="ORD-2025-10171"/>
    <x v="9"/>
    <s v="09/15/2025"/>
    <m/>
    <n v="0"/>
    <s v="CUST-3734"/>
    <s v="Rohan Mehta"/>
    <s v="Rohan Mehta"/>
    <s v="Corporate"/>
    <x v="2"/>
    <x v="1"/>
    <s v="Bihar"/>
    <s v="Patna"/>
    <s v="Technology"/>
    <x v="2"/>
    <x v="6"/>
    <s v="Eco Copiers 102"/>
    <x v="3"/>
    <s v="Standard Class"/>
    <n v="3"/>
    <n v="1711.32"/>
    <n v="0"/>
    <n v="5206.53"/>
    <n v="3930"/>
    <n v="1203.96"/>
    <s v="Paid"/>
    <x v="2"/>
    <m/>
    <m/>
    <m/>
    <m/>
    <m/>
    <x v="1"/>
    <m/>
    <m/>
  </r>
  <r>
    <s v="ORD-2024-10424"/>
    <x v="387"/>
    <s v="27-02-2024"/>
    <m/>
    <n v="0"/>
    <s v="CUST-6169"/>
    <s v="Diya Patel"/>
    <s v="Diya Patel"/>
    <s v="Consumer"/>
    <x v="0"/>
    <x v="2"/>
    <s v="Kerala"/>
    <s v="Kochi"/>
    <s v="Technology"/>
    <x v="2"/>
    <x v="5"/>
    <s v="Prime Accessories 236"/>
    <x v="2"/>
    <s v="First Class"/>
    <n v="9"/>
    <n v="3779.31"/>
    <n v="0.2"/>
    <n v="27322.9"/>
    <n v="17940.43"/>
    <n v="9270.6"/>
    <s v="Paid"/>
    <x v="2"/>
    <m/>
    <m/>
    <m/>
    <m/>
    <m/>
    <x v="1"/>
    <m/>
    <m/>
  </r>
  <r>
    <s v="ORD-2025-10572"/>
    <x v="515"/>
    <s v="2025-02-14"/>
    <m/>
    <n v="0"/>
    <s v="CUST-3425"/>
    <s v="Priya Menon"/>
    <s v="Priya Menon"/>
    <s v="Small Business"/>
    <x v="1"/>
    <x v="0"/>
    <s v="Uttar Pradesh"/>
    <s v="Noida"/>
    <s v="Technology"/>
    <x v="2"/>
    <x v="11"/>
    <s v="Prime Phones 895"/>
    <x v="4"/>
    <s v=""/>
    <n v="5"/>
    <n v="4276.29"/>
    <n v="0"/>
    <n v="21443.63"/>
    <n v="13240.21"/>
    <n v="8141.24"/>
    <s v="Failed"/>
    <x v="0"/>
    <m/>
    <m/>
    <m/>
    <m/>
    <m/>
    <x v="1"/>
    <m/>
    <m/>
  </r>
  <r>
    <s v="ORD-2024-10143"/>
    <x v="136"/>
    <s v="26 Mar 2024"/>
    <m/>
    <n v="0"/>
    <s v="CUST-8944"/>
    <s v="Aditi Sen"/>
    <s v="Aditi Sen"/>
    <s v="Home Office"/>
    <x v="3"/>
    <x v="0"/>
    <s v="Rajasthan"/>
    <s v="Jaipur"/>
    <s v="Technology"/>
    <x v="2"/>
    <x v="11"/>
    <s v="Classic Phones 142"/>
    <x v="0"/>
    <s v="Second Class"/>
    <n v="5"/>
    <n v="907.54"/>
    <n v="0.15"/>
    <n v="4099.6899999999996"/>
    <n v="2769.26"/>
    <n v="1087.78"/>
    <s v="Paid"/>
    <x v="2"/>
    <m/>
    <m/>
    <m/>
    <m/>
    <m/>
    <x v="1"/>
    <m/>
    <m/>
  </r>
  <r>
    <s v="ORD-2024-10273"/>
    <x v="254"/>
    <s v="24 Aug 2024"/>
    <m/>
    <n v="0"/>
    <s v="CUST-7389"/>
    <s v="Arjun Bose"/>
    <s v="Arjun Bose"/>
    <s v="Consumer"/>
    <x v="0"/>
    <x v="2"/>
    <s v="Andhra Pradesh"/>
    <s v="Vijayawada"/>
    <s v="Furniture"/>
    <x v="1"/>
    <x v="4"/>
    <s v="Eco Chairs 314"/>
    <x v="2"/>
    <s v="First Class"/>
    <n v="7"/>
    <n v="557.21"/>
    <n v="0.1"/>
    <n v="3797.79"/>
    <n v="2191.5"/>
    <n v="1213.48"/>
    <s v="Paid"/>
    <x v="2"/>
    <m/>
    <m/>
    <m/>
    <m/>
    <m/>
    <x v="1"/>
    <m/>
    <m/>
  </r>
  <r>
    <s v="ORD-2024-10124"/>
    <x v="117"/>
    <s v="25 May 2024"/>
    <m/>
    <n v="0"/>
    <s v="CUST-1007"/>
    <s v="Sneha Kapoor"/>
    <s v="Sneha Kapoor"/>
    <s v="Small Business"/>
    <x v="1"/>
    <x v="0"/>
    <s v="Punjab"/>
    <s v="Ludhiana"/>
    <s v="Technology"/>
    <x v="2"/>
    <x v="6"/>
    <s v="Max Copiers 970"/>
    <x v="1"/>
    <s v="Same Day"/>
    <n v="1"/>
    <n v="634.13"/>
    <n v="0"/>
    <n v="808.67"/>
    <n v="453.35"/>
    <n v="180.78"/>
    <s v="Refunded"/>
    <x v="2"/>
    <m/>
    <m/>
    <m/>
    <m/>
    <m/>
    <x v="1"/>
    <m/>
    <m/>
  </r>
  <r>
    <s v="ORD-2025-10336"/>
    <x v="312"/>
    <s v="18 Jun 2025"/>
    <m/>
    <n v="0"/>
    <s v="CUST-3621"/>
    <s v="Rahul Verma"/>
    <s v="Rahul Verma"/>
    <s v="Home Office"/>
    <x v="3"/>
    <x v="3"/>
    <s v="Madhya Pradesh"/>
    <s v="Indore"/>
    <s v="Office Supplies"/>
    <x v="0"/>
    <x v="0"/>
    <s v="Prime Paper 559"/>
    <x v="2"/>
    <s v="First Class"/>
    <n v="3"/>
    <n v="4289.37"/>
    <n v="0.1"/>
    <n v="11778.71"/>
    <n v="6829.43"/>
    <n v="4751.87"/>
    <s v="Paid"/>
    <x v="2"/>
    <m/>
    <m/>
    <m/>
    <m/>
    <m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5D6C9-0145-46E4-8F89-3A171E97A7A5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8" baseField="0" baseItem="0"/>
    <dataField name="Sum of calculated_profit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8D0EC-9505-47DD-843B-9AAB1F310CA7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2">
    <field x="14"/>
    <field x="15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8" baseField="0" baseItem="0"/>
    <dataField name="Sum of calculated_profit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D3D85F-989E-4061-A8DE-BCF6C4352334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3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3"/>
        <item x="5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_id" fld="0" subtotal="count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EA622-A625-4DE2-A6C8-689A8C716289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30" subtotal="average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0899D1-BB97-40D7-8198-A8B2D5DA4D2E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3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26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F4CF0-C0F1-499A-8F96-291C864E5CD9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76" firstHeaderRow="1" firstDataRow="1" firstDataCol="1"/>
  <pivotFields count="35">
    <pivotField showAll="0"/>
    <pivotField axis="axisRow" showAll="0">
      <items count="773">
        <item x="484"/>
        <item x="659"/>
        <item x="756"/>
        <item x="750"/>
        <item x="83"/>
        <item x="691"/>
        <item x="393"/>
        <item x="284"/>
        <item x="81"/>
        <item x="605"/>
        <item x="663"/>
        <item x="237"/>
        <item x="516"/>
        <item x="542"/>
        <item x="17"/>
        <item x="131"/>
        <item x="564"/>
        <item x="223"/>
        <item x="411"/>
        <item x="161"/>
        <item x="380"/>
        <item x="148"/>
        <item x="382"/>
        <item x="558"/>
        <item x="121"/>
        <item x="201"/>
        <item x="733"/>
        <item x="202"/>
        <item x="167"/>
        <item x="53"/>
        <item x="612"/>
        <item x="480"/>
        <item x="322"/>
        <item x="646"/>
        <item x="739"/>
        <item x="757"/>
        <item x="660"/>
        <item x="565"/>
        <item x="210"/>
        <item x="743"/>
        <item x="591"/>
        <item x="634"/>
        <item x="252"/>
        <item x="534"/>
        <item x="352"/>
        <item x="255"/>
        <item x="670"/>
        <item x="358"/>
        <item x="748"/>
        <item x="233"/>
        <item x="714"/>
        <item x="744"/>
        <item x="72"/>
        <item x="475"/>
        <item x="627"/>
        <item x="433"/>
        <item x="88"/>
        <item x="476"/>
        <item x="164"/>
        <item x="84"/>
        <item x="163"/>
        <item x="645"/>
        <item x="65"/>
        <item x="667"/>
        <item x="74"/>
        <item x="436"/>
        <item x="133"/>
        <item x="283"/>
        <item x="746"/>
        <item x="273"/>
        <item x="39"/>
        <item x="263"/>
        <item x="196"/>
        <item x="576"/>
        <item x="625"/>
        <item x="335"/>
        <item x="135"/>
        <item x="85"/>
        <item x="735"/>
        <item x="421"/>
        <item x="360"/>
        <item x="611"/>
        <item x="435"/>
        <item x="472"/>
        <item x="405"/>
        <item x="678"/>
        <item x="738"/>
        <item x="257"/>
        <item x="349"/>
        <item x="229"/>
        <item x="126"/>
        <item x="459"/>
        <item x="404"/>
        <item x="698"/>
        <item x="716"/>
        <item x="271"/>
        <item x="701"/>
        <item x="259"/>
        <item x="6"/>
        <item x="398"/>
        <item x="766"/>
        <item x="575"/>
        <item x="69"/>
        <item x="563"/>
        <item x="397"/>
        <item x="647"/>
        <item x="365"/>
        <item x="503"/>
        <item x="487"/>
        <item x="207"/>
        <item x="427"/>
        <item x="676"/>
        <item x="505"/>
        <item x="143"/>
        <item x="407"/>
        <item x="577"/>
        <item x="281"/>
        <item x="289"/>
        <item x="308"/>
        <item x="355"/>
        <item x="703"/>
        <item x="602"/>
        <item x="92"/>
        <item x="769"/>
        <item x="86"/>
        <item x="585"/>
        <item x="98"/>
        <item x="416"/>
        <item x="419"/>
        <item x="511"/>
        <item x="437"/>
        <item x="16"/>
        <item x="409"/>
        <item x="669"/>
        <item x="48"/>
        <item x="197"/>
        <item x="457"/>
        <item x="192"/>
        <item x="117"/>
        <item x="423"/>
        <item x="497"/>
        <item x="483"/>
        <item x="570"/>
        <item x="543"/>
        <item x="539"/>
        <item x="185"/>
        <item x="91"/>
        <item x="608"/>
        <item x="610"/>
        <item x="549"/>
        <item x="246"/>
        <item x="530"/>
        <item x="513"/>
        <item x="767"/>
        <item x="747"/>
        <item x="356"/>
        <item x="632"/>
        <item x="231"/>
        <item x="655"/>
        <item x="657"/>
        <item x="361"/>
        <item x="628"/>
        <item x="2"/>
        <item x="439"/>
        <item x="113"/>
        <item x="413"/>
        <item x="385"/>
        <item x="312"/>
        <item x="244"/>
        <item x="639"/>
        <item x="242"/>
        <item x="42"/>
        <item x="299"/>
        <item x="100"/>
        <item x="388"/>
        <item x="106"/>
        <item x="194"/>
        <item x="705"/>
        <item x="523"/>
        <item x="412"/>
        <item x="366"/>
        <item x="338"/>
        <item x="762"/>
        <item x="279"/>
        <item x="347"/>
        <item x="512"/>
        <item x="586"/>
        <item x="227"/>
        <item x="681"/>
        <item x="684"/>
        <item x="402"/>
        <item x="601"/>
        <item x="491"/>
        <item x="226"/>
        <item x="334"/>
        <item x="41"/>
        <item x="75"/>
        <item x="15"/>
        <item x="626"/>
        <item x="58"/>
        <item x="128"/>
        <item x="18"/>
        <item x="76"/>
        <item x="288"/>
        <item x="31"/>
        <item x="677"/>
        <item x="230"/>
        <item x="19"/>
        <item x="291"/>
        <item x="324"/>
        <item x="424"/>
        <item x="258"/>
        <item x="256"/>
        <item x="580"/>
        <item x="137"/>
        <item x="596"/>
        <item x="673"/>
        <item x="9"/>
        <item x="557"/>
        <item x="93"/>
        <item x="536"/>
        <item x="765"/>
        <item x="607"/>
        <item x="622"/>
        <item x="317"/>
        <item x="232"/>
        <item x="526"/>
        <item x="581"/>
        <item x="331"/>
        <item x="195"/>
        <item x="339"/>
        <item x="537"/>
        <item x="251"/>
        <item x="254"/>
        <item x="115"/>
        <item x="228"/>
        <item x="438"/>
        <item x="87"/>
        <item x="579"/>
        <item x="64"/>
        <item x="396"/>
        <item x="1"/>
        <item x="755"/>
        <item x="675"/>
        <item x="493"/>
        <item x="153"/>
        <item x="315"/>
        <item x="67"/>
        <item x="694"/>
        <item x="28"/>
        <item x="141"/>
        <item x="429"/>
        <item x="363"/>
        <item x="367"/>
        <item x="157"/>
        <item x="219"/>
        <item x="205"/>
        <item x="386"/>
        <item x="267"/>
        <item x="90"/>
        <item x="742"/>
        <item x="514"/>
        <item x="171"/>
        <item x="560"/>
        <item x="609"/>
        <item x="597"/>
        <item x="303"/>
        <item x="494"/>
        <item x="572"/>
        <item x="346"/>
        <item x="722"/>
        <item x="198"/>
        <item x="156"/>
        <item x="517"/>
        <item x="371"/>
        <item x="720"/>
        <item x="532"/>
        <item x="469"/>
        <item x="553"/>
        <item x="125"/>
        <item x="369"/>
        <item x="130"/>
        <item x="696"/>
        <item x="535"/>
        <item x="751"/>
        <item x="395"/>
        <item x="515"/>
        <item x="107"/>
        <item x="193"/>
        <item x="446"/>
        <item x="763"/>
        <item x="510"/>
        <item x="690"/>
        <item x="209"/>
        <item x="319"/>
        <item x="682"/>
        <item x="635"/>
        <item x="633"/>
        <item x="713"/>
        <item x="501"/>
        <item x="707"/>
        <item x="578"/>
        <item x="221"/>
        <item x="648"/>
        <item x="478"/>
        <item x="105"/>
        <item x="150"/>
        <item x="467"/>
        <item x="658"/>
        <item x="211"/>
        <item x="415"/>
        <item x="353"/>
        <item x="695"/>
        <item x="38"/>
        <item x="458"/>
        <item x="574"/>
        <item x="519"/>
        <item x="749"/>
        <item x="220"/>
        <item x="8"/>
        <item x="383"/>
        <item x="66"/>
        <item x="752"/>
        <item x="589"/>
        <item x="158"/>
        <item x="702"/>
        <item x="116"/>
        <item x="95"/>
        <item x="432"/>
        <item x="320"/>
        <item x="425"/>
        <item x="138"/>
        <item x="24"/>
        <item x="314"/>
        <item x="408"/>
        <item x="699"/>
        <item x="147"/>
        <item x="406"/>
        <item x="97"/>
        <item x="114"/>
        <item x="373"/>
        <item x="307"/>
        <item x="311"/>
        <item x="96"/>
        <item x="298"/>
        <item x="264"/>
        <item x="37"/>
        <item x="559"/>
        <item x="260"/>
        <item x="770"/>
        <item x="567"/>
        <item x="206"/>
        <item x="108"/>
        <item x="527"/>
        <item x="328"/>
        <item x="45"/>
        <item x="631"/>
        <item x="27"/>
        <item x="122"/>
        <item x="451"/>
        <item x="637"/>
        <item x="374"/>
        <item x="378"/>
        <item x="434"/>
        <item x="674"/>
        <item x="145"/>
        <item x="248"/>
        <item x="447"/>
        <item x="568"/>
        <item x="357"/>
        <item x="615"/>
        <item x="218"/>
        <item x="103"/>
        <item x="326"/>
        <item x="715"/>
        <item x="199"/>
        <item x="401"/>
        <item x="351"/>
        <item x="280"/>
        <item x="562"/>
        <item x="764"/>
        <item x="336"/>
        <item x="29"/>
        <item x="463"/>
        <item x="59"/>
        <item x="710"/>
        <item x="552"/>
        <item x="693"/>
        <item x="274"/>
        <item x="400"/>
        <item x="499"/>
        <item x="172"/>
        <item x="294"/>
        <item x="546"/>
        <item x="247"/>
        <item x="600"/>
        <item x="225"/>
        <item x="332"/>
        <item x="200"/>
        <item x="666"/>
        <item x="520"/>
        <item x="313"/>
        <item x="583"/>
        <item x="638"/>
        <item x="688"/>
        <item x="43"/>
        <item x="418"/>
        <item x="725"/>
        <item x="468"/>
        <item x="759"/>
        <item x="166"/>
        <item x="656"/>
        <item x="555"/>
        <item x="617"/>
        <item x="410"/>
        <item x="719"/>
        <item x="22"/>
        <item x="364"/>
        <item x="620"/>
        <item x="208"/>
        <item x="488"/>
        <item x="522"/>
        <item x="269"/>
        <item x="44"/>
        <item x="538"/>
        <item x="179"/>
        <item x="12"/>
        <item x="518"/>
        <item x="285"/>
        <item x="548"/>
        <item x="10"/>
        <item x="726"/>
        <item x="101"/>
        <item x="159"/>
        <item x="178"/>
        <item x="588"/>
        <item x="57"/>
        <item x="190"/>
        <item x="428"/>
        <item x="571"/>
        <item x="760"/>
        <item x="584"/>
        <item x="508"/>
        <item x="636"/>
        <item x="430"/>
        <item x="132"/>
        <item x="377"/>
        <item x="61"/>
        <item x="94"/>
        <item x="124"/>
        <item x="679"/>
        <item x="482"/>
        <item x="55"/>
        <item x="420"/>
        <item x="70"/>
        <item x="112"/>
        <item x="387"/>
        <item x="521"/>
        <item x="531"/>
        <item x="23"/>
        <item x="731"/>
        <item x="155"/>
        <item x="621"/>
        <item x="169"/>
        <item x="640"/>
        <item x="592"/>
        <item x="590"/>
        <item x="732"/>
        <item x="174"/>
        <item x="47"/>
        <item x="561"/>
        <item x="375"/>
        <item x="728"/>
        <item x="652"/>
        <item x="216"/>
        <item x="506"/>
        <item x="354"/>
        <item x="595"/>
        <item x="5"/>
        <item x="771"/>
        <item x="718"/>
        <item x="616"/>
        <item x="737"/>
        <item x="700"/>
        <item x="36"/>
        <item x="204"/>
        <item x="598"/>
        <item x="181"/>
        <item x="268"/>
        <item x="613"/>
        <item x="293"/>
        <item x="706"/>
        <item x="212"/>
        <item x="671"/>
        <item x="495"/>
        <item x="473"/>
        <item x="123"/>
        <item x="11"/>
        <item x="554"/>
        <item x="305"/>
        <item x="82"/>
        <item x="80"/>
        <item x="78"/>
        <item x="644"/>
        <item x="359"/>
        <item x="170"/>
        <item x="222"/>
        <item x="379"/>
        <item x="56"/>
        <item x="593"/>
        <item x="151"/>
        <item x="236"/>
        <item x="321"/>
        <item x="448"/>
        <item x="533"/>
        <item x="109"/>
        <item x="460"/>
        <item x="262"/>
        <item x="551"/>
        <item x="550"/>
        <item x="481"/>
        <item x="504"/>
        <item x="524"/>
        <item x="34"/>
        <item x="277"/>
        <item x="239"/>
        <item x="462"/>
        <item x="300"/>
        <item x="452"/>
        <item x="641"/>
        <item x="180"/>
        <item x="127"/>
        <item x="721"/>
        <item x="456"/>
        <item x="62"/>
        <item x="110"/>
        <item x="443"/>
        <item x="241"/>
        <item x="651"/>
        <item x="54"/>
        <item x="708"/>
        <item x="381"/>
        <item x="587"/>
        <item x="337"/>
        <item x="330"/>
        <item x="444"/>
        <item x="182"/>
        <item x="496"/>
        <item x="152"/>
        <item x="32"/>
        <item x="99"/>
        <item x="619"/>
        <item x="238"/>
        <item x="723"/>
        <item x="461"/>
        <item x="594"/>
        <item x="111"/>
        <item x="672"/>
        <item x="7"/>
        <item x="342"/>
        <item x="740"/>
        <item x="529"/>
        <item x="680"/>
        <item x="392"/>
        <item x="79"/>
        <item x="417"/>
        <item x="474"/>
        <item x="741"/>
        <item x="188"/>
        <item x="668"/>
        <item x="234"/>
        <item x="569"/>
        <item x="489"/>
        <item x="399"/>
        <item x="341"/>
        <item x="362"/>
        <item x="464"/>
        <item x="391"/>
        <item x="449"/>
        <item x="175"/>
        <item x="249"/>
        <item x="177"/>
        <item x="466"/>
        <item x="734"/>
        <item x="729"/>
        <item x="176"/>
        <item x="470"/>
        <item x="245"/>
        <item x="306"/>
        <item x="292"/>
        <item x="217"/>
        <item x="441"/>
        <item x="582"/>
        <item x="287"/>
        <item x="686"/>
        <item x="173"/>
        <item x="214"/>
        <item x="453"/>
        <item x="544"/>
        <item x="689"/>
        <item x="286"/>
        <item x="509"/>
        <item x="119"/>
        <item x="479"/>
        <item x="603"/>
        <item x="604"/>
        <item x="304"/>
        <item x="154"/>
        <item x="240"/>
        <item x="711"/>
        <item x="498"/>
        <item x="265"/>
        <item x="340"/>
        <item x="649"/>
        <item x="160"/>
        <item x="68"/>
        <item x="376"/>
        <item x="129"/>
        <item x="754"/>
        <item x="697"/>
        <item x="507"/>
        <item x="455"/>
        <item x="162"/>
        <item x="348"/>
        <item x="243"/>
        <item x="77"/>
        <item x="485"/>
        <item x="692"/>
        <item x="40"/>
        <item x="13"/>
        <item x="297"/>
        <item x="253"/>
        <item x="316"/>
        <item x="118"/>
        <item x="547"/>
        <item x="654"/>
        <item x="745"/>
        <item x="20"/>
        <item x="327"/>
        <item x="709"/>
        <item x="573"/>
        <item x="191"/>
        <item x="642"/>
        <item x="224"/>
        <item x="63"/>
        <item x="270"/>
        <item x="768"/>
        <item x="545"/>
        <item x="183"/>
        <item x="310"/>
        <item x="368"/>
        <item x="629"/>
        <item x="614"/>
        <item x="184"/>
        <item x="345"/>
        <item x="445"/>
        <item x="73"/>
        <item x="30"/>
        <item x="333"/>
        <item x="664"/>
        <item x="440"/>
        <item x="89"/>
        <item x="282"/>
        <item x="146"/>
        <item x="278"/>
        <item x="727"/>
        <item x="683"/>
        <item x="325"/>
        <item x="528"/>
        <item x="104"/>
        <item x="541"/>
        <item x="25"/>
        <item x="140"/>
        <item x="49"/>
        <item x="276"/>
        <item x="712"/>
        <item x="650"/>
        <item x="21"/>
        <item x="414"/>
        <item x="213"/>
        <item x="623"/>
        <item x="624"/>
        <item x="318"/>
        <item x="643"/>
        <item x="120"/>
        <item x="599"/>
        <item x="296"/>
        <item x="486"/>
        <item x="442"/>
        <item x="372"/>
        <item x="275"/>
        <item x="301"/>
        <item x="606"/>
        <item x="235"/>
        <item x="736"/>
        <item x="261"/>
        <item x="490"/>
        <item x="630"/>
        <item x="203"/>
        <item x="540"/>
        <item x="717"/>
        <item x="492"/>
        <item x="761"/>
        <item x="566"/>
        <item x="187"/>
        <item x="753"/>
        <item x="389"/>
        <item x="384"/>
        <item x="50"/>
        <item x="662"/>
        <item x="14"/>
        <item x="370"/>
        <item x="144"/>
        <item x="329"/>
        <item x="309"/>
        <item x="502"/>
        <item x="149"/>
        <item x="290"/>
        <item x="730"/>
        <item x="186"/>
        <item x="323"/>
        <item x="758"/>
        <item x="525"/>
        <item x="272"/>
        <item x="350"/>
        <item x="189"/>
        <item x="250"/>
        <item x="165"/>
        <item x="266"/>
        <item x="215"/>
        <item x="450"/>
        <item x="431"/>
        <item x="661"/>
        <item x="3"/>
        <item x="454"/>
        <item x="4"/>
        <item x="500"/>
        <item x="102"/>
        <item x="704"/>
        <item x="26"/>
        <item x="426"/>
        <item x="556"/>
        <item x="71"/>
        <item x="33"/>
        <item x="665"/>
        <item x="35"/>
        <item x="295"/>
        <item x="344"/>
        <item x="394"/>
        <item x="46"/>
        <item x="139"/>
        <item x="136"/>
        <item x="52"/>
        <item x="477"/>
        <item x="60"/>
        <item x="422"/>
        <item x="142"/>
        <item x="618"/>
        <item x="471"/>
        <item x="653"/>
        <item x="390"/>
        <item x="403"/>
        <item x="687"/>
        <item x="168"/>
        <item x="302"/>
        <item x="465"/>
        <item x="51"/>
        <item x="685"/>
        <item x="724"/>
        <item x="134"/>
        <item x="34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</pivotFields>
  <rowFields count="1">
    <field x="1"/>
  </rowFields>
  <rowItems count="7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 t="grand">
      <x/>
    </i>
  </rowItems>
  <colItems count="1">
    <i/>
  </colItems>
  <dataFields count="1">
    <dataField name="Sum of calculated_sales" fld="2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4C6A9-14BD-4899-B7DF-8BA5C5D386C4}">
  <dimension ref="A3:C8"/>
  <sheetViews>
    <sheetView workbookViewId="0">
      <selection activeCell="A5" sqref="A5"/>
    </sheetView>
  </sheetViews>
  <sheetFormatPr defaultRowHeight="14.25"/>
  <cols>
    <col min="1" max="1" width="13.125" bestFit="1" customWidth="1"/>
    <col min="2" max="2" width="22.5" bestFit="1" customWidth="1"/>
    <col min="3" max="3" width="22.625" bestFit="1" customWidth="1"/>
  </cols>
  <sheetData>
    <row r="3" spans="1:3">
      <c r="A3" s="18" t="s">
        <v>4151</v>
      </c>
      <c r="B3" t="s">
        <v>4153</v>
      </c>
      <c r="C3" t="s">
        <v>4154</v>
      </c>
    </row>
    <row r="4" spans="1:3">
      <c r="A4" s="19" t="s">
        <v>73</v>
      </c>
      <c r="B4" s="7"/>
      <c r="C4" s="7"/>
    </row>
    <row r="5" spans="1:3">
      <c r="A5" s="19" t="s">
        <v>62</v>
      </c>
      <c r="B5" s="7"/>
      <c r="C5" s="7"/>
    </row>
    <row r="6" spans="1:3">
      <c r="A6" s="19" t="s">
        <v>27</v>
      </c>
      <c r="B6" s="7">
        <v>19049.28</v>
      </c>
      <c r="C6" s="7">
        <v>3207.3899999999994</v>
      </c>
    </row>
    <row r="7" spans="1:3">
      <c r="A7" s="19" t="s">
        <v>42</v>
      </c>
      <c r="B7" s="7"/>
      <c r="C7" s="7"/>
    </row>
    <row r="8" spans="1:3">
      <c r="A8" s="19" t="s">
        <v>4152</v>
      </c>
      <c r="B8" s="7">
        <v>19049.28</v>
      </c>
      <c r="C8" s="7">
        <v>3207.3899999999994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EABE-D667-4B36-94C2-391B2D0C45C8}">
  <dimension ref="A3:C20"/>
  <sheetViews>
    <sheetView workbookViewId="0">
      <selection activeCell="A3" sqref="A3"/>
    </sheetView>
  </sheetViews>
  <sheetFormatPr defaultRowHeight="14.25"/>
  <cols>
    <col min="1" max="1" width="16.375" bestFit="1" customWidth="1"/>
    <col min="2" max="2" width="22.5" bestFit="1" customWidth="1"/>
    <col min="3" max="3" width="22.625" bestFit="1" customWidth="1"/>
  </cols>
  <sheetData>
    <row r="3" spans="1:3">
      <c r="A3" s="18" t="s">
        <v>4151</v>
      </c>
      <c r="B3" t="s">
        <v>4153</v>
      </c>
      <c r="C3" t="s">
        <v>4154</v>
      </c>
    </row>
    <row r="4" spans="1:3">
      <c r="A4" s="19" t="s">
        <v>45</v>
      </c>
      <c r="B4" s="7"/>
      <c r="C4" s="7"/>
    </row>
    <row r="5" spans="1:3">
      <c r="A5" s="20" t="s">
        <v>204</v>
      </c>
      <c r="B5" s="7"/>
      <c r="C5" s="7"/>
    </row>
    <row r="6" spans="1:3">
      <c r="A6" s="20" t="s">
        <v>76</v>
      </c>
      <c r="B6" s="7"/>
      <c r="C6" s="7"/>
    </row>
    <row r="7" spans="1:3">
      <c r="A7" s="20" t="s">
        <v>65</v>
      </c>
      <c r="B7" s="7"/>
      <c r="C7" s="7"/>
    </row>
    <row r="8" spans="1:3">
      <c r="A8" s="20" t="s">
        <v>46</v>
      </c>
      <c r="B8" s="7"/>
      <c r="C8" s="7"/>
    </row>
    <row r="9" spans="1:3">
      <c r="A9" s="19" t="s">
        <v>30</v>
      </c>
      <c r="B9" s="7">
        <v>19049.28</v>
      </c>
      <c r="C9" s="7">
        <v>3207.3899999999994</v>
      </c>
    </row>
    <row r="10" spans="1:3">
      <c r="A10" s="20" t="s">
        <v>54</v>
      </c>
      <c r="B10" s="7"/>
      <c r="C10" s="7"/>
    </row>
    <row r="11" spans="1:3">
      <c r="A11" s="20" t="s">
        <v>198</v>
      </c>
      <c r="B11" s="7"/>
      <c r="C11" s="7"/>
    </row>
    <row r="12" spans="1:3">
      <c r="A12" s="20" t="s">
        <v>109</v>
      </c>
      <c r="B12" s="7"/>
      <c r="C12" s="7"/>
    </row>
    <row r="13" spans="1:3">
      <c r="A13" s="20" t="s">
        <v>31</v>
      </c>
      <c r="B13" s="7">
        <v>19049.28</v>
      </c>
      <c r="C13" s="7">
        <v>3207.3899999999994</v>
      </c>
    </row>
    <row r="14" spans="1:3">
      <c r="A14" s="20" t="s">
        <v>156</v>
      </c>
      <c r="B14" s="7"/>
      <c r="C14" s="7"/>
    </row>
    <row r="15" spans="1:3">
      <c r="A15" s="19" t="s">
        <v>86</v>
      </c>
      <c r="B15" s="7"/>
      <c r="C15" s="7"/>
    </row>
    <row r="16" spans="1:3">
      <c r="A16" s="20" t="s">
        <v>87</v>
      </c>
      <c r="B16" s="7"/>
      <c r="C16" s="7"/>
    </row>
    <row r="17" spans="1:3">
      <c r="A17" s="20" t="s">
        <v>94</v>
      </c>
      <c r="B17" s="7"/>
      <c r="C17" s="7"/>
    </row>
    <row r="18" spans="1:3">
      <c r="A18" s="20" t="s">
        <v>382</v>
      </c>
      <c r="B18" s="7"/>
      <c r="C18" s="7"/>
    </row>
    <row r="19" spans="1:3">
      <c r="A19" s="20" t="s">
        <v>223</v>
      </c>
      <c r="B19" s="7"/>
      <c r="C19" s="7"/>
    </row>
    <row r="20" spans="1:3">
      <c r="A20" s="19" t="s">
        <v>4152</v>
      </c>
      <c r="B20" s="7">
        <v>19049.28</v>
      </c>
      <c r="C20" s="7">
        <v>3207.3899999999994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E39AE-0DDF-46F2-96E1-66F005D3EB66}">
  <dimension ref="A3:B10"/>
  <sheetViews>
    <sheetView workbookViewId="0">
      <selection activeCell="A3" sqref="A3"/>
    </sheetView>
  </sheetViews>
  <sheetFormatPr defaultRowHeight="14.25"/>
  <cols>
    <col min="1" max="1" width="14.125" bestFit="1" customWidth="1"/>
    <col min="2" max="2" width="16.625" bestFit="1" customWidth="1"/>
  </cols>
  <sheetData>
    <row r="3" spans="1:2">
      <c r="A3" s="18" t="s">
        <v>4151</v>
      </c>
      <c r="B3" t="s">
        <v>4155</v>
      </c>
    </row>
    <row r="4" spans="1:2">
      <c r="A4" s="19" t="s">
        <v>67</v>
      </c>
      <c r="B4" s="7">
        <v>242</v>
      </c>
    </row>
    <row r="5" spans="1:2">
      <c r="A5" s="19" t="s">
        <v>774</v>
      </c>
      <c r="B5" s="7">
        <v>1</v>
      </c>
    </row>
    <row r="6" spans="1:2">
      <c r="A6" s="19" t="s">
        <v>33</v>
      </c>
      <c r="B6" s="7">
        <v>223</v>
      </c>
    </row>
    <row r="7" spans="1:2">
      <c r="A7" s="19" t="s">
        <v>48</v>
      </c>
      <c r="B7" s="7">
        <v>204</v>
      </c>
    </row>
    <row r="8" spans="1:2">
      <c r="A8" s="19" t="s">
        <v>56</v>
      </c>
      <c r="B8" s="7">
        <v>223</v>
      </c>
    </row>
    <row r="9" spans="1:2">
      <c r="A9" s="19" t="s">
        <v>4124</v>
      </c>
      <c r="B9" s="7">
        <v>21</v>
      </c>
    </row>
    <row r="10" spans="1:2">
      <c r="A10" s="19" t="s">
        <v>4152</v>
      </c>
      <c r="B10" s="7">
        <v>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AB8DF-2F3C-4D81-8FD0-BE8789F37E31}">
  <dimension ref="A3:B8"/>
  <sheetViews>
    <sheetView tabSelected="1" workbookViewId="0">
      <selection activeCell="A3" sqref="A3"/>
    </sheetView>
  </sheetViews>
  <sheetFormatPr defaultRowHeight="14.25"/>
  <cols>
    <col min="1" max="1" width="13.75" bestFit="1" customWidth="1"/>
    <col min="2" max="2" width="23.125" bestFit="1" customWidth="1"/>
  </cols>
  <sheetData>
    <row r="3" spans="1:2">
      <c r="A3" s="18" t="s">
        <v>4151</v>
      </c>
      <c r="B3" t="s">
        <v>4156</v>
      </c>
    </row>
    <row r="4" spans="1:2">
      <c r="A4" s="19" t="s">
        <v>26</v>
      </c>
      <c r="B4" s="7">
        <v>0.16837329284886357</v>
      </c>
    </row>
    <row r="5" spans="1:2">
      <c r="A5" s="19" t="s">
        <v>108</v>
      </c>
      <c r="B5" s="7"/>
    </row>
    <row r="6" spans="1:2">
      <c r="A6" s="19" t="s">
        <v>115</v>
      </c>
      <c r="B6" s="7"/>
    </row>
    <row r="7" spans="1:2">
      <c r="A7" s="19" t="s">
        <v>41</v>
      </c>
      <c r="B7" s="7"/>
    </row>
    <row r="8" spans="1:2">
      <c r="A8" s="19" t="s">
        <v>4152</v>
      </c>
      <c r="B8" s="7">
        <v>0.16837329284886357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A9BD-0263-4403-A35E-14BD1241438F}">
  <dimension ref="A3:E9"/>
  <sheetViews>
    <sheetView workbookViewId="0">
      <selection activeCell="J14" sqref="J14"/>
    </sheetView>
  </sheetViews>
  <sheetFormatPr defaultRowHeight="14.25"/>
  <cols>
    <col min="1" max="1" width="16.625" bestFit="1" customWidth="1"/>
    <col min="2" max="2" width="16.125" bestFit="1" customWidth="1"/>
    <col min="3" max="3" width="10.5" bestFit="1" customWidth="1"/>
    <col min="4" max="4" width="9.25" bestFit="1" customWidth="1"/>
    <col min="5" max="5" width="11.375" bestFit="1" customWidth="1"/>
  </cols>
  <sheetData>
    <row r="3" spans="1:5">
      <c r="A3" s="18" t="s">
        <v>4155</v>
      </c>
      <c r="B3" s="18" t="s">
        <v>4157</v>
      </c>
    </row>
    <row r="4" spans="1:5">
      <c r="A4" s="18" t="s">
        <v>4151</v>
      </c>
      <c r="B4" t="s">
        <v>78</v>
      </c>
      <c r="C4" t="s">
        <v>35</v>
      </c>
      <c r="D4" t="s">
        <v>125</v>
      </c>
      <c r="E4" t="s">
        <v>4152</v>
      </c>
    </row>
    <row r="5" spans="1:5">
      <c r="A5" s="19" t="s">
        <v>42</v>
      </c>
      <c r="B5" s="7">
        <v>31</v>
      </c>
      <c r="C5" s="7">
        <v>157</v>
      </c>
      <c r="D5" s="7">
        <v>46</v>
      </c>
      <c r="E5" s="7">
        <v>234</v>
      </c>
    </row>
    <row r="6" spans="1:5">
      <c r="A6" s="19" t="s">
        <v>27</v>
      </c>
      <c r="B6" s="7">
        <v>48</v>
      </c>
      <c r="C6" s="7">
        <v>137</v>
      </c>
      <c r="D6" s="7">
        <v>39</v>
      </c>
      <c r="E6" s="7">
        <v>224</v>
      </c>
    </row>
    <row r="7" spans="1:5">
      <c r="A7" s="19" t="s">
        <v>62</v>
      </c>
      <c r="B7" s="7">
        <v>35</v>
      </c>
      <c r="C7" s="7">
        <v>155</v>
      </c>
      <c r="D7" s="7">
        <v>37</v>
      </c>
      <c r="E7" s="7">
        <v>227</v>
      </c>
    </row>
    <row r="8" spans="1:5">
      <c r="A8" s="19" t="s">
        <v>73</v>
      </c>
      <c r="B8" s="7">
        <v>31</v>
      </c>
      <c r="C8" s="7">
        <v>157</v>
      </c>
      <c r="D8" s="7">
        <v>41</v>
      </c>
      <c r="E8" s="7">
        <v>229</v>
      </c>
    </row>
    <row r="9" spans="1:5">
      <c r="A9" s="19" t="s">
        <v>4152</v>
      </c>
      <c r="B9" s="7">
        <v>145</v>
      </c>
      <c r="C9" s="7">
        <v>606</v>
      </c>
      <c r="D9" s="7">
        <v>163</v>
      </c>
      <c r="E9" s="7">
        <v>914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89D6-D004-4CE5-8CF9-E99C2864A77D}">
  <dimension ref="A3:B776"/>
  <sheetViews>
    <sheetView workbookViewId="0">
      <selection activeCell="C421" sqref="C421"/>
    </sheetView>
  </sheetViews>
  <sheetFormatPr defaultRowHeight="14.25"/>
  <cols>
    <col min="1" max="1" width="13.125" bestFit="1" customWidth="1"/>
    <col min="2" max="2" width="22.5" bestFit="1" customWidth="1"/>
  </cols>
  <sheetData>
    <row r="3" spans="1:2">
      <c r="A3" s="18" t="s">
        <v>4151</v>
      </c>
      <c r="B3" t="s">
        <v>4153</v>
      </c>
    </row>
    <row r="4" spans="1:2">
      <c r="A4" s="19" t="s">
        <v>1299</v>
      </c>
      <c r="B4" s="7"/>
    </row>
    <row r="5" spans="1:2">
      <c r="A5" s="19" t="s">
        <v>3510</v>
      </c>
      <c r="B5" s="7"/>
    </row>
    <row r="6" spans="1:2">
      <c r="A6" s="19" t="s">
        <v>2538</v>
      </c>
      <c r="B6" s="7"/>
    </row>
    <row r="7" spans="1:2">
      <c r="A7" s="19" t="s">
        <v>3982</v>
      </c>
      <c r="B7" s="7"/>
    </row>
    <row r="8" spans="1:2">
      <c r="A8" s="19" t="s">
        <v>534</v>
      </c>
      <c r="B8" s="7"/>
    </row>
    <row r="9" spans="1:2">
      <c r="A9" s="19" t="s">
        <v>3684</v>
      </c>
      <c r="B9" s="7"/>
    </row>
    <row r="10" spans="1:2">
      <c r="A10" s="19" t="s">
        <v>2119</v>
      </c>
      <c r="B10" s="7"/>
    </row>
    <row r="11" spans="1:2">
      <c r="A11" s="19" t="s">
        <v>1562</v>
      </c>
      <c r="B11" s="7"/>
    </row>
    <row r="12" spans="1:2">
      <c r="A12" s="19" t="s">
        <v>524</v>
      </c>
      <c r="B12" s="7"/>
    </row>
    <row r="13" spans="1:2">
      <c r="A13" s="19" t="s">
        <v>3223</v>
      </c>
      <c r="B13" s="7"/>
    </row>
    <row r="14" spans="1:2">
      <c r="A14" s="19" t="s">
        <v>3531</v>
      </c>
      <c r="B14" s="7"/>
    </row>
    <row r="15" spans="1:2">
      <c r="A15" s="19" t="s">
        <v>1329</v>
      </c>
      <c r="B15" s="7"/>
    </row>
    <row r="16" spans="1:2">
      <c r="A16" s="19" t="s">
        <v>2744</v>
      </c>
      <c r="B16" s="7"/>
    </row>
    <row r="17" spans="1:2">
      <c r="A17" s="19" t="s">
        <v>2880</v>
      </c>
      <c r="B17" s="7"/>
    </row>
    <row r="18" spans="1:2">
      <c r="A18" s="19" t="s">
        <v>165</v>
      </c>
      <c r="B18" s="7"/>
    </row>
    <row r="19" spans="1:2">
      <c r="A19" s="19" t="s">
        <v>776</v>
      </c>
      <c r="B19" s="7"/>
    </row>
    <row r="20" spans="1:2">
      <c r="A20" s="19" t="s">
        <v>3005</v>
      </c>
      <c r="B20" s="7"/>
    </row>
    <row r="21" spans="1:2">
      <c r="A21" s="19" t="s">
        <v>1258</v>
      </c>
      <c r="B21" s="7"/>
    </row>
    <row r="22" spans="1:2">
      <c r="A22" s="19" t="s">
        <v>2205</v>
      </c>
      <c r="B22" s="7"/>
    </row>
    <row r="23" spans="1:2">
      <c r="A23" s="19" t="s">
        <v>926</v>
      </c>
      <c r="B23" s="7"/>
    </row>
    <row r="24" spans="1:2">
      <c r="A24" s="19" t="s">
        <v>2051</v>
      </c>
      <c r="B24" s="7"/>
    </row>
    <row r="25" spans="1:2">
      <c r="A25" s="19" t="s">
        <v>559</v>
      </c>
      <c r="B25" s="7"/>
    </row>
    <row r="26" spans="1:2">
      <c r="A26" s="19" t="s">
        <v>1794</v>
      </c>
      <c r="B26" s="7"/>
    </row>
    <row r="27" spans="1:2">
      <c r="A27" s="19" t="s">
        <v>2965</v>
      </c>
      <c r="B27" s="7"/>
    </row>
    <row r="28" spans="1:2">
      <c r="A28" s="19" t="s">
        <v>191</v>
      </c>
      <c r="B28" s="7"/>
    </row>
    <row r="29" spans="1:2">
      <c r="A29" s="19" t="s">
        <v>1149</v>
      </c>
      <c r="B29" s="7"/>
    </row>
    <row r="30" spans="1:2">
      <c r="A30" s="19" t="s">
        <v>3901</v>
      </c>
      <c r="B30" s="7"/>
    </row>
    <row r="31" spans="1:2">
      <c r="A31" s="19" t="s">
        <v>1157</v>
      </c>
      <c r="B31" s="7"/>
    </row>
    <row r="32" spans="1:2">
      <c r="A32" s="19" t="s">
        <v>968</v>
      </c>
      <c r="B32" s="7"/>
    </row>
    <row r="33" spans="1:2">
      <c r="A33" s="19" t="s">
        <v>379</v>
      </c>
      <c r="B33" s="7"/>
    </row>
    <row r="34" spans="1:2">
      <c r="A34" s="19" t="s">
        <v>1730</v>
      </c>
      <c r="B34" s="7"/>
    </row>
    <row r="35" spans="1:2">
      <c r="A35" s="19" t="s">
        <v>2552</v>
      </c>
      <c r="B35" s="7"/>
    </row>
    <row r="36" spans="1:2">
      <c r="A36" s="19" t="s">
        <v>1750</v>
      </c>
      <c r="B36" s="7"/>
    </row>
    <row r="37" spans="1:2">
      <c r="A37" s="19" t="s">
        <v>3440</v>
      </c>
      <c r="B37" s="7"/>
    </row>
    <row r="38" spans="1:2">
      <c r="A38" s="19" t="s">
        <v>743</v>
      </c>
      <c r="B38" s="7"/>
    </row>
    <row r="39" spans="1:2">
      <c r="A39" s="19" t="s">
        <v>4018</v>
      </c>
      <c r="B39" s="7"/>
    </row>
    <row r="40" spans="1:2">
      <c r="A40" s="19" t="s">
        <v>3515</v>
      </c>
      <c r="B40" s="7"/>
    </row>
    <row r="41" spans="1:2">
      <c r="A41" s="19" t="s">
        <v>3013</v>
      </c>
      <c r="B41" s="7"/>
    </row>
    <row r="42" spans="1:2">
      <c r="A42" s="19" t="s">
        <v>1195</v>
      </c>
      <c r="B42" s="7"/>
    </row>
    <row r="43" spans="1:2">
      <c r="A43" s="19" t="s">
        <v>3949</v>
      </c>
      <c r="B43" s="7"/>
    </row>
    <row r="44" spans="1:2">
      <c r="A44" s="19" t="s">
        <v>3158</v>
      </c>
      <c r="B44" s="7"/>
    </row>
    <row r="45" spans="1:2">
      <c r="A45" s="19" t="s">
        <v>3374</v>
      </c>
      <c r="B45" s="7"/>
    </row>
    <row r="46" spans="1:2">
      <c r="A46" s="19" t="s">
        <v>1335</v>
      </c>
      <c r="B46" s="7"/>
    </row>
    <row r="47" spans="1:2">
      <c r="A47" s="19" t="s">
        <v>2845</v>
      </c>
      <c r="B47" s="7"/>
    </row>
    <row r="48" spans="1:2">
      <c r="A48" s="19" t="s">
        <v>1397</v>
      </c>
      <c r="B48" s="7"/>
    </row>
    <row r="49" spans="1:2">
      <c r="A49" s="19" t="s">
        <v>1414</v>
      </c>
      <c r="B49" s="7"/>
    </row>
    <row r="50" spans="1:2">
      <c r="A50" s="19" t="s">
        <v>2307</v>
      </c>
      <c r="B50" s="7"/>
    </row>
    <row r="51" spans="1:2">
      <c r="A51" s="19" t="s">
        <v>1944</v>
      </c>
      <c r="B51" s="7"/>
    </row>
    <row r="52" spans="1:2">
      <c r="A52" s="19" t="s">
        <v>3976</v>
      </c>
      <c r="B52" s="7"/>
    </row>
    <row r="53" spans="1:2">
      <c r="A53" s="19" t="s">
        <v>1311</v>
      </c>
      <c r="B53" s="7"/>
    </row>
    <row r="54" spans="1:2">
      <c r="A54" s="19" t="s">
        <v>3807</v>
      </c>
      <c r="B54" s="7"/>
    </row>
    <row r="55" spans="1:2">
      <c r="A55" s="19" t="s">
        <v>1186</v>
      </c>
      <c r="B55" s="7"/>
    </row>
    <row r="56" spans="1:2">
      <c r="A56" s="19" t="s">
        <v>473</v>
      </c>
      <c r="B56" s="7"/>
    </row>
    <row r="57" spans="1:2">
      <c r="A57" s="19" t="s">
        <v>2528</v>
      </c>
      <c r="B57" s="7"/>
    </row>
    <row r="58" spans="1:2">
      <c r="A58" s="19" t="s">
        <v>3327</v>
      </c>
      <c r="B58" s="7"/>
    </row>
    <row r="59" spans="1:2">
      <c r="A59" s="19" t="s">
        <v>2311</v>
      </c>
      <c r="B59" s="7"/>
    </row>
    <row r="60" spans="1:2">
      <c r="A60" s="19" t="s">
        <v>554</v>
      </c>
      <c r="B60" s="7"/>
    </row>
    <row r="61" spans="1:2">
      <c r="A61" s="19" t="s">
        <v>2532</v>
      </c>
      <c r="B61" s="7"/>
    </row>
    <row r="62" spans="1:2">
      <c r="A62" s="19" t="s">
        <v>948</v>
      </c>
      <c r="B62" s="7"/>
    </row>
    <row r="63" spans="1:2">
      <c r="A63" s="19" t="s">
        <v>538</v>
      </c>
      <c r="B63" s="7"/>
    </row>
    <row r="64" spans="1:2">
      <c r="A64" s="19" t="s">
        <v>943</v>
      </c>
      <c r="B64" s="7"/>
    </row>
    <row r="65" spans="1:2">
      <c r="A65" s="19" t="s">
        <v>3435</v>
      </c>
      <c r="B65" s="7"/>
    </row>
    <row r="66" spans="1:2">
      <c r="A66" s="19" t="s">
        <v>440</v>
      </c>
      <c r="B66" s="7"/>
    </row>
    <row r="67" spans="1:2">
      <c r="A67" s="19" t="s">
        <v>3552</v>
      </c>
      <c r="B67" s="7"/>
    </row>
    <row r="68" spans="1:2">
      <c r="A68" s="19" t="s">
        <v>483</v>
      </c>
      <c r="B68" s="7"/>
    </row>
    <row r="69" spans="1:2">
      <c r="A69" s="19" t="s">
        <v>2323</v>
      </c>
      <c r="B69" s="7"/>
    </row>
    <row r="70" spans="1:2">
      <c r="A70" s="19" t="s">
        <v>786</v>
      </c>
      <c r="B70" s="7"/>
    </row>
    <row r="71" spans="1:2">
      <c r="A71" s="19" t="s">
        <v>1557</v>
      </c>
      <c r="B71" s="7"/>
    </row>
    <row r="72" spans="1:2">
      <c r="A72" s="19" t="s">
        <v>3968</v>
      </c>
      <c r="B72" s="7"/>
    </row>
    <row r="73" spans="1:2">
      <c r="A73" s="19" t="s">
        <v>1506</v>
      </c>
      <c r="B73" s="7"/>
    </row>
    <row r="74" spans="1:2">
      <c r="A74" s="19" t="s">
        <v>303</v>
      </c>
      <c r="B74" s="7"/>
    </row>
    <row r="75" spans="1:2">
      <c r="A75" s="19" t="s">
        <v>1459</v>
      </c>
      <c r="B75" s="7"/>
    </row>
    <row r="76" spans="1:2">
      <c r="A76" s="19" t="s">
        <v>1123</v>
      </c>
      <c r="B76" s="7"/>
    </row>
    <row r="77" spans="1:2">
      <c r="A77" s="19" t="s">
        <v>3083</v>
      </c>
      <c r="B77" s="7"/>
    </row>
    <row r="78" spans="1:2">
      <c r="A78" s="19" t="s">
        <v>3314</v>
      </c>
      <c r="B78" s="7"/>
    </row>
    <row r="79" spans="1:2">
      <c r="A79" s="19" t="s">
        <v>1826</v>
      </c>
      <c r="B79" s="7"/>
    </row>
    <row r="80" spans="1:2">
      <c r="A80" s="19" t="s">
        <v>796</v>
      </c>
      <c r="B80" s="7"/>
    </row>
    <row r="81" spans="1:2">
      <c r="A81" s="19" t="s">
        <v>542</v>
      </c>
      <c r="B81" s="7"/>
    </row>
    <row r="82" spans="1:2">
      <c r="A82" s="19" t="s">
        <v>3909</v>
      </c>
      <c r="B82" s="7"/>
    </row>
    <row r="83" spans="1:2">
      <c r="A83" s="19" t="s">
        <v>2253</v>
      </c>
      <c r="B83" s="7"/>
    </row>
    <row r="84" spans="1:2">
      <c r="A84" s="19" t="s">
        <v>1954</v>
      </c>
      <c r="B84" s="7"/>
    </row>
    <row r="85" spans="1:2">
      <c r="A85" s="19" t="s">
        <v>3255</v>
      </c>
      <c r="B85" s="7"/>
    </row>
    <row r="86" spans="1:2">
      <c r="A86" s="19" t="s">
        <v>1220</v>
      </c>
      <c r="B86" s="7"/>
    </row>
    <row r="87" spans="1:2">
      <c r="A87" s="19" t="s">
        <v>380</v>
      </c>
      <c r="B87" s="7"/>
    </row>
    <row r="88" spans="1:2">
      <c r="A88" s="19" t="s">
        <v>2174</v>
      </c>
      <c r="B88" s="7"/>
    </row>
    <row r="89" spans="1:2">
      <c r="A89" s="19" t="s">
        <v>3603</v>
      </c>
      <c r="B89" s="7"/>
    </row>
    <row r="90" spans="1:2">
      <c r="A90" s="19" t="s">
        <v>3921</v>
      </c>
      <c r="B90" s="7"/>
    </row>
    <row r="91" spans="1:2">
      <c r="A91" s="19" t="s">
        <v>1432</v>
      </c>
      <c r="B91" s="7"/>
    </row>
    <row r="92" spans="1:2">
      <c r="A92" s="19" t="s">
        <v>1904</v>
      </c>
      <c r="B92" s="7"/>
    </row>
    <row r="93" spans="1:2">
      <c r="A93" s="19" t="s">
        <v>1293</v>
      </c>
      <c r="B93" s="7"/>
    </row>
    <row r="94" spans="1:2">
      <c r="A94" s="19" t="s">
        <v>752</v>
      </c>
      <c r="B94" s="7"/>
    </row>
    <row r="95" spans="1:2">
      <c r="A95" s="19" t="s">
        <v>2442</v>
      </c>
      <c r="B95" s="7"/>
    </row>
    <row r="96" spans="1:2">
      <c r="A96" s="19" t="s">
        <v>2170</v>
      </c>
      <c r="B96" s="7"/>
    </row>
    <row r="97" spans="1:2">
      <c r="A97" s="19" t="s">
        <v>3723</v>
      </c>
      <c r="B97" s="7"/>
    </row>
    <row r="98" spans="1:2">
      <c r="A98" s="19" t="s">
        <v>469</v>
      </c>
      <c r="B98" s="7"/>
    </row>
    <row r="99" spans="1:2">
      <c r="A99" s="19" t="s">
        <v>1496</v>
      </c>
      <c r="B99" s="7"/>
    </row>
    <row r="100" spans="1:2">
      <c r="A100" s="19" t="s">
        <v>3736</v>
      </c>
      <c r="B100" s="7"/>
    </row>
    <row r="101" spans="1:2">
      <c r="A101" s="19" t="s">
        <v>1439</v>
      </c>
      <c r="B101" s="7"/>
    </row>
    <row r="102" spans="1:2">
      <c r="A102" s="19" t="s">
        <v>90</v>
      </c>
      <c r="B102" s="7"/>
    </row>
    <row r="103" spans="1:2">
      <c r="A103" s="19" t="s">
        <v>2142</v>
      </c>
      <c r="B103" s="7"/>
    </row>
    <row r="104" spans="1:2">
      <c r="A104" s="19" t="s">
        <v>4058</v>
      </c>
      <c r="B104" s="7"/>
    </row>
    <row r="105" spans="1:2">
      <c r="A105" s="19" t="s">
        <v>3075</v>
      </c>
      <c r="B105" s="7"/>
    </row>
    <row r="106" spans="1:2">
      <c r="A106" s="19" t="s">
        <v>91</v>
      </c>
      <c r="B106" s="7"/>
    </row>
    <row r="107" spans="1:2">
      <c r="A107" s="19" t="s">
        <v>3000</v>
      </c>
      <c r="B107" s="7"/>
    </row>
    <row r="108" spans="1:2">
      <c r="A108" s="19" t="s">
        <v>2137</v>
      </c>
      <c r="B108" s="7"/>
    </row>
    <row r="109" spans="1:2">
      <c r="A109" s="19" t="s">
        <v>3443</v>
      </c>
      <c r="B109" s="7"/>
    </row>
    <row r="110" spans="1:2">
      <c r="A110" s="19" t="s">
        <v>1977</v>
      </c>
      <c r="B110" s="7"/>
    </row>
    <row r="111" spans="1:2">
      <c r="A111" s="19" t="s">
        <v>2665</v>
      </c>
      <c r="B111" s="7"/>
    </row>
    <row r="112" spans="1:2">
      <c r="A112" s="19" t="s">
        <v>2581</v>
      </c>
      <c r="B112" s="7"/>
    </row>
    <row r="113" spans="1:2">
      <c r="A113" s="19" t="s">
        <v>1181</v>
      </c>
      <c r="B113" s="7"/>
    </row>
    <row r="114" spans="1:2">
      <c r="A114" s="19" t="s">
        <v>2284</v>
      </c>
      <c r="B114" s="7"/>
    </row>
    <row r="115" spans="1:2">
      <c r="A115" s="19" t="s">
        <v>3591</v>
      </c>
      <c r="B115" s="7"/>
    </row>
    <row r="116" spans="1:2">
      <c r="A116" s="19" t="s">
        <v>882</v>
      </c>
      <c r="B116" s="7"/>
    </row>
    <row r="117" spans="1:2">
      <c r="A117" s="19" t="s">
        <v>839</v>
      </c>
      <c r="B117" s="7"/>
    </row>
    <row r="118" spans="1:2">
      <c r="A118" s="19" t="s">
        <v>2183</v>
      </c>
      <c r="B118" s="7"/>
    </row>
    <row r="119" spans="1:2">
      <c r="A119" s="19" t="s">
        <v>3087</v>
      </c>
      <c r="B119" s="7"/>
    </row>
    <row r="120" spans="1:2">
      <c r="A120" s="19" t="s">
        <v>1389</v>
      </c>
      <c r="B120" s="7"/>
    </row>
    <row r="121" spans="1:2">
      <c r="A121" s="19" t="s">
        <v>1585</v>
      </c>
      <c r="B121" s="7"/>
    </row>
    <row r="122" spans="1:2">
      <c r="A122" s="19" t="s">
        <v>705</v>
      </c>
      <c r="B122" s="7"/>
    </row>
    <row r="123" spans="1:2">
      <c r="A123" s="19" t="s">
        <v>1932</v>
      </c>
      <c r="B123" s="7"/>
    </row>
    <row r="124" spans="1:2">
      <c r="A124" s="19" t="s">
        <v>3752</v>
      </c>
      <c r="B124" s="7"/>
    </row>
    <row r="125" spans="1:2">
      <c r="A125" s="19" t="s">
        <v>344</v>
      </c>
      <c r="B125" s="7"/>
    </row>
    <row r="126" spans="1:2">
      <c r="A126" s="19" t="s">
        <v>577</v>
      </c>
      <c r="B126" s="7"/>
    </row>
    <row r="127" spans="1:2">
      <c r="A127" s="19" t="s">
        <v>4071</v>
      </c>
      <c r="B127" s="7"/>
    </row>
    <row r="128" spans="1:2">
      <c r="A128" s="19" t="s">
        <v>38</v>
      </c>
      <c r="B128" s="7"/>
    </row>
    <row r="129" spans="1:2">
      <c r="A129" s="19" t="s">
        <v>1225</v>
      </c>
      <c r="B129" s="7"/>
    </row>
    <row r="130" spans="1:2">
      <c r="A130" s="19" t="s">
        <v>610</v>
      </c>
      <c r="B130" s="7"/>
    </row>
    <row r="131" spans="1:2">
      <c r="A131" s="19" t="s">
        <v>2226</v>
      </c>
      <c r="B131" s="7"/>
    </row>
    <row r="132" spans="1:2">
      <c r="A132" s="19" t="s">
        <v>2244</v>
      </c>
      <c r="B132" s="7"/>
    </row>
    <row r="133" spans="1:2">
      <c r="A133" s="19" t="s">
        <v>2708</v>
      </c>
      <c r="B133" s="7"/>
    </row>
    <row r="134" spans="1:2">
      <c r="A134" s="19" t="s">
        <v>2328</v>
      </c>
      <c r="B134" s="7"/>
    </row>
    <row r="135" spans="1:2">
      <c r="A135" s="19" t="s">
        <v>159</v>
      </c>
      <c r="B135" s="7"/>
    </row>
    <row r="136" spans="1:2">
      <c r="A136" s="19" t="s">
        <v>2191</v>
      </c>
      <c r="B136" s="7"/>
    </row>
    <row r="137" spans="1:2">
      <c r="A137" s="19" t="s">
        <v>3560</v>
      </c>
      <c r="B137" s="7"/>
    </row>
    <row r="138" spans="1:2">
      <c r="A138" s="19" t="s">
        <v>353</v>
      </c>
      <c r="B138" s="7"/>
    </row>
    <row r="139" spans="1:2">
      <c r="A139" s="19" t="s">
        <v>1128</v>
      </c>
      <c r="B139" s="7"/>
    </row>
    <row r="140" spans="1:2">
      <c r="A140" s="19" t="s">
        <v>1129</v>
      </c>
      <c r="B140" s="7"/>
    </row>
    <row r="141" spans="1:2">
      <c r="A141" s="19" t="s">
        <v>1104</v>
      </c>
      <c r="B141" s="7"/>
    </row>
    <row r="142" spans="1:2">
      <c r="A142" s="19" t="s">
        <v>709</v>
      </c>
      <c r="B142" s="7"/>
    </row>
    <row r="143" spans="1:2">
      <c r="A143" s="19" t="s">
        <v>2262</v>
      </c>
      <c r="B143" s="7"/>
    </row>
    <row r="144" spans="1:2">
      <c r="A144" s="19" t="s">
        <v>2631</v>
      </c>
      <c r="B144" s="7"/>
    </row>
    <row r="145" spans="1:2">
      <c r="A145" s="19" t="s">
        <v>2565</v>
      </c>
      <c r="B145" s="7"/>
    </row>
    <row r="146" spans="1:2">
      <c r="A146" s="19" t="s">
        <v>3044</v>
      </c>
      <c r="B146" s="7"/>
    </row>
    <row r="147" spans="1:2">
      <c r="A147" s="19" t="s">
        <v>2883</v>
      </c>
      <c r="B147" s="7"/>
    </row>
    <row r="148" spans="1:2">
      <c r="A148" s="19" t="s">
        <v>2865</v>
      </c>
      <c r="B148" s="7"/>
    </row>
    <row r="149" spans="1:2">
      <c r="A149" s="19" t="s">
        <v>1066</v>
      </c>
      <c r="B149" s="7"/>
    </row>
    <row r="150" spans="1:2">
      <c r="A150" s="19" t="s">
        <v>572</v>
      </c>
      <c r="B150" s="7"/>
    </row>
    <row r="151" spans="1:2">
      <c r="A151" s="19" t="s">
        <v>3238</v>
      </c>
      <c r="B151" s="7"/>
    </row>
    <row r="152" spans="1:2">
      <c r="A152" s="19" t="s">
        <v>227</v>
      </c>
      <c r="B152" s="7"/>
    </row>
    <row r="153" spans="1:2">
      <c r="A153" s="19" t="s">
        <v>2912</v>
      </c>
      <c r="B153" s="7"/>
    </row>
    <row r="154" spans="1:2">
      <c r="A154" s="19" t="s">
        <v>1371</v>
      </c>
      <c r="B154" s="7"/>
    </row>
    <row r="155" spans="1:2">
      <c r="A155" s="19" t="s">
        <v>2821</v>
      </c>
      <c r="B155" s="7"/>
    </row>
    <row r="156" spans="1:2">
      <c r="A156" s="19" t="s">
        <v>2724</v>
      </c>
      <c r="B156" s="7"/>
    </row>
    <row r="157" spans="1:2">
      <c r="A157" s="19" t="s">
        <v>4062</v>
      </c>
      <c r="B157" s="7"/>
    </row>
    <row r="158" spans="1:2">
      <c r="A158" s="19" t="s">
        <v>3971</v>
      </c>
      <c r="B158" s="7"/>
    </row>
    <row r="159" spans="1:2">
      <c r="A159" s="19" t="s">
        <v>1936</v>
      </c>
      <c r="B159" s="7"/>
    </row>
    <row r="160" spans="1:2">
      <c r="A160" s="19" t="s">
        <v>3352</v>
      </c>
      <c r="B160" s="7"/>
    </row>
    <row r="161" spans="1:2">
      <c r="A161" s="19" t="s">
        <v>1303</v>
      </c>
      <c r="B161" s="7"/>
    </row>
    <row r="162" spans="1:2">
      <c r="A162" s="19" t="s">
        <v>3484</v>
      </c>
      <c r="B162" s="7"/>
    </row>
    <row r="163" spans="1:2">
      <c r="A163" s="19" t="s">
        <v>3498</v>
      </c>
      <c r="B163" s="7"/>
    </row>
    <row r="164" spans="1:2">
      <c r="A164" s="19" t="s">
        <v>1067</v>
      </c>
      <c r="B164" s="7"/>
    </row>
    <row r="165" spans="1:2">
      <c r="A165" s="19" t="s">
        <v>3335</v>
      </c>
      <c r="B165" s="7"/>
    </row>
    <row r="166" spans="1:2">
      <c r="A166" s="19" t="s">
        <v>50</v>
      </c>
      <c r="B166" s="7"/>
    </row>
    <row r="167" spans="1:2">
      <c r="A167" s="19" t="s">
        <v>2338</v>
      </c>
      <c r="B167" s="7"/>
    </row>
    <row r="168" spans="1:2">
      <c r="A168" s="19" t="s">
        <v>683</v>
      </c>
      <c r="B168" s="7"/>
    </row>
    <row r="169" spans="1:2">
      <c r="A169" s="19" t="s">
        <v>2213</v>
      </c>
      <c r="B169" s="7"/>
    </row>
    <row r="170" spans="1:2">
      <c r="A170" s="19" t="s">
        <v>2078</v>
      </c>
      <c r="B170" s="7"/>
    </row>
    <row r="171" spans="1:2">
      <c r="A171" s="19" t="s">
        <v>1698</v>
      </c>
      <c r="B171" s="7"/>
    </row>
    <row r="172" spans="1:2">
      <c r="A172" s="19" t="s">
        <v>1362</v>
      </c>
      <c r="B172" s="7"/>
    </row>
    <row r="173" spans="1:2">
      <c r="A173" s="19" t="s">
        <v>3399</v>
      </c>
      <c r="B173" s="7"/>
    </row>
    <row r="174" spans="1:2">
      <c r="A174" s="19" t="s">
        <v>1352</v>
      </c>
      <c r="B174" s="7"/>
    </row>
    <row r="175" spans="1:2">
      <c r="A175" s="19" t="s">
        <v>320</v>
      </c>
      <c r="B175" s="7"/>
    </row>
    <row r="176" spans="1:2">
      <c r="A176" s="19" t="s">
        <v>1636</v>
      </c>
      <c r="B176" s="7"/>
    </row>
    <row r="177" spans="1:2">
      <c r="A177" s="19" t="s">
        <v>620</v>
      </c>
      <c r="B177" s="7"/>
    </row>
    <row r="178" spans="1:2">
      <c r="A178" s="19" t="s">
        <v>2094</v>
      </c>
      <c r="B178" s="7"/>
    </row>
    <row r="179" spans="1:2">
      <c r="A179" s="19" t="s">
        <v>649</v>
      </c>
      <c r="B179" s="7"/>
    </row>
    <row r="180" spans="1:2">
      <c r="A180" s="19" t="s">
        <v>1113</v>
      </c>
      <c r="B180" s="7"/>
    </row>
    <row r="181" spans="1:2">
      <c r="A181" s="19" t="s">
        <v>3766</v>
      </c>
      <c r="B181" s="7"/>
    </row>
    <row r="182" spans="1:2">
      <c r="A182" s="19" t="s">
        <v>2780</v>
      </c>
      <c r="B182" s="7"/>
    </row>
    <row r="183" spans="1:2">
      <c r="A183" s="19" t="s">
        <v>2209</v>
      </c>
      <c r="B183" s="7"/>
    </row>
    <row r="184" spans="1:2">
      <c r="A184" s="19" t="s">
        <v>1982</v>
      </c>
      <c r="B184" s="7"/>
    </row>
    <row r="185" spans="1:2">
      <c r="A185" s="19" t="s">
        <v>1272</v>
      </c>
      <c r="B185" s="7"/>
    </row>
    <row r="186" spans="1:2">
      <c r="A186" s="19" t="s">
        <v>4044</v>
      </c>
      <c r="B186" s="7"/>
    </row>
    <row r="187" spans="1:2">
      <c r="A187" s="19" t="s">
        <v>1527</v>
      </c>
      <c r="B187" s="7"/>
    </row>
    <row r="188" spans="1:2">
      <c r="A188" s="19" t="s">
        <v>1894</v>
      </c>
      <c r="B188" s="7"/>
    </row>
    <row r="189" spans="1:2">
      <c r="A189" s="19" t="s">
        <v>2716</v>
      </c>
      <c r="B189" s="7"/>
    </row>
    <row r="190" spans="1:2">
      <c r="A190" s="19" t="s">
        <v>3131</v>
      </c>
      <c r="B190" s="7"/>
    </row>
    <row r="191" spans="1:2">
      <c r="A191" s="19" t="s">
        <v>1276</v>
      </c>
      <c r="B191" s="7"/>
    </row>
    <row r="192" spans="1:2">
      <c r="A192" s="19" t="s">
        <v>3615</v>
      </c>
      <c r="B192" s="7"/>
    </row>
    <row r="193" spans="1:2">
      <c r="A193" s="19" t="s">
        <v>3639</v>
      </c>
      <c r="B193" s="7"/>
    </row>
    <row r="194" spans="1:2">
      <c r="A194" s="19" t="s">
        <v>1023</v>
      </c>
      <c r="B194" s="7"/>
    </row>
    <row r="195" spans="1:2">
      <c r="A195" s="19" t="s">
        <v>3206</v>
      </c>
      <c r="B195" s="7"/>
    </row>
    <row r="196" spans="1:2">
      <c r="A196" s="19" t="s">
        <v>1216</v>
      </c>
      <c r="B196" s="7"/>
    </row>
    <row r="197" spans="1:2">
      <c r="A197" s="19" t="s">
        <v>1271</v>
      </c>
      <c r="B197" s="7"/>
    </row>
    <row r="198" spans="1:2">
      <c r="A198" s="19" t="s">
        <v>1821</v>
      </c>
      <c r="B198" s="7"/>
    </row>
    <row r="199" spans="1:2">
      <c r="A199" s="19" t="s">
        <v>315</v>
      </c>
      <c r="B199" s="7"/>
    </row>
    <row r="200" spans="1:2">
      <c r="A200" s="19" t="s">
        <v>488</v>
      </c>
      <c r="B200" s="7"/>
    </row>
    <row r="201" spans="1:2">
      <c r="A201" s="19" t="s">
        <v>151</v>
      </c>
      <c r="B201" s="7"/>
    </row>
    <row r="202" spans="1:2">
      <c r="A202" s="19" t="s">
        <v>3322</v>
      </c>
      <c r="B202" s="7"/>
    </row>
    <row r="203" spans="1:2">
      <c r="A203" s="19" t="s">
        <v>405</v>
      </c>
      <c r="B203" s="7"/>
    </row>
    <row r="204" spans="1:2">
      <c r="A204" s="19" t="s">
        <v>761</v>
      </c>
      <c r="B204" s="7"/>
    </row>
    <row r="205" spans="1:2">
      <c r="A205" s="19" t="s">
        <v>171</v>
      </c>
      <c r="B205" s="7"/>
    </row>
    <row r="206" spans="1:2">
      <c r="A206" s="19" t="s">
        <v>493</v>
      </c>
      <c r="B206" s="7"/>
    </row>
    <row r="207" spans="1:2">
      <c r="A207" s="19" t="s">
        <v>1581</v>
      </c>
      <c r="B207" s="7"/>
    </row>
    <row r="208" spans="1:2">
      <c r="A208" s="19" t="s">
        <v>263</v>
      </c>
      <c r="B208" s="7"/>
    </row>
    <row r="209" spans="1:2">
      <c r="A209" s="19" t="s">
        <v>715</v>
      </c>
      <c r="B209" s="7"/>
    </row>
    <row r="210" spans="1:2">
      <c r="A210" s="19" t="s">
        <v>1298</v>
      </c>
      <c r="B210" s="7"/>
    </row>
    <row r="211" spans="1:2">
      <c r="A211" s="19" t="s">
        <v>23</v>
      </c>
      <c r="B211" s="7"/>
    </row>
    <row r="212" spans="1:2">
      <c r="A212" s="19" t="s">
        <v>1594</v>
      </c>
      <c r="B212" s="7"/>
    </row>
    <row r="213" spans="1:2">
      <c r="A213" s="19" t="s">
        <v>1762</v>
      </c>
      <c r="B213" s="7"/>
    </row>
    <row r="214" spans="1:2">
      <c r="A214" s="19" t="s">
        <v>441</v>
      </c>
      <c r="B214" s="7"/>
    </row>
    <row r="215" spans="1:2">
      <c r="A215" s="19" t="s">
        <v>787</v>
      </c>
      <c r="B215" s="7"/>
    </row>
    <row r="216" spans="1:2">
      <c r="A216" s="19" t="s">
        <v>1419</v>
      </c>
      <c r="B216" s="7"/>
    </row>
    <row r="217" spans="1:2">
      <c r="A217" s="19" t="s">
        <v>3098</v>
      </c>
      <c r="B217" s="7"/>
    </row>
    <row r="218" spans="1:2">
      <c r="A218" s="19" t="s">
        <v>578</v>
      </c>
      <c r="B218" s="7"/>
    </row>
    <row r="219" spans="1:2">
      <c r="A219" s="19" t="s">
        <v>3181</v>
      </c>
      <c r="B219" s="7"/>
    </row>
    <row r="220" spans="1:2">
      <c r="A220" s="19" t="s">
        <v>3578</v>
      </c>
      <c r="B220" s="7"/>
    </row>
    <row r="221" spans="1:2">
      <c r="A221" s="19" t="s">
        <v>112</v>
      </c>
      <c r="B221" s="7"/>
    </row>
    <row r="222" spans="1:2">
      <c r="A222" s="19" t="s">
        <v>2960</v>
      </c>
      <c r="B222" s="7"/>
    </row>
    <row r="223" spans="1:2">
      <c r="A223" s="19" t="s">
        <v>582</v>
      </c>
      <c r="B223" s="7"/>
    </row>
    <row r="224" spans="1:2">
      <c r="A224" s="19" t="s">
        <v>2853</v>
      </c>
      <c r="B224" s="7"/>
    </row>
    <row r="225" spans="1:2">
      <c r="A225" s="19" t="s">
        <v>3777</v>
      </c>
      <c r="B225" s="7"/>
    </row>
    <row r="226" spans="1:2">
      <c r="A226" s="19" t="s">
        <v>1191</v>
      </c>
      <c r="B226" s="7"/>
    </row>
    <row r="227" spans="1:2">
      <c r="A227" s="19" t="s">
        <v>3301</v>
      </c>
      <c r="B227" s="7"/>
    </row>
    <row r="228" spans="1:2">
      <c r="A228" s="19" t="s">
        <v>1724</v>
      </c>
      <c r="B228" s="7"/>
    </row>
    <row r="229" spans="1:2">
      <c r="A229" s="19" t="s">
        <v>820</v>
      </c>
      <c r="B229" s="7"/>
    </row>
    <row r="230" spans="1:2">
      <c r="A230" s="19" t="s">
        <v>2797</v>
      </c>
      <c r="B230" s="7"/>
    </row>
    <row r="231" spans="1:2">
      <c r="A231" s="19" t="s">
        <v>3102</v>
      </c>
      <c r="B231" s="7"/>
    </row>
    <row r="232" spans="1:2">
      <c r="A232" s="19" t="s">
        <v>1798</v>
      </c>
      <c r="B232" s="7"/>
    </row>
    <row r="233" spans="1:2">
      <c r="A233" s="19" t="s">
        <v>1118</v>
      </c>
      <c r="B233" s="7"/>
    </row>
    <row r="234" spans="1:2">
      <c r="A234" s="19" t="s">
        <v>1851</v>
      </c>
      <c r="B234" s="7"/>
    </row>
    <row r="235" spans="1:2">
      <c r="A235" s="19" t="s">
        <v>2439</v>
      </c>
      <c r="B235" s="7"/>
    </row>
    <row r="236" spans="1:2">
      <c r="A236" s="19" t="s">
        <v>1393</v>
      </c>
      <c r="B236" s="7"/>
    </row>
    <row r="237" spans="1:2">
      <c r="A237" s="19" t="s">
        <v>1409</v>
      </c>
      <c r="B237" s="7"/>
    </row>
    <row r="238" spans="1:2">
      <c r="A238" s="19" t="s">
        <v>698</v>
      </c>
      <c r="B238" s="7"/>
    </row>
    <row r="239" spans="1:2">
      <c r="A239" s="19" t="s">
        <v>636</v>
      </c>
      <c r="B239" s="7"/>
    </row>
    <row r="240" spans="1:2">
      <c r="A240" s="19" t="s">
        <v>2333</v>
      </c>
      <c r="B240" s="7"/>
    </row>
    <row r="241" spans="1:2">
      <c r="A241" s="19" t="s">
        <v>550</v>
      </c>
      <c r="B241" s="7"/>
    </row>
    <row r="242" spans="1:2">
      <c r="A242" s="19" t="s">
        <v>699</v>
      </c>
      <c r="B242" s="7"/>
    </row>
    <row r="243" spans="1:2">
      <c r="A243" s="19" t="s">
        <v>435</v>
      </c>
      <c r="B243" s="7"/>
    </row>
    <row r="244" spans="1:2">
      <c r="A244" s="19" t="s">
        <v>1950</v>
      </c>
      <c r="B244" s="7"/>
    </row>
    <row r="245" spans="1:2">
      <c r="A245" s="19" t="s">
        <v>37</v>
      </c>
      <c r="B245" s="7"/>
    </row>
    <row r="246" spans="1:2">
      <c r="A246" s="19" t="s">
        <v>4010</v>
      </c>
      <c r="B246" s="7"/>
    </row>
    <row r="247" spans="1:2">
      <c r="A247" s="19" t="s">
        <v>3587</v>
      </c>
      <c r="B247" s="7"/>
    </row>
    <row r="248" spans="1:2">
      <c r="A248" s="19" t="s">
        <v>2612</v>
      </c>
      <c r="B248" s="7"/>
    </row>
    <row r="249" spans="1:2">
      <c r="A249" s="19" t="s">
        <v>886</v>
      </c>
      <c r="B249" s="7"/>
    </row>
    <row r="250" spans="1:2">
      <c r="A250" s="19" t="s">
        <v>1711</v>
      </c>
      <c r="B250" s="7"/>
    </row>
    <row r="251" spans="1:2">
      <c r="A251" s="19" t="s">
        <v>449</v>
      </c>
      <c r="B251" s="7"/>
    </row>
    <row r="252" spans="1:2">
      <c r="A252" s="19" t="s">
        <v>3698</v>
      </c>
      <c r="B252" s="7"/>
    </row>
    <row r="253" spans="1:2">
      <c r="A253" s="19" t="s">
        <v>246</v>
      </c>
      <c r="B253" s="7"/>
    </row>
    <row r="254" spans="1:2">
      <c r="A254" s="19" t="s">
        <v>829</v>
      </c>
      <c r="B254" s="7"/>
    </row>
    <row r="255" spans="1:2">
      <c r="A255" s="19" t="s">
        <v>2293</v>
      </c>
      <c r="B255" s="7"/>
    </row>
    <row r="256" spans="1:2">
      <c r="A256" s="19" t="s">
        <v>1967</v>
      </c>
      <c r="B256" s="7"/>
    </row>
    <row r="257" spans="1:2">
      <c r="A257" s="19" t="s">
        <v>1987</v>
      </c>
      <c r="B257" s="7"/>
    </row>
    <row r="258" spans="1:2">
      <c r="A258" s="19" t="s">
        <v>906</v>
      </c>
      <c r="B258" s="7"/>
    </row>
    <row r="259" spans="1:2">
      <c r="A259" s="19" t="s">
        <v>1240</v>
      </c>
      <c r="B259" s="7"/>
    </row>
    <row r="260" spans="1:2">
      <c r="A260" s="19" t="s">
        <v>1172</v>
      </c>
      <c r="B260" s="7"/>
    </row>
    <row r="261" spans="1:2">
      <c r="A261" s="19" t="s">
        <v>2083</v>
      </c>
      <c r="B261" s="7"/>
    </row>
    <row r="262" spans="1:2">
      <c r="A262" s="19" t="s">
        <v>1479</v>
      </c>
      <c r="B262" s="7"/>
    </row>
    <row r="263" spans="1:2">
      <c r="A263" s="19" t="s">
        <v>567</v>
      </c>
      <c r="B263" s="7"/>
    </row>
    <row r="264" spans="1:2">
      <c r="A264" s="19" t="s">
        <v>3945</v>
      </c>
      <c r="B264" s="7"/>
    </row>
    <row r="265" spans="1:2">
      <c r="A265" s="19" t="s">
        <v>2732</v>
      </c>
      <c r="B265" s="7"/>
    </row>
    <row r="266" spans="1:2">
      <c r="A266" s="19" t="s">
        <v>988</v>
      </c>
      <c r="B266" s="7"/>
    </row>
    <row r="267" spans="1:2">
      <c r="A267" s="19" t="s">
        <v>573</v>
      </c>
      <c r="B267" s="7"/>
    </row>
    <row r="268" spans="1:2">
      <c r="A268" s="19" t="s">
        <v>877</v>
      </c>
      <c r="B268" s="7"/>
    </row>
    <row r="269" spans="1:2">
      <c r="A269" s="19" t="s">
        <v>3185</v>
      </c>
      <c r="B269" s="7"/>
    </row>
    <row r="270" spans="1:2">
      <c r="A270" s="19" t="s">
        <v>1653</v>
      </c>
      <c r="B270" s="7"/>
    </row>
    <row r="271" spans="1:2">
      <c r="A271" s="19" t="s">
        <v>2617</v>
      </c>
      <c r="B271" s="7"/>
    </row>
    <row r="272" spans="1:2">
      <c r="A272" s="19" t="s">
        <v>3056</v>
      </c>
      <c r="B272" s="7"/>
    </row>
    <row r="273" spans="1:2">
      <c r="A273" s="19" t="s">
        <v>1889</v>
      </c>
      <c r="B273" s="7"/>
    </row>
    <row r="274" spans="1:2">
      <c r="A274" s="19" t="s">
        <v>3846</v>
      </c>
      <c r="B274" s="7"/>
    </row>
    <row r="275" spans="1:2">
      <c r="A275" s="19" t="s">
        <v>1134</v>
      </c>
      <c r="B275" s="7"/>
    </row>
    <row r="276" spans="1:2">
      <c r="A276" s="19" t="s">
        <v>902</v>
      </c>
      <c r="B276" s="7"/>
    </row>
    <row r="277" spans="1:2">
      <c r="A277" s="19" t="s">
        <v>2749</v>
      </c>
      <c r="B277" s="7"/>
    </row>
    <row r="278" spans="1:2">
      <c r="A278" s="19" t="s">
        <v>2008</v>
      </c>
      <c r="B278" s="7"/>
    </row>
    <row r="279" spans="1:2">
      <c r="A279" s="19" t="s">
        <v>2750</v>
      </c>
      <c r="B279" s="7"/>
    </row>
    <row r="280" spans="1:2">
      <c r="A280" s="19" t="s">
        <v>1358</v>
      </c>
      <c r="B280" s="7"/>
    </row>
    <row r="281" spans="1:2">
      <c r="A281" s="19" t="s">
        <v>2502</v>
      </c>
      <c r="B281" s="7"/>
    </row>
    <row r="282" spans="1:2">
      <c r="A282" s="19" t="s">
        <v>2934</v>
      </c>
      <c r="B282" s="7"/>
    </row>
    <row r="283" spans="1:2">
      <c r="A283" s="19" t="s">
        <v>747</v>
      </c>
      <c r="B283" s="7"/>
    </row>
    <row r="284" spans="1:2">
      <c r="A284" s="19" t="s">
        <v>1997</v>
      </c>
      <c r="B284" s="7"/>
    </row>
    <row r="285" spans="1:2">
      <c r="A285" s="19" t="s">
        <v>770</v>
      </c>
      <c r="B285" s="7"/>
    </row>
    <row r="286" spans="1:2">
      <c r="A286" s="19" t="s">
        <v>3707</v>
      </c>
      <c r="B286" s="7"/>
    </row>
    <row r="287" spans="1:2">
      <c r="A287" s="19" t="s">
        <v>1440</v>
      </c>
      <c r="B287" s="7"/>
    </row>
    <row r="288" spans="1:2">
      <c r="A288" s="19" t="s">
        <v>3990</v>
      </c>
      <c r="B288" s="7"/>
    </row>
    <row r="289" spans="1:2">
      <c r="A289" s="19" t="s">
        <v>2129</v>
      </c>
      <c r="B289" s="7"/>
    </row>
    <row r="290" spans="1:2">
      <c r="A290" s="19" t="s">
        <v>2675</v>
      </c>
      <c r="B290" s="7"/>
    </row>
    <row r="291" spans="1:2">
      <c r="A291" s="19" t="s">
        <v>654</v>
      </c>
      <c r="B291" s="7"/>
    </row>
    <row r="292" spans="1:2">
      <c r="A292" s="19" t="s">
        <v>1108</v>
      </c>
      <c r="B292" s="7"/>
    </row>
    <row r="293" spans="1:2">
      <c r="A293" s="19" t="s">
        <v>1968</v>
      </c>
      <c r="B293" s="7"/>
    </row>
    <row r="294" spans="1:2">
      <c r="A294" s="19" t="s">
        <v>4048</v>
      </c>
      <c r="B294" s="7"/>
    </row>
    <row r="295" spans="1:2">
      <c r="A295" s="19" t="s">
        <v>2704</v>
      </c>
      <c r="B295" s="7"/>
    </row>
    <row r="296" spans="1:2">
      <c r="A296" s="19" t="s">
        <v>3366</v>
      </c>
      <c r="B296" s="7"/>
    </row>
    <row r="297" spans="1:2">
      <c r="A297" s="19" t="s">
        <v>1190</v>
      </c>
      <c r="B297" s="7"/>
    </row>
    <row r="298" spans="1:2">
      <c r="A298" s="19" t="s">
        <v>1734</v>
      </c>
      <c r="B298" s="7"/>
    </row>
    <row r="299" spans="1:2">
      <c r="A299" s="19" t="s">
        <v>3620</v>
      </c>
      <c r="B299" s="7"/>
    </row>
    <row r="300" spans="1:2">
      <c r="A300" s="19" t="s">
        <v>3378</v>
      </c>
      <c r="B300" s="7"/>
    </row>
    <row r="301" spans="1:2">
      <c r="A301" s="19" t="s">
        <v>887</v>
      </c>
      <c r="B301" s="7"/>
    </row>
    <row r="302" spans="1:2">
      <c r="A302" s="19" t="s">
        <v>3802</v>
      </c>
      <c r="B302" s="7"/>
    </row>
    <row r="303" spans="1:2">
      <c r="A303" s="19" t="s">
        <v>2649</v>
      </c>
      <c r="B303" s="7"/>
    </row>
    <row r="304" spans="1:2">
      <c r="A304" s="19" t="s">
        <v>3776</v>
      </c>
      <c r="B304" s="7"/>
    </row>
    <row r="305" spans="1:2">
      <c r="A305" s="19" t="s">
        <v>3092</v>
      </c>
      <c r="B305" s="7"/>
    </row>
    <row r="306" spans="1:2">
      <c r="A306" s="19" t="s">
        <v>1236</v>
      </c>
      <c r="B306" s="7"/>
    </row>
    <row r="307" spans="1:2">
      <c r="A307" s="19" t="s">
        <v>3448</v>
      </c>
      <c r="B307" s="7"/>
    </row>
    <row r="308" spans="1:2">
      <c r="A308" s="19" t="s">
        <v>2542</v>
      </c>
      <c r="B308" s="7"/>
    </row>
    <row r="309" spans="1:2">
      <c r="A309" s="19" t="s">
        <v>644</v>
      </c>
      <c r="B309" s="7"/>
    </row>
    <row r="310" spans="1:2">
      <c r="A310" s="19" t="s">
        <v>871</v>
      </c>
      <c r="B310" s="7"/>
    </row>
    <row r="311" spans="1:2">
      <c r="A311" s="19" t="s">
        <v>2483</v>
      </c>
      <c r="B311" s="7"/>
    </row>
    <row r="312" spans="1:2">
      <c r="A312" s="19" t="s">
        <v>3505</v>
      </c>
      <c r="B312" s="7"/>
    </row>
    <row r="313" spans="1:2">
      <c r="A313" s="19" t="s">
        <v>1200</v>
      </c>
      <c r="B313" s="7"/>
    </row>
    <row r="314" spans="1:2">
      <c r="A314" s="19" t="s">
        <v>2222</v>
      </c>
      <c r="B314" s="7"/>
    </row>
    <row r="315" spans="1:2">
      <c r="A315" s="19" t="s">
        <v>944</v>
      </c>
      <c r="B315" s="7"/>
    </row>
    <row r="316" spans="1:2">
      <c r="A316" s="19" t="s">
        <v>989</v>
      </c>
      <c r="B316" s="7"/>
    </row>
    <row r="317" spans="1:2">
      <c r="A317" s="19" t="s">
        <v>298</v>
      </c>
      <c r="B317" s="7"/>
    </row>
    <row r="318" spans="1:2">
      <c r="A318" s="19" t="s">
        <v>2438</v>
      </c>
      <c r="B318" s="7"/>
    </row>
    <row r="319" spans="1:2">
      <c r="A319" s="19" t="s">
        <v>3070</v>
      </c>
      <c r="B319" s="7"/>
    </row>
    <row r="320" spans="1:2">
      <c r="A320" s="19" t="s">
        <v>2757</v>
      </c>
      <c r="B320" s="7"/>
    </row>
    <row r="321" spans="1:2">
      <c r="A321" s="19" t="s">
        <v>3506</v>
      </c>
      <c r="B321" s="7"/>
    </row>
    <row r="322" spans="1:2">
      <c r="A322" s="19" t="s">
        <v>1245</v>
      </c>
      <c r="B322" s="7"/>
    </row>
    <row r="323" spans="1:2">
      <c r="A323" s="19" t="s">
        <v>104</v>
      </c>
      <c r="B323" s="7"/>
    </row>
    <row r="324" spans="1:2">
      <c r="A324" s="19" t="s">
        <v>2064</v>
      </c>
      <c r="B324" s="7"/>
    </row>
    <row r="325" spans="1:2">
      <c r="A325" s="19" t="s">
        <v>105</v>
      </c>
      <c r="B325" s="7"/>
    </row>
    <row r="326" spans="1:2">
      <c r="A326" s="19" t="s">
        <v>3995</v>
      </c>
      <c r="B326" s="7"/>
    </row>
    <row r="327" spans="1:2">
      <c r="A327" s="19" t="s">
        <v>3149</v>
      </c>
      <c r="B327" s="7"/>
    </row>
    <row r="328" spans="1:2">
      <c r="A328" s="19" t="s">
        <v>911</v>
      </c>
      <c r="B328" s="7"/>
    </row>
    <row r="329" spans="1:2">
      <c r="A329" s="19" t="s">
        <v>3747</v>
      </c>
      <c r="B329" s="7"/>
    </row>
    <row r="330" spans="1:2">
      <c r="A330" s="19" t="s">
        <v>704</v>
      </c>
      <c r="B330" s="7"/>
    </row>
    <row r="331" spans="1:2">
      <c r="A331" s="19" t="s">
        <v>592</v>
      </c>
      <c r="B331" s="7"/>
    </row>
    <row r="332" spans="1:2">
      <c r="A332" s="19" t="s">
        <v>2306</v>
      </c>
      <c r="B332" s="7"/>
    </row>
    <row r="333" spans="1:2">
      <c r="A333" s="19" t="s">
        <v>1507</v>
      </c>
      <c r="B333" s="7"/>
    </row>
    <row r="334" spans="1:2">
      <c r="A334" s="19" t="s">
        <v>2274</v>
      </c>
      <c r="B334" s="7"/>
    </row>
    <row r="335" spans="1:2">
      <c r="A335" s="19" t="s">
        <v>814</v>
      </c>
      <c r="B335" s="7"/>
    </row>
    <row r="336" spans="1:2">
      <c r="A336" s="19" t="s">
        <v>213</v>
      </c>
      <c r="B336" s="7"/>
    </row>
    <row r="337" spans="1:2">
      <c r="A337" s="19" t="s">
        <v>1706</v>
      </c>
      <c r="B337" s="7"/>
    </row>
    <row r="338" spans="1:2">
      <c r="A338" s="19" t="s">
        <v>2187</v>
      </c>
      <c r="B338" s="7"/>
    </row>
    <row r="339" spans="1:2">
      <c r="A339" s="19" t="s">
        <v>3727</v>
      </c>
      <c r="B339" s="7"/>
    </row>
    <row r="340" spans="1:2">
      <c r="A340" s="19" t="s">
        <v>859</v>
      </c>
      <c r="B340" s="7"/>
    </row>
    <row r="341" spans="1:2">
      <c r="A341" s="19" t="s">
        <v>2178</v>
      </c>
      <c r="B341" s="7"/>
    </row>
    <row r="342" spans="1:2">
      <c r="A342" s="19" t="s">
        <v>605</v>
      </c>
      <c r="B342" s="7"/>
    </row>
    <row r="343" spans="1:2">
      <c r="A343" s="19" t="s">
        <v>689</v>
      </c>
      <c r="B343" s="7"/>
    </row>
    <row r="344" spans="1:2">
      <c r="A344" s="19" t="s">
        <v>2017</v>
      </c>
      <c r="B344" s="7"/>
    </row>
    <row r="345" spans="1:2">
      <c r="A345" s="19" t="s">
        <v>1670</v>
      </c>
      <c r="B345" s="7"/>
    </row>
    <row r="346" spans="1:2">
      <c r="A346" s="19" t="s">
        <v>1693</v>
      </c>
      <c r="B346" s="7"/>
    </row>
    <row r="347" spans="1:2">
      <c r="A347" s="19" t="s">
        <v>596</v>
      </c>
      <c r="B347" s="7"/>
    </row>
    <row r="348" spans="1:2">
      <c r="A348" s="19" t="s">
        <v>1631</v>
      </c>
      <c r="B348" s="7"/>
    </row>
    <row r="349" spans="1:2">
      <c r="A349" s="19" t="s">
        <v>1464</v>
      </c>
      <c r="B349" s="7"/>
    </row>
    <row r="350" spans="1:2">
      <c r="A350" s="19" t="s">
        <v>293</v>
      </c>
      <c r="B350" s="7"/>
    </row>
    <row r="351" spans="1:2">
      <c r="A351" s="19" t="s">
        <v>2970</v>
      </c>
      <c r="B351" s="7"/>
    </row>
    <row r="352" spans="1:2">
      <c r="A352" s="19" t="s">
        <v>1444</v>
      </c>
      <c r="B352" s="7"/>
    </row>
    <row r="353" spans="1:2">
      <c r="A353" s="19" t="s">
        <v>4075</v>
      </c>
      <c r="B353" s="7"/>
    </row>
    <row r="354" spans="1:2">
      <c r="A354" s="19" t="s">
        <v>3027</v>
      </c>
      <c r="B354" s="7"/>
    </row>
    <row r="355" spans="1:2">
      <c r="A355" s="19" t="s">
        <v>1176</v>
      </c>
      <c r="B355" s="7"/>
    </row>
    <row r="356" spans="1:2">
      <c r="A356" s="19" t="s">
        <v>659</v>
      </c>
      <c r="B356" s="7"/>
    </row>
    <row r="357" spans="1:2">
      <c r="A357" s="19" t="s">
        <v>2806</v>
      </c>
      <c r="B357" s="7"/>
    </row>
    <row r="358" spans="1:2">
      <c r="A358" s="19" t="s">
        <v>1784</v>
      </c>
      <c r="B358" s="7"/>
    </row>
    <row r="359" spans="1:2">
      <c r="A359" s="19" t="s">
        <v>336</v>
      </c>
      <c r="B359" s="7"/>
    </row>
    <row r="360" spans="1:2">
      <c r="A360" s="19" t="s">
        <v>3348</v>
      </c>
      <c r="B360" s="7"/>
    </row>
    <row r="361" spans="1:2">
      <c r="A361" s="19" t="s">
        <v>239</v>
      </c>
      <c r="B361" s="7"/>
    </row>
    <row r="362" spans="1:2">
      <c r="A362" s="19" t="s">
        <v>733</v>
      </c>
      <c r="B362" s="7"/>
    </row>
    <row r="363" spans="1:2">
      <c r="A363" s="19" t="s">
        <v>1415</v>
      </c>
      <c r="B363" s="7"/>
    </row>
    <row r="364" spans="1:2">
      <c r="A364" s="19" t="s">
        <v>3387</v>
      </c>
      <c r="B364" s="7"/>
    </row>
    <row r="365" spans="1:2">
      <c r="A365" s="19" t="s">
        <v>830</v>
      </c>
      <c r="B365" s="7"/>
    </row>
    <row r="366" spans="1:2">
      <c r="A366" s="19" t="s">
        <v>240</v>
      </c>
      <c r="B366" s="7"/>
    </row>
    <row r="367" spans="1:2">
      <c r="A367" s="19" t="s">
        <v>2315</v>
      </c>
      <c r="B367" s="7"/>
    </row>
    <row r="368" spans="1:2">
      <c r="A368" s="19" t="s">
        <v>3582</v>
      </c>
      <c r="B368" s="7"/>
    </row>
    <row r="369" spans="1:2">
      <c r="A369" s="19" t="s">
        <v>849</v>
      </c>
      <c r="B369" s="7"/>
    </row>
    <row r="370" spans="1:2">
      <c r="A370" s="19" t="s">
        <v>1380</v>
      </c>
      <c r="B370" s="7"/>
    </row>
    <row r="371" spans="1:2">
      <c r="A371" s="19" t="s">
        <v>2379</v>
      </c>
      <c r="B371" s="7"/>
    </row>
    <row r="372" spans="1:2">
      <c r="A372" s="19" t="s">
        <v>3031</v>
      </c>
      <c r="B372" s="7"/>
    </row>
    <row r="373" spans="1:2">
      <c r="A373" s="19" t="s">
        <v>1920</v>
      </c>
      <c r="B373" s="7"/>
    </row>
    <row r="374" spans="1:2">
      <c r="A374" s="19" t="s">
        <v>3273</v>
      </c>
      <c r="B374" s="7"/>
    </row>
    <row r="375" spans="1:2">
      <c r="A375" s="19" t="s">
        <v>1235</v>
      </c>
      <c r="B375" s="7"/>
    </row>
    <row r="376" spans="1:2">
      <c r="A376" s="19" t="s">
        <v>635</v>
      </c>
      <c r="B376" s="7"/>
    </row>
    <row r="377" spans="1:2">
      <c r="A377" s="19" t="s">
        <v>1771</v>
      </c>
      <c r="B377" s="7"/>
    </row>
    <row r="378" spans="1:2">
      <c r="A378" s="19" t="s">
        <v>2908</v>
      </c>
      <c r="B378" s="7"/>
    </row>
    <row r="379" spans="1:2">
      <c r="A379" s="19" t="s">
        <v>1139</v>
      </c>
      <c r="B379" s="7"/>
    </row>
    <row r="380" spans="1:2">
      <c r="A380" s="19" t="s">
        <v>2156</v>
      </c>
      <c r="B380" s="7"/>
    </row>
    <row r="381" spans="1:2">
      <c r="A381" s="19" t="s">
        <v>1911</v>
      </c>
      <c r="B381" s="7"/>
    </row>
    <row r="382" spans="1:2">
      <c r="A382" s="19" t="s">
        <v>1540</v>
      </c>
      <c r="B382" s="7"/>
    </row>
    <row r="383" spans="1:2">
      <c r="A383" s="19" t="s">
        <v>2995</v>
      </c>
      <c r="B383" s="7"/>
    </row>
    <row r="384" spans="1:2">
      <c r="A384" s="19" t="s">
        <v>160</v>
      </c>
      <c r="B384" s="7"/>
    </row>
    <row r="385" spans="1:2">
      <c r="A385" s="19" t="s">
        <v>1831</v>
      </c>
      <c r="B385" s="7"/>
    </row>
    <row r="386" spans="1:2">
      <c r="A386" s="19" t="s">
        <v>253</v>
      </c>
      <c r="B386" s="7"/>
    </row>
    <row r="387" spans="1:2">
      <c r="A387" s="19" t="s">
        <v>2461</v>
      </c>
      <c r="B387" s="7"/>
    </row>
    <row r="388" spans="1:2">
      <c r="A388" s="19" t="s">
        <v>410</v>
      </c>
      <c r="B388" s="7"/>
    </row>
    <row r="389" spans="1:2">
      <c r="A389" s="19" t="s">
        <v>3789</v>
      </c>
      <c r="B389" s="7"/>
    </row>
    <row r="390" spans="1:2">
      <c r="A390" s="19" t="s">
        <v>2930</v>
      </c>
      <c r="B390" s="7"/>
    </row>
    <row r="391" spans="1:2">
      <c r="A391" s="19" t="s">
        <v>3172</v>
      </c>
      <c r="B391" s="7"/>
    </row>
    <row r="392" spans="1:2">
      <c r="A392" s="19" t="s">
        <v>1511</v>
      </c>
      <c r="B392" s="7"/>
    </row>
    <row r="393" spans="1:2">
      <c r="A393" s="19" t="s">
        <v>2151</v>
      </c>
      <c r="B393" s="7"/>
    </row>
    <row r="394" spans="1:2">
      <c r="A394" s="19" t="s">
        <v>2641</v>
      </c>
      <c r="B394" s="7"/>
    </row>
    <row r="395" spans="1:2">
      <c r="A395" s="19" t="s">
        <v>299</v>
      </c>
      <c r="B395" s="7"/>
    </row>
    <row r="396" spans="1:2">
      <c r="A396" s="19" t="s">
        <v>1611</v>
      </c>
      <c r="B396" s="7"/>
    </row>
    <row r="397" spans="1:2">
      <c r="A397" s="19" t="s">
        <v>2846</v>
      </c>
      <c r="B397" s="7"/>
    </row>
    <row r="398" spans="1:2">
      <c r="A398" s="19" t="s">
        <v>1375</v>
      </c>
      <c r="B398" s="7"/>
    </row>
    <row r="399" spans="1:2">
      <c r="A399" s="19" t="s">
        <v>3199</v>
      </c>
      <c r="B399" s="7"/>
    </row>
    <row r="400" spans="1:2">
      <c r="A400" s="19" t="s">
        <v>1267</v>
      </c>
      <c r="B400" s="7"/>
    </row>
    <row r="401" spans="1:2">
      <c r="A401" s="19" t="s">
        <v>1807</v>
      </c>
      <c r="B401" s="7"/>
    </row>
    <row r="402" spans="1:2">
      <c r="A402" s="19" t="s">
        <v>1144</v>
      </c>
      <c r="B402" s="7"/>
    </row>
    <row r="403" spans="1:2">
      <c r="A403" s="19" t="s">
        <v>3548</v>
      </c>
      <c r="B403" s="7"/>
    </row>
    <row r="404" spans="1:2">
      <c r="A404" s="19" t="s">
        <v>2762</v>
      </c>
      <c r="B404" s="7"/>
    </row>
    <row r="405" spans="1:2">
      <c r="A405" s="19" t="s">
        <v>304</v>
      </c>
      <c r="B405" s="7"/>
    </row>
    <row r="406" spans="1:2">
      <c r="A406" s="19" t="s">
        <v>3118</v>
      </c>
      <c r="B406" s="7"/>
    </row>
    <row r="407" spans="1:2">
      <c r="A407" s="19" t="s">
        <v>3394</v>
      </c>
      <c r="B407" s="7"/>
    </row>
    <row r="408" spans="1:2">
      <c r="A408" s="19" t="s">
        <v>3672</v>
      </c>
      <c r="B408" s="7"/>
    </row>
    <row r="409" spans="1:2">
      <c r="A409" s="19" t="s">
        <v>327</v>
      </c>
      <c r="B409" s="7"/>
    </row>
    <row r="410" spans="1:2">
      <c r="A410" s="19" t="s">
        <v>2236</v>
      </c>
      <c r="B410" s="7"/>
    </row>
    <row r="411" spans="1:2">
      <c r="A411" s="19" t="s">
        <v>2700</v>
      </c>
      <c r="B411" s="7"/>
    </row>
    <row r="412" spans="1:2">
      <c r="A412" s="19" t="s">
        <v>2494</v>
      </c>
      <c r="B412" s="7"/>
    </row>
    <row r="413" spans="1:2">
      <c r="A413" s="19" t="s">
        <v>4027</v>
      </c>
      <c r="B413" s="7"/>
    </row>
    <row r="414" spans="1:2">
      <c r="A414" s="19" t="s">
        <v>963</v>
      </c>
      <c r="B414" s="7"/>
    </row>
    <row r="415" spans="1:2">
      <c r="A415" s="19" t="s">
        <v>720</v>
      </c>
      <c r="B415" s="7"/>
    </row>
    <row r="416" spans="1:2">
      <c r="A416" s="19" t="s">
        <v>2946</v>
      </c>
      <c r="B416" s="7"/>
    </row>
    <row r="417" spans="1:2">
      <c r="A417" s="19" t="s">
        <v>3282</v>
      </c>
      <c r="B417" s="7"/>
    </row>
    <row r="418" spans="1:2">
      <c r="A418" s="19" t="s">
        <v>2196</v>
      </c>
      <c r="B418" s="7"/>
    </row>
    <row r="419" spans="1:2">
      <c r="A419" s="19" t="s">
        <v>233</v>
      </c>
      <c r="B419" s="7"/>
    </row>
    <row r="420" spans="1:2">
      <c r="A420" s="19" t="s">
        <v>195</v>
      </c>
      <c r="B420" s="7"/>
    </row>
    <row r="421" spans="1:2">
      <c r="A421" s="19" t="s">
        <v>1972</v>
      </c>
      <c r="B421" s="7"/>
    </row>
    <row r="422" spans="1:2">
      <c r="A422" s="19" t="s">
        <v>3293</v>
      </c>
      <c r="B422" s="7"/>
    </row>
    <row r="423" spans="1:2">
      <c r="A423" s="19" t="s">
        <v>1185</v>
      </c>
      <c r="B423" s="7"/>
    </row>
    <row r="424" spans="1:2">
      <c r="A424" s="19" t="s">
        <v>2586</v>
      </c>
      <c r="B424" s="7"/>
    </row>
    <row r="425" spans="1:2">
      <c r="A425" s="19" t="s">
        <v>2775</v>
      </c>
      <c r="B425" s="7"/>
    </row>
    <row r="426" spans="1:2">
      <c r="A426" s="19" t="s">
        <v>254</v>
      </c>
      <c r="B426" s="7"/>
    </row>
    <row r="427" spans="1:2">
      <c r="A427" s="19" t="s">
        <v>332</v>
      </c>
      <c r="B427" s="7"/>
    </row>
    <row r="428" spans="1:2">
      <c r="A428" s="19" t="s">
        <v>2861</v>
      </c>
      <c r="B428" s="7"/>
    </row>
    <row r="429" spans="1:2">
      <c r="A429" s="19" t="s">
        <v>1033</v>
      </c>
      <c r="B429" s="7"/>
    </row>
    <row r="430" spans="1:2">
      <c r="A430" s="19" t="s">
        <v>132</v>
      </c>
      <c r="B430" s="7"/>
    </row>
    <row r="431" spans="1:2">
      <c r="A431" s="19" t="s">
        <v>2754</v>
      </c>
      <c r="B431" s="7"/>
    </row>
    <row r="432" spans="1:2">
      <c r="A432" s="19" t="s">
        <v>1566</v>
      </c>
      <c r="B432" s="7"/>
    </row>
    <row r="433" spans="1:2">
      <c r="A433" s="19" t="s">
        <v>2904</v>
      </c>
      <c r="B433" s="7"/>
    </row>
    <row r="434" spans="1:2">
      <c r="A434" s="19" t="s">
        <v>118</v>
      </c>
      <c r="B434" s="7"/>
    </row>
    <row r="435" spans="1:2">
      <c r="A435" s="19" t="s">
        <v>3869</v>
      </c>
      <c r="B435" s="7"/>
    </row>
    <row r="436" spans="1:2">
      <c r="A436" s="19" t="s">
        <v>625</v>
      </c>
      <c r="B436" s="7"/>
    </row>
    <row r="437" spans="1:2">
      <c r="A437" s="19" t="s">
        <v>916</v>
      </c>
      <c r="B437" s="7"/>
    </row>
    <row r="438" spans="1:2">
      <c r="A438" s="19" t="s">
        <v>1028</v>
      </c>
      <c r="B438" s="7"/>
    </row>
    <row r="439" spans="1:2">
      <c r="A439" s="19" t="s">
        <v>3144</v>
      </c>
      <c r="B439" s="7"/>
    </row>
    <row r="440" spans="1:2">
      <c r="A440" s="19" t="s">
        <v>400</v>
      </c>
      <c r="B440" s="7"/>
    </row>
    <row r="441" spans="1:2">
      <c r="A441" s="19" t="s">
        <v>1094</v>
      </c>
      <c r="B441" s="7"/>
    </row>
    <row r="442" spans="1:2">
      <c r="A442" s="19" t="s">
        <v>2289</v>
      </c>
      <c r="B442" s="7"/>
    </row>
    <row r="443" spans="1:2">
      <c r="A443" s="19" t="s">
        <v>3052</v>
      </c>
      <c r="B443" s="7"/>
    </row>
    <row r="444" spans="1:2">
      <c r="A444" s="19" t="s">
        <v>4032</v>
      </c>
      <c r="B444" s="7"/>
    </row>
    <row r="445" spans="1:2">
      <c r="A445" s="19" t="s">
        <v>3123</v>
      </c>
      <c r="B445" s="7"/>
    </row>
    <row r="446" spans="1:2">
      <c r="A446" s="19" t="s">
        <v>2696</v>
      </c>
      <c r="B446" s="7"/>
    </row>
    <row r="447" spans="1:2">
      <c r="A447" s="19" t="s">
        <v>3382</v>
      </c>
      <c r="B447" s="7"/>
    </row>
    <row r="448" spans="1:2">
      <c r="A448" s="19" t="s">
        <v>2298</v>
      </c>
      <c r="B448" s="7"/>
    </row>
    <row r="449" spans="1:2">
      <c r="A449" s="19" t="s">
        <v>781</v>
      </c>
      <c r="B449" s="7"/>
    </row>
    <row r="450" spans="1:2">
      <c r="A450" s="19" t="s">
        <v>2038</v>
      </c>
      <c r="B450" s="7"/>
    </row>
    <row r="451" spans="1:2">
      <c r="A451" s="19" t="s">
        <v>420</v>
      </c>
      <c r="B451" s="7"/>
    </row>
    <row r="452" spans="1:2">
      <c r="A452" s="19" t="s">
        <v>587</v>
      </c>
      <c r="B452" s="7"/>
    </row>
    <row r="453" spans="1:2">
      <c r="A453" s="19" t="s">
        <v>742</v>
      </c>
      <c r="B453" s="7"/>
    </row>
    <row r="454" spans="1:2">
      <c r="A454" s="19" t="s">
        <v>3607</v>
      </c>
      <c r="B454" s="7"/>
    </row>
    <row r="455" spans="1:2">
      <c r="A455" s="19" t="s">
        <v>2280</v>
      </c>
      <c r="B455" s="7"/>
    </row>
    <row r="456" spans="1:2">
      <c r="A456" s="19" t="s">
        <v>390</v>
      </c>
      <c r="B456" s="7"/>
    </row>
    <row r="457" spans="1:2">
      <c r="A457" s="19" t="s">
        <v>2249</v>
      </c>
      <c r="B457" s="7"/>
    </row>
    <row r="458" spans="1:2">
      <c r="A458" s="19" t="s">
        <v>463</v>
      </c>
      <c r="B458" s="7"/>
    </row>
    <row r="459" spans="1:2">
      <c r="A459" s="19" t="s">
        <v>677</v>
      </c>
      <c r="B459" s="7"/>
    </row>
    <row r="460" spans="1:2">
      <c r="A460" s="19" t="s">
        <v>2088</v>
      </c>
      <c r="B460" s="7"/>
    </row>
    <row r="461" spans="1:2">
      <c r="A461" s="19" t="s">
        <v>2771</v>
      </c>
      <c r="B461" s="7"/>
    </row>
    <row r="462" spans="1:2">
      <c r="A462" s="19" t="s">
        <v>2830</v>
      </c>
      <c r="B462" s="7"/>
    </row>
    <row r="463" spans="1:2">
      <c r="A463" s="19" t="s">
        <v>207</v>
      </c>
      <c r="B463" s="7"/>
    </row>
    <row r="464" spans="1:2">
      <c r="A464" s="19" t="s">
        <v>3891</v>
      </c>
      <c r="B464" s="7"/>
    </row>
    <row r="465" spans="1:2">
      <c r="A465" s="19" t="s">
        <v>897</v>
      </c>
      <c r="B465" s="7"/>
    </row>
    <row r="466" spans="1:2">
      <c r="A466" s="19" t="s">
        <v>1558</v>
      </c>
      <c r="B466" s="7"/>
    </row>
    <row r="467" spans="1:2">
      <c r="A467" s="19" t="s">
        <v>978</v>
      </c>
      <c r="B467" s="7"/>
    </row>
    <row r="468" spans="1:2">
      <c r="A468" s="19" t="s">
        <v>3403</v>
      </c>
      <c r="B468" s="7"/>
    </row>
    <row r="469" spans="1:2">
      <c r="A469" s="19" t="s">
        <v>3161</v>
      </c>
      <c r="B469" s="7"/>
    </row>
    <row r="470" spans="1:2">
      <c r="A470" s="19" t="s">
        <v>3153</v>
      </c>
      <c r="B470" s="7"/>
    </row>
    <row r="471" spans="1:2">
      <c r="A471" s="19" t="s">
        <v>806</v>
      </c>
      <c r="B471" s="7"/>
    </row>
    <row r="472" spans="1:2">
      <c r="A472" s="19" t="s">
        <v>1001</v>
      </c>
      <c r="B472" s="7"/>
    </row>
    <row r="473" spans="1:2">
      <c r="A473" s="19" t="s">
        <v>348</v>
      </c>
      <c r="B473" s="7"/>
    </row>
    <row r="474" spans="1:2">
      <c r="A474" s="19" t="s">
        <v>2443</v>
      </c>
      <c r="B474" s="7"/>
    </row>
    <row r="475" spans="1:2">
      <c r="A475" s="19" t="s">
        <v>2028</v>
      </c>
      <c r="B475" s="7"/>
    </row>
    <row r="476" spans="1:2">
      <c r="A476" s="19" t="s">
        <v>3877</v>
      </c>
      <c r="B476" s="7"/>
    </row>
    <row r="477" spans="1:2">
      <c r="A477" s="19" t="s">
        <v>3469</v>
      </c>
      <c r="B477" s="7"/>
    </row>
    <row r="478" spans="1:2">
      <c r="A478" s="19" t="s">
        <v>1224</v>
      </c>
      <c r="B478" s="7"/>
    </row>
    <row r="479" spans="1:2">
      <c r="A479" s="19" t="s">
        <v>2682</v>
      </c>
      <c r="B479" s="7"/>
    </row>
    <row r="480" spans="1:2">
      <c r="A480" s="19" t="s">
        <v>1927</v>
      </c>
      <c r="B480" s="7"/>
    </row>
    <row r="481" spans="1:2">
      <c r="A481" s="19" t="s">
        <v>3176</v>
      </c>
      <c r="B481" s="7"/>
    </row>
    <row r="482" spans="1:2">
      <c r="A482" s="19" t="s">
        <v>80</v>
      </c>
      <c r="B482" s="7"/>
    </row>
    <row r="483" spans="1:2">
      <c r="A483" s="19" t="s">
        <v>3644</v>
      </c>
      <c r="B483" s="7"/>
    </row>
    <row r="484" spans="1:2">
      <c r="A484" s="19" t="s">
        <v>3822</v>
      </c>
      <c r="B484" s="7"/>
    </row>
    <row r="485" spans="1:2">
      <c r="A485" s="19" t="s">
        <v>3277</v>
      </c>
      <c r="B485" s="7"/>
    </row>
    <row r="486" spans="1:2">
      <c r="A486" s="19" t="s">
        <v>3918</v>
      </c>
      <c r="B486" s="7"/>
    </row>
    <row r="487" spans="1:2">
      <c r="A487" s="19" t="s">
        <v>810</v>
      </c>
      <c r="B487" s="7"/>
    </row>
    <row r="488" spans="1:2">
      <c r="A488" s="19" t="s">
        <v>288</v>
      </c>
      <c r="B488" s="7"/>
    </row>
    <row r="489" spans="1:2">
      <c r="A489" s="19" t="s">
        <v>684</v>
      </c>
      <c r="B489" s="7"/>
    </row>
    <row r="490" spans="1:2">
      <c r="A490" s="19" t="s">
        <v>3190</v>
      </c>
      <c r="B490" s="7"/>
    </row>
    <row r="491" spans="1:2">
      <c r="A491" s="19" t="s">
        <v>1042</v>
      </c>
      <c r="B491" s="7"/>
    </row>
    <row r="492" spans="1:2">
      <c r="A492" s="19" t="s">
        <v>1484</v>
      </c>
      <c r="B492" s="7"/>
    </row>
    <row r="493" spans="1:2">
      <c r="A493" s="19" t="s">
        <v>3261</v>
      </c>
      <c r="B493" s="7"/>
    </row>
    <row r="494" spans="1:2">
      <c r="A494" s="19" t="s">
        <v>1606</v>
      </c>
      <c r="B494" s="7"/>
    </row>
    <row r="495" spans="1:2">
      <c r="A495" s="19" t="s">
        <v>3771</v>
      </c>
      <c r="B495" s="7"/>
    </row>
    <row r="496" spans="1:2">
      <c r="A496" s="19" t="s">
        <v>1204</v>
      </c>
      <c r="B496" s="7"/>
    </row>
    <row r="497" spans="1:2">
      <c r="A497" s="19" t="s">
        <v>3567</v>
      </c>
      <c r="B497" s="7"/>
    </row>
    <row r="498" spans="1:2">
      <c r="A498" s="19" t="s">
        <v>2623</v>
      </c>
      <c r="B498" s="7"/>
    </row>
    <row r="499" spans="1:2">
      <c r="A499" s="19" t="s">
        <v>1109</v>
      </c>
      <c r="B499" s="7"/>
    </row>
    <row r="500" spans="1:2">
      <c r="A500" s="19" t="s">
        <v>406</v>
      </c>
      <c r="B500" s="7"/>
    </row>
    <row r="501" spans="1:2">
      <c r="A501" s="19" t="s">
        <v>127</v>
      </c>
      <c r="B501" s="7"/>
    </row>
    <row r="502" spans="1:2">
      <c r="A502" s="19" t="s">
        <v>2938</v>
      </c>
      <c r="B502" s="7"/>
    </row>
    <row r="503" spans="1:2">
      <c r="A503" s="19" t="s">
        <v>1662</v>
      </c>
      <c r="B503" s="7"/>
    </row>
    <row r="504" spans="1:2">
      <c r="A504" s="19" t="s">
        <v>529</v>
      </c>
      <c r="B504" s="7"/>
    </row>
    <row r="505" spans="1:2">
      <c r="A505" s="19" t="s">
        <v>515</v>
      </c>
      <c r="B505" s="7"/>
    </row>
    <row r="506" spans="1:2">
      <c r="A506" s="19" t="s">
        <v>503</v>
      </c>
      <c r="B506" s="7"/>
    </row>
    <row r="507" spans="1:2">
      <c r="A507" s="19" t="s">
        <v>3420</v>
      </c>
      <c r="B507" s="7"/>
    </row>
    <row r="508" spans="1:2">
      <c r="A508" s="19" t="s">
        <v>1949</v>
      </c>
      <c r="B508" s="7"/>
    </row>
    <row r="509" spans="1:2">
      <c r="A509" s="19" t="s">
        <v>983</v>
      </c>
      <c r="B509" s="7"/>
    </row>
    <row r="510" spans="1:2">
      <c r="A510" s="19" t="s">
        <v>1254</v>
      </c>
      <c r="B510" s="7"/>
    </row>
    <row r="511" spans="1:2">
      <c r="A511" s="19" t="s">
        <v>2046</v>
      </c>
      <c r="B511" s="7"/>
    </row>
    <row r="512" spans="1:2">
      <c r="A512" s="19" t="s">
        <v>395</v>
      </c>
      <c r="B512" s="7"/>
    </row>
    <row r="513" spans="1:2">
      <c r="A513" s="19" t="s">
        <v>3167</v>
      </c>
      <c r="B513" s="7"/>
    </row>
    <row r="514" spans="1:2">
      <c r="A514" s="19" t="s">
        <v>876</v>
      </c>
      <c r="B514" s="7"/>
    </row>
    <row r="515" spans="1:2">
      <c r="A515" s="19" t="s">
        <v>1324</v>
      </c>
      <c r="B515" s="7"/>
    </row>
    <row r="516" spans="1:2">
      <c r="A516" s="19" t="s">
        <v>1741</v>
      </c>
      <c r="B516" s="7"/>
    </row>
    <row r="517" spans="1:2">
      <c r="A517" s="19" t="s">
        <v>2388</v>
      </c>
      <c r="B517" s="7"/>
    </row>
    <row r="518" spans="1:2">
      <c r="A518" s="19" t="s">
        <v>2841</v>
      </c>
      <c r="B518" s="7"/>
    </row>
    <row r="519" spans="1:2">
      <c r="A519" s="19" t="s">
        <v>662</v>
      </c>
      <c r="B519" s="7"/>
    </row>
    <row r="520" spans="1:2">
      <c r="A520" s="19" t="s">
        <v>2447</v>
      </c>
      <c r="B520" s="7"/>
    </row>
    <row r="521" spans="1:2">
      <c r="A521" s="19" t="s">
        <v>1454</v>
      </c>
      <c r="B521" s="7"/>
    </row>
    <row r="522" spans="1:2">
      <c r="A522" s="19" t="s">
        <v>2925</v>
      </c>
      <c r="B522" s="7"/>
    </row>
    <row r="523" spans="1:2">
      <c r="A523" s="19" t="s">
        <v>2448</v>
      </c>
      <c r="B523" s="7"/>
    </row>
    <row r="524" spans="1:2">
      <c r="A524" s="19" t="s">
        <v>2557</v>
      </c>
      <c r="B524" s="7"/>
    </row>
    <row r="525" spans="1:2">
      <c r="A525" s="19" t="s">
        <v>2670</v>
      </c>
      <c r="B525" s="7"/>
    </row>
    <row r="526" spans="1:2">
      <c r="A526" s="19" t="s">
        <v>2788</v>
      </c>
      <c r="B526" s="7"/>
    </row>
    <row r="527" spans="1:2">
      <c r="A527" s="19" t="s">
        <v>278</v>
      </c>
      <c r="B527" s="7"/>
    </row>
    <row r="528" spans="1:2">
      <c r="A528" s="19" t="s">
        <v>1526</v>
      </c>
      <c r="B528" s="7"/>
    </row>
    <row r="529" spans="1:2">
      <c r="A529" s="19" t="s">
        <v>1339</v>
      </c>
      <c r="B529" s="7"/>
    </row>
    <row r="530" spans="1:2">
      <c r="A530" s="19" t="s">
        <v>2457</v>
      </c>
      <c r="B530" s="7"/>
    </row>
    <row r="531" spans="1:2">
      <c r="A531" s="19" t="s">
        <v>1536</v>
      </c>
      <c r="B531" s="7"/>
    </row>
    <row r="532" spans="1:2">
      <c r="A532" s="19" t="s">
        <v>2406</v>
      </c>
      <c r="B532" s="7"/>
    </row>
    <row r="533" spans="1:2">
      <c r="A533" s="19" t="s">
        <v>3408</v>
      </c>
      <c r="B533" s="7"/>
    </row>
    <row r="534" spans="1:2">
      <c r="A534" s="19" t="s">
        <v>1037</v>
      </c>
      <c r="B534" s="7"/>
    </row>
    <row r="535" spans="1:2">
      <c r="A535" s="19" t="s">
        <v>756</v>
      </c>
      <c r="B535" s="7"/>
    </row>
    <row r="536" spans="1:2">
      <c r="A536" s="19" t="s">
        <v>2462</v>
      </c>
      <c r="B536" s="7"/>
    </row>
    <row r="537" spans="1:2">
      <c r="A537" s="19" t="s">
        <v>2430</v>
      </c>
      <c r="B537" s="7"/>
    </row>
    <row r="538" spans="1:2">
      <c r="A538" s="19" t="s">
        <v>425</v>
      </c>
      <c r="B538" s="7"/>
    </row>
    <row r="539" spans="1:2">
      <c r="A539" s="19" t="s">
        <v>667</v>
      </c>
      <c r="B539" s="7"/>
    </row>
    <row r="540" spans="1:2">
      <c r="A540" s="19" t="s">
        <v>2362</v>
      </c>
      <c r="B540" s="7"/>
    </row>
    <row r="541" spans="1:2">
      <c r="A541" s="19" t="s">
        <v>825</v>
      </c>
      <c r="B541" s="7"/>
    </row>
    <row r="542" spans="1:2">
      <c r="A542" s="19" t="s">
        <v>1348</v>
      </c>
      <c r="B542" s="7"/>
    </row>
    <row r="543" spans="1:2">
      <c r="A543" s="19" t="s">
        <v>385</v>
      </c>
      <c r="B543" s="7"/>
    </row>
    <row r="544" spans="1:2">
      <c r="A544" s="19" t="s">
        <v>3781</v>
      </c>
      <c r="B544" s="7"/>
    </row>
    <row r="545" spans="1:2">
      <c r="A545" s="19" t="s">
        <v>2055</v>
      </c>
      <c r="B545" s="7"/>
    </row>
    <row r="546" spans="1:2">
      <c r="A546" s="19" t="s">
        <v>3136</v>
      </c>
      <c r="B546" s="7"/>
    </row>
    <row r="547" spans="1:2">
      <c r="A547" s="19" t="s">
        <v>1836</v>
      </c>
      <c r="B547" s="7"/>
    </row>
    <row r="548" spans="1:2">
      <c r="A548" s="19" t="s">
        <v>196</v>
      </c>
      <c r="B548" s="7"/>
    </row>
    <row r="549" spans="1:2">
      <c r="A549" s="19" t="s">
        <v>1837</v>
      </c>
      <c r="B549" s="7"/>
    </row>
    <row r="550" spans="1:2">
      <c r="A550" s="19" t="s">
        <v>1047</v>
      </c>
      <c r="B550" s="7"/>
    </row>
    <row r="551" spans="1:2">
      <c r="A551" s="19" t="s">
        <v>2627</v>
      </c>
      <c r="B551" s="7"/>
    </row>
    <row r="552" spans="1:2">
      <c r="A552" s="19" t="s">
        <v>881</v>
      </c>
      <c r="B552" s="7"/>
    </row>
    <row r="553" spans="1:2">
      <c r="A553" s="19" t="s">
        <v>268</v>
      </c>
      <c r="B553" s="7"/>
    </row>
    <row r="554" spans="1:2">
      <c r="A554" s="19" t="s">
        <v>615</v>
      </c>
      <c r="B554" s="7"/>
    </row>
    <row r="555" spans="1:2">
      <c r="A555" s="19" t="s">
        <v>3289</v>
      </c>
      <c r="B555" s="7"/>
    </row>
    <row r="556" spans="1:2">
      <c r="A556" s="19" t="s">
        <v>1334</v>
      </c>
      <c r="B556" s="7"/>
    </row>
    <row r="557" spans="1:2">
      <c r="A557" s="19" t="s">
        <v>3854</v>
      </c>
      <c r="B557" s="7"/>
    </row>
    <row r="558" spans="1:2">
      <c r="A558" s="19" t="s">
        <v>2452</v>
      </c>
      <c r="B558" s="7"/>
    </row>
    <row r="559" spans="1:2">
      <c r="A559" s="19" t="s">
        <v>2401</v>
      </c>
      <c r="B559" s="7"/>
    </row>
    <row r="560" spans="1:2">
      <c r="A560" s="19" t="s">
        <v>672</v>
      </c>
      <c r="B560" s="7"/>
    </row>
    <row r="561" spans="1:2">
      <c r="A561" s="19" t="s">
        <v>3573</v>
      </c>
      <c r="B561" s="7"/>
    </row>
    <row r="562" spans="1:2">
      <c r="A562" s="19" t="s">
        <v>97</v>
      </c>
      <c r="B562" s="7"/>
    </row>
    <row r="563" spans="1:2">
      <c r="A563" s="19" t="s">
        <v>1866</v>
      </c>
      <c r="B563" s="7"/>
    </row>
    <row r="564" spans="1:2">
      <c r="A564" s="19" t="s">
        <v>3936</v>
      </c>
      <c r="B564" s="7"/>
    </row>
    <row r="565" spans="1:2">
      <c r="A565" s="19" t="s">
        <v>2816</v>
      </c>
      <c r="B565" s="7"/>
    </row>
    <row r="566" spans="1:2">
      <c r="A566" s="19" t="s">
        <v>1435</v>
      </c>
      <c r="B566" s="7"/>
    </row>
    <row r="567" spans="1:2">
      <c r="A567" s="19" t="s">
        <v>2114</v>
      </c>
      <c r="B567" s="7"/>
    </row>
    <row r="568" spans="1:2">
      <c r="A568" s="19" t="s">
        <v>510</v>
      </c>
      <c r="B568" s="7"/>
    </row>
    <row r="569" spans="1:2">
      <c r="A569" s="19" t="s">
        <v>2231</v>
      </c>
      <c r="B569" s="7"/>
    </row>
    <row r="570" spans="1:2">
      <c r="A570" s="19" t="s">
        <v>2523</v>
      </c>
      <c r="B570" s="7"/>
    </row>
    <row r="571" spans="1:2">
      <c r="A571" s="19" t="s">
        <v>3315</v>
      </c>
      <c r="B571" s="7"/>
    </row>
    <row r="572" spans="1:2">
      <c r="A572" s="19" t="s">
        <v>1084</v>
      </c>
      <c r="B572" s="7"/>
    </row>
    <row r="573" spans="1:2">
      <c r="A573" s="19" t="s">
        <v>1812</v>
      </c>
      <c r="B573" s="7"/>
    </row>
    <row r="574" spans="1:2">
      <c r="A574" s="19" t="s">
        <v>1316</v>
      </c>
      <c r="B574" s="7"/>
    </row>
    <row r="575" spans="1:2">
      <c r="A575" s="19" t="s">
        <v>3036</v>
      </c>
      <c r="B575" s="7"/>
    </row>
    <row r="576" spans="1:2">
      <c r="A576" s="19" t="s">
        <v>2591</v>
      </c>
      <c r="B576" s="7"/>
    </row>
    <row r="577" spans="1:2">
      <c r="A577" s="19" t="s">
        <v>2147</v>
      </c>
      <c r="B577" s="7"/>
    </row>
    <row r="578" spans="1:2">
      <c r="A578" s="19" t="s">
        <v>1862</v>
      </c>
      <c r="B578" s="7"/>
    </row>
    <row r="579" spans="1:2">
      <c r="A579" s="19" t="s">
        <v>1962</v>
      </c>
      <c r="B579" s="7"/>
    </row>
    <row r="580" spans="1:2">
      <c r="A580" s="19" t="s">
        <v>2143</v>
      </c>
      <c r="B580" s="7"/>
    </row>
    <row r="581" spans="1:2">
      <c r="A581" s="19" t="s">
        <v>2109</v>
      </c>
      <c r="B581" s="7"/>
    </row>
    <row r="582" spans="1:2">
      <c r="A582" s="19" t="s">
        <v>1978</v>
      </c>
      <c r="B582" s="7"/>
    </row>
    <row r="583" spans="1:2">
      <c r="A583" s="19" t="s">
        <v>1012</v>
      </c>
      <c r="B583" s="7"/>
    </row>
    <row r="584" spans="1:2">
      <c r="A584" s="19" t="s">
        <v>1384</v>
      </c>
      <c r="B584" s="7"/>
    </row>
    <row r="585" spans="1:2">
      <c r="A585" s="19" t="s">
        <v>1022</v>
      </c>
      <c r="B585" s="7"/>
    </row>
    <row r="586" spans="1:2">
      <c r="A586" s="19" t="s">
        <v>2473</v>
      </c>
      <c r="B586" s="7"/>
    </row>
    <row r="587" spans="1:2">
      <c r="A587" s="19" t="s">
        <v>3905</v>
      </c>
      <c r="B587" s="7"/>
    </row>
    <row r="588" spans="1:2">
      <c r="A588" s="19" t="s">
        <v>3882</v>
      </c>
      <c r="B588" s="7"/>
    </row>
    <row r="589" spans="1:2">
      <c r="A589" s="19" t="s">
        <v>1017</v>
      </c>
      <c r="B589" s="7"/>
    </row>
    <row r="590" spans="1:2">
      <c r="A590" s="19" t="s">
        <v>2507</v>
      </c>
      <c r="B590" s="7"/>
    </row>
    <row r="591" spans="1:2">
      <c r="A591" s="19" t="s">
        <v>1367</v>
      </c>
      <c r="B591" s="7"/>
    </row>
    <row r="592" spans="1:2">
      <c r="A592" s="19" t="s">
        <v>1666</v>
      </c>
      <c r="B592" s="7"/>
    </row>
    <row r="593" spans="1:2">
      <c r="A593" s="19" t="s">
        <v>1598</v>
      </c>
      <c r="B593" s="7"/>
    </row>
    <row r="594" spans="1:2">
      <c r="A594" s="19" t="s">
        <v>1230</v>
      </c>
      <c r="B594" s="7"/>
    </row>
    <row r="595" spans="1:2">
      <c r="A595" s="19" t="s">
        <v>2350</v>
      </c>
      <c r="B595" s="7"/>
    </row>
    <row r="596" spans="1:2">
      <c r="A596" s="19" t="s">
        <v>3107</v>
      </c>
      <c r="B596" s="7"/>
    </row>
    <row r="597" spans="1:2">
      <c r="A597" s="19" t="s">
        <v>1576</v>
      </c>
      <c r="B597" s="7"/>
    </row>
    <row r="598" spans="1:2">
      <c r="A598" s="19" t="s">
        <v>3660</v>
      </c>
      <c r="B598" s="7"/>
    </row>
    <row r="599" spans="1:2">
      <c r="A599" s="19" t="s">
        <v>996</v>
      </c>
      <c r="B599" s="7"/>
    </row>
    <row r="600" spans="1:2">
      <c r="A600" s="19" t="s">
        <v>1215</v>
      </c>
      <c r="B600" s="7"/>
    </row>
    <row r="601" spans="1:2">
      <c r="A601" s="19" t="s">
        <v>2415</v>
      </c>
      <c r="B601" s="7"/>
    </row>
    <row r="602" spans="1:2">
      <c r="A602" s="19" t="s">
        <v>2613</v>
      </c>
      <c r="B602" s="7"/>
    </row>
    <row r="603" spans="1:2">
      <c r="A603" s="19" t="s">
        <v>3676</v>
      </c>
      <c r="B603" s="7"/>
    </row>
    <row r="604" spans="1:2">
      <c r="A604" s="19" t="s">
        <v>1570</v>
      </c>
      <c r="B604" s="7"/>
    </row>
    <row r="605" spans="1:2">
      <c r="A605" s="19" t="s">
        <v>762</v>
      </c>
      <c r="B605" s="7"/>
    </row>
    <row r="606" spans="1:2">
      <c r="A606" s="19" t="s">
        <v>719</v>
      </c>
      <c r="B606" s="7"/>
    </row>
    <row r="607" spans="1:2">
      <c r="A607" s="19" t="s">
        <v>2547</v>
      </c>
      <c r="B607" s="7"/>
    </row>
    <row r="608" spans="1:2">
      <c r="A608" s="19" t="s">
        <v>3215</v>
      </c>
      <c r="B608" s="7"/>
    </row>
    <row r="609" spans="1:2">
      <c r="A609" s="19" t="s">
        <v>3219</v>
      </c>
      <c r="B609" s="7"/>
    </row>
    <row r="610" spans="1:2">
      <c r="A610" s="19" t="s">
        <v>1658</v>
      </c>
      <c r="B610" s="7"/>
    </row>
    <row r="611" spans="1:2">
      <c r="A611" s="19" t="s">
        <v>891</v>
      </c>
      <c r="B611" s="7"/>
    </row>
    <row r="612" spans="1:2">
      <c r="A612" s="19" t="s">
        <v>1343</v>
      </c>
      <c r="B612" s="7"/>
    </row>
    <row r="613" spans="1:2">
      <c r="A613" s="19" t="s">
        <v>3103</v>
      </c>
      <c r="B613" s="7"/>
    </row>
    <row r="614" spans="1:2">
      <c r="A614" s="19" t="s">
        <v>2636</v>
      </c>
      <c r="B614" s="7"/>
    </row>
    <row r="615" spans="1:2">
      <c r="A615" s="19" t="s">
        <v>1469</v>
      </c>
      <c r="B615" s="7"/>
    </row>
    <row r="616" spans="1:2">
      <c r="A616" s="19" t="s">
        <v>1859</v>
      </c>
      <c r="B616" s="7"/>
    </row>
    <row r="617" spans="1:2">
      <c r="A617" s="19" t="s">
        <v>3457</v>
      </c>
      <c r="B617" s="7"/>
    </row>
    <row r="618" spans="1:2">
      <c r="A618" s="19" t="s">
        <v>921</v>
      </c>
      <c r="B618" s="7"/>
    </row>
    <row r="619" spans="1:2">
      <c r="A619" s="19" t="s">
        <v>454</v>
      </c>
      <c r="B619" s="7"/>
    </row>
    <row r="620" spans="1:2">
      <c r="A620" s="19" t="s">
        <v>2033</v>
      </c>
      <c r="B620" s="7"/>
    </row>
    <row r="621" spans="1:2">
      <c r="A621" s="19" t="s">
        <v>766</v>
      </c>
      <c r="B621" s="7"/>
    </row>
    <row r="622" spans="1:2">
      <c r="A622" s="19" t="s">
        <v>4006</v>
      </c>
      <c r="B622" s="7"/>
    </row>
    <row r="623" spans="1:2">
      <c r="A623" s="19" t="s">
        <v>3716</v>
      </c>
      <c r="B623" s="7"/>
    </row>
    <row r="624" spans="1:2">
      <c r="A624" s="19" t="s">
        <v>2687</v>
      </c>
      <c r="B624" s="7"/>
    </row>
    <row r="625" spans="1:2">
      <c r="A625" s="19" t="s">
        <v>2424</v>
      </c>
      <c r="B625" s="7"/>
    </row>
    <row r="626" spans="1:2">
      <c r="A626" s="19" t="s">
        <v>930</v>
      </c>
      <c r="B626" s="7"/>
    </row>
    <row r="627" spans="1:2">
      <c r="A627" s="19" t="s">
        <v>1898</v>
      </c>
      <c r="B627" s="7"/>
    </row>
    <row r="628" spans="1:2">
      <c r="A628" s="19" t="s">
        <v>1357</v>
      </c>
      <c r="B628" s="7"/>
    </row>
    <row r="629" spans="1:2">
      <c r="A629" s="19" t="s">
        <v>498</v>
      </c>
      <c r="B629" s="7"/>
    </row>
    <row r="630" spans="1:2">
      <c r="A630" s="19" t="s">
        <v>2553</v>
      </c>
      <c r="B630" s="7"/>
    </row>
    <row r="631" spans="1:2">
      <c r="A631" s="19" t="s">
        <v>3689</v>
      </c>
      <c r="B631" s="7"/>
    </row>
    <row r="632" spans="1:2">
      <c r="A632" s="19" t="s">
        <v>308</v>
      </c>
      <c r="B632" s="7"/>
    </row>
    <row r="633" spans="1:2">
      <c r="A633" s="19" t="s">
        <v>139</v>
      </c>
      <c r="B633" s="7"/>
    </row>
    <row r="634" spans="1:2">
      <c r="A634" s="19" t="s">
        <v>1626</v>
      </c>
      <c r="B634" s="7"/>
    </row>
    <row r="635" spans="1:2">
      <c r="A635" s="19" t="s">
        <v>1404</v>
      </c>
      <c r="B635" s="7"/>
    </row>
    <row r="636" spans="1:2">
      <c r="A636" s="19" t="s">
        <v>1719</v>
      </c>
      <c r="B636" s="7"/>
    </row>
    <row r="637" spans="1:2">
      <c r="A637" s="19" t="s">
        <v>22</v>
      </c>
      <c r="B637" s="7"/>
    </row>
    <row r="638" spans="1:2">
      <c r="A638" s="19" t="s">
        <v>2152</v>
      </c>
      <c r="B638" s="7"/>
    </row>
    <row r="639" spans="1:2">
      <c r="A639" s="19" t="s">
        <v>3479</v>
      </c>
      <c r="B639" s="7"/>
    </row>
    <row r="640" spans="1:2">
      <c r="A640" s="19" t="s">
        <v>3960</v>
      </c>
      <c r="B640" s="7"/>
    </row>
    <row r="641" spans="1:2">
      <c r="A641" s="19" t="s">
        <v>183</v>
      </c>
      <c r="B641" s="7"/>
    </row>
    <row r="642" spans="1:2">
      <c r="A642" s="19" t="s">
        <v>1775</v>
      </c>
      <c r="B642" s="7"/>
    </row>
    <row r="643" spans="1:2">
      <c r="A643" s="19" t="s">
        <v>3785</v>
      </c>
      <c r="B643" s="7"/>
    </row>
    <row r="644" spans="1:2">
      <c r="A644" s="19" t="s">
        <v>3066</v>
      </c>
      <c r="B644" s="7"/>
    </row>
    <row r="645" spans="1:2">
      <c r="A645" s="19" t="s">
        <v>1099</v>
      </c>
      <c r="B645" s="7"/>
    </row>
    <row r="646" spans="1:2">
      <c r="A646" s="19" t="s">
        <v>1832</v>
      </c>
      <c r="B646" s="7"/>
    </row>
    <row r="647" spans="1:2">
      <c r="A647" s="19" t="s">
        <v>1263</v>
      </c>
      <c r="B647" s="7"/>
    </row>
    <row r="648" spans="1:2">
      <c r="A648" s="19" t="s">
        <v>430</v>
      </c>
      <c r="B648" s="7"/>
    </row>
    <row r="649" spans="1:2">
      <c r="A649" s="19" t="s">
        <v>1491</v>
      </c>
      <c r="B649" s="7"/>
    </row>
    <row r="650" spans="1:2">
      <c r="A650" s="19" t="s">
        <v>1945</v>
      </c>
      <c r="B650" s="7"/>
    </row>
    <row r="651" spans="1:2">
      <c r="A651" s="19" t="s">
        <v>2892</v>
      </c>
      <c r="B651" s="7"/>
    </row>
    <row r="652" spans="1:2">
      <c r="A652" s="19" t="s">
        <v>1053</v>
      </c>
      <c r="B652" s="7"/>
    </row>
    <row r="653" spans="1:2">
      <c r="A653" s="19" t="s">
        <v>1688</v>
      </c>
      <c r="B653" s="7"/>
    </row>
    <row r="654" spans="1:2">
      <c r="A654" s="19" t="s">
        <v>1992</v>
      </c>
      <c r="B654" s="7"/>
    </row>
    <row r="655" spans="1:2">
      <c r="A655" s="19" t="s">
        <v>2115</v>
      </c>
      <c r="B655" s="7"/>
    </row>
    <row r="656" spans="1:2">
      <c r="A656" s="19" t="s">
        <v>3265</v>
      </c>
      <c r="B656" s="7"/>
    </row>
    <row r="657" spans="1:2">
      <c r="A657" s="19" t="s">
        <v>1058</v>
      </c>
      <c r="B657" s="7"/>
    </row>
    <row r="658" spans="1:2">
      <c r="A658" s="19" t="s">
        <v>1885</v>
      </c>
      <c r="B658" s="7"/>
    </row>
    <row r="659" spans="1:2">
      <c r="A659" s="19" t="s">
        <v>2370</v>
      </c>
      <c r="B659" s="7"/>
    </row>
    <row r="660" spans="1:2">
      <c r="A660" s="19" t="s">
        <v>478</v>
      </c>
      <c r="B660" s="7"/>
    </row>
    <row r="661" spans="1:2">
      <c r="A661" s="19" t="s">
        <v>258</v>
      </c>
      <c r="B661" s="7"/>
    </row>
    <row r="662" spans="1:2">
      <c r="A662" s="19" t="s">
        <v>1816</v>
      </c>
      <c r="B662" s="7"/>
    </row>
    <row r="663" spans="1:2">
      <c r="A663" s="19" t="s">
        <v>3536</v>
      </c>
      <c r="B663" s="7"/>
    </row>
    <row r="664" spans="1:2">
      <c r="A664" s="19" t="s">
        <v>2343</v>
      </c>
      <c r="B664" s="7"/>
    </row>
    <row r="665" spans="1:2">
      <c r="A665" s="19" t="s">
        <v>184</v>
      </c>
      <c r="B665" s="7"/>
    </row>
    <row r="666" spans="1:2">
      <c r="A666" s="19" t="s">
        <v>1553</v>
      </c>
      <c r="B666" s="7"/>
    </row>
    <row r="667" spans="1:2">
      <c r="A667" s="19" t="s">
        <v>854</v>
      </c>
      <c r="B667" s="7"/>
    </row>
    <row r="668" spans="1:2">
      <c r="A668" s="19" t="s">
        <v>1531</v>
      </c>
      <c r="B668" s="7"/>
    </row>
    <row r="669" spans="1:2">
      <c r="A669" s="19" t="s">
        <v>2772</v>
      </c>
      <c r="B669" s="7"/>
    </row>
    <row r="670" spans="1:2">
      <c r="A670" s="19" t="s">
        <v>3625</v>
      </c>
      <c r="B670" s="7"/>
    </row>
    <row r="671" spans="1:2">
      <c r="A671" s="19" t="s">
        <v>1767</v>
      </c>
      <c r="B671" s="7"/>
    </row>
    <row r="672" spans="1:2">
      <c r="A672" s="19" t="s">
        <v>2811</v>
      </c>
      <c r="B672" s="7"/>
    </row>
    <row r="673" spans="1:2">
      <c r="A673" s="19" t="s">
        <v>640</v>
      </c>
      <c r="B673" s="7"/>
    </row>
    <row r="674" spans="1:2">
      <c r="A674" s="19" t="s">
        <v>2875</v>
      </c>
      <c r="B674" s="7"/>
    </row>
    <row r="675" spans="1:2">
      <c r="A675" s="19" t="s">
        <v>220</v>
      </c>
      <c r="B675" s="7"/>
    </row>
    <row r="676" spans="1:2">
      <c r="A676" s="19" t="s">
        <v>824</v>
      </c>
      <c r="B676" s="7"/>
    </row>
    <row r="677" spans="1:2">
      <c r="A677" s="19" t="s">
        <v>358</v>
      </c>
      <c r="B677" s="7"/>
    </row>
    <row r="678" spans="1:2">
      <c r="A678" s="19" t="s">
        <v>1521</v>
      </c>
      <c r="B678" s="7"/>
    </row>
    <row r="679" spans="1:2">
      <c r="A679" s="19" t="s">
        <v>3798</v>
      </c>
      <c r="B679" s="7"/>
    </row>
    <row r="680" spans="1:2">
      <c r="A680" s="19" t="s">
        <v>3461</v>
      </c>
      <c r="B680" s="7"/>
    </row>
    <row r="681" spans="1:2">
      <c r="A681" s="19" t="s">
        <v>190</v>
      </c>
      <c r="B681" s="7"/>
    </row>
    <row r="682" spans="1:2">
      <c r="A682" s="19" t="s">
        <v>2217</v>
      </c>
      <c r="B682" s="7"/>
    </row>
    <row r="683" spans="1:2">
      <c r="A683" s="19" t="s">
        <v>1210</v>
      </c>
      <c r="B683" s="7"/>
    </row>
    <row r="684" spans="1:2">
      <c r="A684" s="19" t="s">
        <v>3306</v>
      </c>
      <c r="B684" s="7"/>
    </row>
    <row r="685" spans="1:2">
      <c r="A685" s="19" t="s">
        <v>3310</v>
      </c>
      <c r="B685" s="7"/>
    </row>
    <row r="686" spans="1:2">
      <c r="A686" s="19" t="s">
        <v>1729</v>
      </c>
      <c r="B686" s="7"/>
    </row>
    <row r="687" spans="1:2">
      <c r="A687" s="19" t="s">
        <v>3416</v>
      </c>
      <c r="B687" s="7"/>
    </row>
    <row r="688" spans="1:2">
      <c r="A688" s="19" t="s">
        <v>724</v>
      </c>
      <c r="B688" s="7"/>
    </row>
    <row r="689" spans="1:2">
      <c r="A689" s="19" t="s">
        <v>3194</v>
      </c>
      <c r="B689" s="7"/>
    </row>
    <row r="690" spans="1:2">
      <c r="A690" s="19" t="s">
        <v>1621</v>
      </c>
      <c r="B690" s="7"/>
    </row>
    <row r="691" spans="1:2">
      <c r="A691" s="19" t="s">
        <v>2577</v>
      </c>
      <c r="B691" s="7"/>
    </row>
    <row r="692" spans="1:2">
      <c r="A692" s="19" t="s">
        <v>1405</v>
      </c>
      <c r="B692" s="7"/>
    </row>
    <row r="693" spans="1:2">
      <c r="A693" s="19" t="s">
        <v>2013</v>
      </c>
      <c r="B693" s="7"/>
    </row>
    <row r="694" spans="1:2">
      <c r="A694" s="19" t="s">
        <v>1516</v>
      </c>
      <c r="B694" s="7"/>
    </row>
    <row r="695" spans="1:2">
      <c r="A695" s="19" t="s">
        <v>1645</v>
      </c>
      <c r="B695" s="7"/>
    </row>
    <row r="696" spans="1:2">
      <c r="A696" s="19" t="s">
        <v>3226</v>
      </c>
      <c r="B696" s="7"/>
    </row>
    <row r="697" spans="1:2">
      <c r="A697" s="19" t="s">
        <v>1320</v>
      </c>
      <c r="B697" s="7"/>
    </row>
    <row r="698" spans="1:2">
      <c r="A698" s="19" t="s">
        <v>738</v>
      </c>
      <c r="B698" s="7"/>
    </row>
    <row r="699" spans="1:2">
      <c r="A699" s="19" t="s">
        <v>1449</v>
      </c>
      <c r="B699" s="7"/>
    </row>
    <row r="700" spans="1:2">
      <c r="A700" s="19" t="s">
        <v>2266</v>
      </c>
      <c r="B700" s="7"/>
    </row>
    <row r="701" spans="1:2">
      <c r="A701" s="19" t="s">
        <v>3344</v>
      </c>
      <c r="B701" s="7"/>
    </row>
    <row r="702" spans="1:2">
      <c r="A702" s="19" t="s">
        <v>1162</v>
      </c>
      <c r="B702" s="7"/>
    </row>
    <row r="703" spans="1:2">
      <c r="A703" s="19" t="s">
        <v>2870</v>
      </c>
      <c r="B703" s="7"/>
    </row>
    <row r="704" spans="1:2">
      <c r="A704" s="19" t="s">
        <v>3817</v>
      </c>
      <c r="B704" s="7"/>
    </row>
    <row r="705" spans="1:2">
      <c r="A705" s="19" t="s">
        <v>2608</v>
      </c>
      <c r="B705" s="7"/>
    </row>
    <row r="706" spans="1:2">
      <c r="A706" s="19" t="s">
        <v>4036</v>
      </c>
      <c r="B706" s="7"/>
    </row>
    <row r="707" spans="1:2">
      <c r="A707" s="19" t="s">
        <v>3018</v>
      </c>
      <c r="B707" s="7"/>
    </row>
    <row r="708" spans="1:2">
      <c r="A708" s="19" t="s">
        <v>1079</v>
      </c>
      <c r="B708" s="7"/>
    </row>
    <row r="709" spans="1:2">
      <c r="A709" s="19" t="s">
        <v>3999</v>
      </c>
      <c r="B709" s="7"/>
    </row>
    <row r="710" spans="1:2">
      <c r="A710" s="19" t="s">
        <v>2099</v>
      </c>
      <c r="B710" s="7"/>
    </row>
    <row r="711" spans="1:2">
      <c r="A711" s="19" t="s">
        <v>2069</v>
      </c>
      <c r="B711" s="7"/>
    </row>
    <row r="712" spans="1:2">
      <c r="A712" s="19" t="s">
        <v>363</v>
      </c>
      <c r="B712" s="7"/>
    </row>
    <row r="713" spans="1:2">
      <c r="A713" s="19" t="s">
        <v>455</v>
      </c>
      <c r="B713" s="7"/>
    </row>
    <row r="714" spans="1:2">
      <c r="A714" s="19" t="s">
        <v>145</v>
      </c>
      <c r="B714" s="7"/>
    </row>
    <row r="715" spans="1:2">
      <c r="A715" s="19" t="s">
        <v>2003</v>
      </c>
      <c r="B715" s="7"/>
    </row>
    <row r="716" spans="1:2">
      <c r="A716" s="19" t="s">
        <v>844</v>
      </c>
      <c r="B716" s="7"/>
    </row>
    <row r="717" spans="1:2">
      <c r="A717" s="19" t="s">
        <v>1789</v>
      </c>
      <c r="B717" s="7"/>
    </row>
    <row r="718" spans="1:2">
      <c r="A718" s="19" t="s">
        <v>1682</v>
      </c>
      <c r="B718" s="7"/>
    </row>
    <row r="719" spans="1:2">
      <c r="A719" s="19" t="s">
        <v>2089</v>
      </c>
      <c r="B719" s="7"/>
    </row>
    <row r="720" spans="1:2">
      <c r="A720" s="19" t="s">
        <v>866</v>
      </c>
      <c r="B720" s="7"/>
    </row>
    <row r="721" spans="1:2">
      <c r="A721" s="19" t="s">
        <v>1590</v>
      </c>
      <c r="B721" s="7"/>
    </row>
    <row r="722" spans="1:2">
      <c r="A722" s="19" t="s">
        <v>3145</v>
      </c>
      <c r="B722" s="7"/>
    </row>
    <row r="723" spans="1:2">
      <c r="A723" s="19" t="s">
        <v>997</v>
      </c>
      <c r="B723" s="7"/>
    </row>
    <row r="724" spans="1:2">
      <c r="A724" s="19" t="s">
        <v>1758</v>
      </c>
      <c r="B724" s="7"/>
    </row>
    <row r="725" spans="1:2">
      <c r="A725" s="19" t="s">
        <v>4022</v>
      </c>
      <c r="B725" s="7"/>
    </row>
    <row r="726" spans="1:2">
      <c r="A726" s="19" t="s">
        <v>626</v>
      </c>
      <c r="B726" s="7"/>
    </row>
    <row r="727" spans="1:2">
      <c r="A727" s="19" t="s">
        <v>1501</v>
      </c>
      <c r="B727" s="7"/>
    </row>
    <row r="728" spans="1:2">
      <c r="A728" s="19" t="s">
        <v>1517</v>
      </c>
      <c r="B728" s="7"/>
    </row>
    <row r="729" spans="1:2">
      <c r="A729" s="19" t="s">
        <v>1089</v>
      </c>
      <c r="B729" s="7"/>
    </row>
    <row r="730" spans="1:2">
      <c r="A730" s="19" t="s">
        <v>1018</v>
      </c>
      <c r="B730" s="7"/>
    </row>
    <row r="731" spans="1:2">
      <c r="A731" s="19" t="s">
        <v>954</v>
      </c>
      <c r="B731" s="7"/>
    </row>
    <row r="732" spans="1:2">
      <c r="A732" s="19" t="s">
        <v>1474</v>
      </c>
      <c r="B732" s="7"/>
    </row>
    <row r="733" spans="1:2">
      <c r="A733" s="19" t="s">
        <v>81</v>
      </c>
      <c r="B733" s="7"/>
    </row>
    <row r="734" spans="1:2">
      <c r="A734" s="19" t="s">
        <v>2396</v>
      </c>
      <c r="B734" s="7"/>
    </row>
    <row r="735" spans="1:2">
      <c r="A735" s="19" t="s">
        <v>2302</v>
      </c>
      <c r="B735" s="7"/>
    </row>
    <row r="736" spans="1:2">
      <c r="A736" s="19" t="s">
        <v>3523</v>
      </c>
      <c r="B736" s="7"/>
    </row>
    <row r="737" spans="1:2">
      <c r="A737" s="19" t="s">
        <v>58</v>
      </c>
      <c r="B737" s="7"/>
    </row>
    <row r="738" spans="1:2">
      <c r="A738" s="19" t="s">
        <v>2420</v>
      </c>
      <c r="B738" s="7"/>
    </row>
    <row r="739" spans="1:2">
      <c r="A739" s="19" t="s">
        <v>69</v>
      </c>
      <c r="B739" s="7"/>
    </row>
    <row r="740" spans="1:2">
      <c r="A740" s="19" t="s">
        <v>274</v>
      </c>
      <c r="B740" s="7"/>
    </row>
    <row r="741" spans="1:2">
      <c r="A741" s="19" t="s">
        <v>630</v>
      </c>
      <c r="B741" s="7"/>
    </row>
    <row r="742" spans="1:2">
      <c r="A742" s="19" t="s">
        <v>3757</v>
      </c>
      <c r="B742" s="7"/>
    </row>
    <row r="743" spans="1:2">
      <c r="A743" s="19" t="s">
        <v>226</v>
      </c>
      <c r="B743" s="7"/>
    </row>
    <row r="744" spans="1:2">
      <c r="A744" s="19" t="s">
        <v>2279</v>
      </c>
      <c r="B744" s="7"/>
    </row>
    <row r="745" spans="1:2">
      <c r="A745" s="19" t="s">
        <v>2955</v>
      </c>
      <c r="B745" s="7"/>
    </row>
    <row r="746" spans="1:2">
      <c r="A746" s="19" t="s">
        <v>468</v>
      </c>
      <c r="B746" s="7"/>
    </row>
    <row r="747" spans="1:2">
      <c r="A747" s="19" t="s">
        <v>273</v>
      </c>
      <c r="B747" s="7"/>
    </row>
    <row r="748" spans="1:2">
      <c r="A748" s="19" t="s">
        <v>3543</v>
      </c>
      <c r="B748" s="7"/>
    </row>
    <row r="749" spans="1:2">
      <c r="A749" s="19" t="s">
        <v>283</v>
      </c>
      <c r="B749" s="7"/>
    </row>
    <row r="750" spans="1:2">
      <c r="A750" s="19" t="s">
        <v>1616</v>
      </c>
      <c r="B750" s="7"/>
    </row>
    <row r="751" spans="1:2">
      <c r="A751" s="19" t="s">
        <v>1876</v>
      </c>
      <c r="B751" s="7"/>
    </row>
    <row r="752" spans="1:2">
      <c r="A752" s="19" t="s">
        <v>2124</v>
      </c>
      <c r="B752" s="7"/>
    </row>
    <row r="753" spans="1:2">
      <c r="A753" s="19" t="s">
        <v>343</v>
      </c>
      <c r="B753" s="7"/>
    </row>
    <row r="754" spans="1:2">
      <c r="A754" s="19" t="s">
        <v>819</v>
      </c>
      <c r="B754" s="7"/>
    </row>
    <row r="755" spans="1:2">
      <c r="A755" s="19" t="s">
        <v>801</v>
      </c>
      <c r="B755" s="7"/>
    </row>
    <row r="756" spans="1:2">
      <c r="A756" s="19" t="s">
        <v>374</v>
      </c>
      <c r="B756" s="7"/>
    </row>
    <row r="757" spans="1:2">
      <c r="A757" s="19" t="s">
        <v>2537</v>
      </c>
      <c r="B757" s="7"/>
    </row>
    <row r="758" spans="1:2">
      <c r="A758" s="19" t="s">
        <v>415</v>
      </c>
      <c r="B758" s="7"/>
    </row>
    <row r="759" spans="1:2">
      <c r="A759" s="19" t="s">
        <v>2257</v>
      </c>
      <c r="B759" s="7"/>
    </row>
    <row r="760" spans="1:2">
      <c r="A760" s="19" t="s">
        <v>834</v>
      </c>
      <c r="B760" s="7"/>
    </row>
    <row r="761" spans="1:2">
      <c r="A761" s="19" t="s">
        <v>1622</v>
      </c>
      <c r="B761" s="7"/>
    </row>
    <row r="762" spans="1:2">
      <c r="A762" s="19" t="s">
        <v>2392</v>
      </c>
      <c r="B762" s="7"/>
    </row>
    <row r="763" spans="1:2">
      <c r="A763" s="19" t="s">
        <v>3474</v>
      </c>
      <c r="B763" s="7"/>
    </row>
    <row r="764" spans="1:2">
      <c r="A764" s="19" t="s">
        <v>2104</v>
      </c>
      <c r="B764" s="7"/>
    </row>
    <row r="765" spans="1:2">
      <c r="A765" s="19" t="s">
        <v>2165</v>
      </c>
      <c r="B765" s="7"/>
    </row>
    <row r="766" spans="1:2">
      <c r="A766" s="19" t="s">
        <v>3664</v>
      </c>
      <c r="B766" s="7"/>
    </row>
    <row r="767" spans="1:2">
      <c r="A767" s="19" t="s">
        <v>973</v>
      </c>
      <c r="B767" s="7"/>
    </row>
    <row r="768" spans="1:2">
      <c r="A768" s="19" t="s">
        <v>1649</v>
      </c>
      <c r="B768" s="7"/>
    </row>
    <row r="769" spans="1:2">
      <c r="A769" s="19" t="s">
        <v>2469</v>
      </c>
      <c r="B769" s="7"/>
    </row>
    <row r="770" spans="1:2">
      <c r="A770" s="19" t="s">
        <v>369</v>
      </c>
      <c r="B770" s="7"/>
    </row>
    <row r="771" spans="1:2">
      <c r="A771" s="19" t="s">
        <v>3643</v>
      </c>
      <c r="B771" s="7"/>
    </row>
    <row r="772" spans="1:2">
      <c r="A772" s="19" t="s">
        <v>3859</v>
      </c>
      <c r="B772" s="7"/>
    </row>
    <row r="773" spans="1:2">
      <c r="A773" s="19" t="s">
        <v>791</v>
      </c>
      <c r="B773" s="7"/>
    </row>
    <row r="774" spans="1:2">
      <c r="A774" s="19" t="s">
        <v>1871</v>
      </c>
      <c r="B774" s="7"/>
    </row>
    <row r="775" spans="1:2">
      <c r="A775" s="21">
        <v>45494</v>
      </c>
      <c r="B775" s="7">
        <v>19049.28</v>
      </c>
    </row>
    <row r="776" spans="1:2">
      <c r="A776" s="19" t="s">
        <v>4152</v>
      </c>
      <c r="B776" s="7">
        <v>19049.28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33"/>
  <sheetViews>
    <sheetView zoomScale="78" zoomScaleNormal="58" workbookViewId="0">
      <selection activeCell="L2" sqref="L2"/>
    </sheetView>
  </sheetViews>
  <sheetFormatPr defaultRowHeight="15"/>
  <cols>
    <col min="1" max="1" width="16" customWidth="1"/>
    <col min="2" max="3" width="16" style="4" customWidth="1"/>
    <col min="4" max="4" width="16.5" style="4" customWidth="1"/>
    <col min="5" max="5" width="16" style="7" customWidth="1"/>
    <col min="6" max="16" width="16" customWidth="1"/>
    <col min="17" max="17" width="20.75" customWidth="1"/>
    <col min="18" max="27" width="16" customWidth="1"/>
    <col min="28" max="28" width="21" customWidth="1"/>
    <col min="29" max="29" width="19.125" customWidth="1"/>
    <col min="30" max="30" width="16.75" customWidth="1"/>
    <col min="31" max="31" width="15.875" style="10" customWidth="1"/>
    <col min="32" max="32" width="20.875" style="10" customWidth="1"/>
    <col min="33" max="33" width="16.125" style="10" customWidth="1"/>
    <col min="34" max="34" width="14.125" style="10" customWidth="1"/>
    <col min="35" max="35" width="17.375" style="10" customWidth="1"/>
  </cols>
  <sheetData>
    <row r="1" spans="1:35" ht="27.95" customHeight="1">
      <c r="A1" s="1" t="s">
        <v>0</v>
      </c>
      <c r="B1" s="3" t="s">
        <v>1</v>
      </c>
      <c r="C1" s="3" t="s">
        <v>2</v>
      </c>
      <c r="D1" s="3" t="s">
        <v>4114</v>
      </c>
      <c r="E1" s="6" t="s">
        <v>4115</v>
      </c>
      <c r="F1" s="1" t="s">
        <v>3</v>
      </c>
      <c r="G1" s="1" t="s">
        <v>4</v>
      </c>
      <c r="H1" s="1" t="s">
        <v>4112</v>
      </c>
      <c r="I1" s="1" t="s">
        <v>5</v>
      </c>
      <c r="J1" s="1" t="s">
        <v>4113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4109</v>
      </c>
      <c r="P1" s="1" t="s">
        <v>10</v>
      </c>
      <c r="Q1" s="1" t="s">
        <v>11</v>
      </c>
      <c r="R1" s="1" t="s">
        <v>12</v>
      </c>
      <c r="S1" s="1" t="s">
        <v>4110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4143</v>
      </c>
      <c r="AC1" s="1" t="s">
        <v>4144</v>
      </c>
      <c r="AD1" s="1" t="s">
        <v>4145</v>
      </c>
      <c r="AE1" s="1" t="s">
        <v>4146</v>
      </c>
      <c r="AF1" s="1" t="s">
        <v>4147</v>
      </c>
      <c r="AG1" s="1" t="s">
        <v>4148</v>
      </c>
      <c r="AH1" s="1" t="s">
        <v>4149</v>
      </c>
      <c r="AI1" s="1" t="s">
        <v>4150</v>
      </c>
    </row>
    <row r="2" spans="1:35" ht="14.25">
      <c r="A2" t="s">
        <v>21</v>
      </c>
      <c r="B2" s="5">
        <v>45494</v>
      </c>
      <c r="C2" t="s">
        <v>23</v>
      </c>
      <c r="D2" t="str">
        <f>IFERROR(C2-B2,"Invalid")</f>
        <v>Invalid</v>
      </c>
      <c r="E2" s="7" t="str">
        <f>IF(OR(D2="Invalid",D2&lt;0),"",D2)</f>
        <v/>
      </c>
      <c r="F2" t="s">
        <v>24</v>
      </c>
      <c r="G2" t="s">
        <v>25</v>
      </c>
      <c r="H2" t="str">
        <f>PROPER(TRIM(G2))</f>
        <v>Karan Malhotra</v>
      </c>
      <c r="I2" t="s">
        <v>26</v>
      </c>
      <c r="J2" t="str">
        <f>PROPER(TRIM(I2))</f>
        <v>Consumer</v>
      </c>
      <c r="K2" t="s">
        <v>27</v>
      </c>
      <c r="L2" t="s">
        <v>28</v>
      </c>
      <c r="M2" t="s">
        <v>29</v>
      </c>
      <c r="N2" t="s">
        <v>30</v>
      </c>
      <c r="O2" t="str">
        <f>TRIM(N2)</f>
        <v>Office Supplies</v>
      </c>
      <c r="P2" t="s">
        <v>31</v>
      </c>
      <c r="Q2" t="s">
        <v>32</v>
      </c>
      <c r="R2" t="s">
        <v>33</v>
      </c>
      <c r="S2" t="s">
        <v>33</v>
      </c>
      <c r="T2">
        <v>8</v>
      </c>
      <c r="U2">
        <v>2976.45</v>
      </c>
      <c r="V2">
        <v>0.2</v>
      </c>
      <c r="W2">
        <v>19049.28</v>
      </c>
      <c r="X2">
        <v>15841.89</v>
      </c>
      <c r="Y2">
        <v>3207.39</v>
      </c>
      <c r="Z2" t="s">
        <v>34</v>
      </c>
      <c r="AA2" t="s">
        <v>35</v>
      </c>
      <c r="AB2">
        <f>IF(OR(V2="",V2&lt;0,V2&gt;0.65),"Invalid",V2)</f>
        <v>0.2</v>
      </c>
      <c r="AC2">
        <f>T2*U2*(1-V2)</f>
        <v>19049.28</v>
      </c>
      <c r="AD2">
        <f>AC2-X2</f>
        <v>3207.3899999999994</v>
      </c>
      <c r="AE2" s="16">
        <f>IF(AC2=0,0,AD2/AC2)</f>
        <v>0.16837329284886357</v>
      </c>
      <c r="AF2" s="17" t="str">
        <f>E2</f>
        <v/>
      </c>
      <c r="AG2" s="16">
        <f>MONTH(B2)</f>
        <v>7</v>
      </c>
      <c r="AH2" s="16">
        <f>YEAR(B2)</f>
        <v>2024</v>
      </c>
      <c r="AI2" s="16" t="str">
        <f>IF(OR(D2="Invalid",AB2="Invalid"),"Invalid","Clean")</f>
        <v>Invalid</v>
      </c>
    </row>
    <row r="3" spans="1:35">
      <c r="A3" t="s">
        <v>36</v>
      </c>
      <c r="B3" t="s">
        <v>37</v>
      </c>
      <c r="C3" t="s">
        <v>38</v>
      </c>
      <c r="D3" t="str">
        <f>IFERROR(C3-B3,"Invalid")</f>
        <v>Invalid</v>
      </c>
      <c r="E3" s="7" t="str">
        <f>IF(OR(D3="Invalid",D3&lt;0),"",D3)</f>
        <v/>
      </c>
      <c r="F3" t="s">
        <v>39</v>
      </c>
      <c r="G3" t="s">
        <v>40</v>
      </c>
      <c r="H3" t="str">
        <f>PROPER(TRIM(G3))</f>
        <v>Mira Das</v>
      </c>
      <c r="I3" t="s">
        <v>41</v>
      </c>
      <c r="J3" t="str">
        <f>PROPER(TRIM(I3))</f>
        <v>Small Business</v>
      </c>
      <c r="K3" t="s">
        <v>42</v>
      </c>
      <c r="L3" t="s">
        <v>43</v>
      </c>
      <c r="M3" t="s">
        <v>44</v>
      </c>
      <c r="N3" t="s">
        <v>45</v>
      </c>
      <c r="O3" t="str">
        <f>TRIM(N3)</f>
        <v>Furniture</v>
      </c>
      <c r="P3" t="s">
        <v>46</v>
      </c>
      <c r="Q3" t="s">
        <v>47</v>
      </c>
      <c r="R3" t="s">
        <v>48</v>
      </c>
      <c r="S3" t="s">
        <v>48</v>
      </c>
      <c r="T3">
        <v>3</v>
      </c>
      <c r="U3">
        <v>2437.5</v>
      </c>
      <c r="V3">
        <v>0</v>
      </c>
      <c r="W3">
        <v>7312.5</v>
      </c>
      <c r="X3">
        <v>4904.7299999999996</v>
      </c>
      <c r="Y3">
        <v>2407.77</v>
      </c>
      <c r="Z3" t="s">
        <v>34</v>
      </c>
      <c r="AA3" t="s">
        <v>35</v>
      </c>
      <c r="AF3" s="10" t="str">
        <f>E3</f>
        <v/>
      </c>
    </row>
    <row r="4" spans="1:35">
      <c r="A4" t="s">
        <v>49</v>
      </c>
      <c r="B4" t="s">
        <v>50</v>
      </c>
      <c r="C4" t="s">
        <v>51</v>
      </c>
      <c r="D4">
        <f>IFERROR(C4-B4,"Invalid")</f>
        <v>-52</v>
      </c>
      <c r="E4" s="7" t="str">
        <f>IF(OR(D4="Invalid",D4&lt;0),"",D4)</f>
        <v/>
      </c>
      <c r="F4" t="s">
        <v>52</v>
      </c>
      <c r="G4" t="s">
        <v>53</v>
      </c>
      <c r="H4" t="str">
        <f>PROPER(TRIM(G4))</f>
        <v>Isha Nair</v>
      </c>
      <c r="I4" t="s">
        <v>26</v>
      </c>
      <c r="J4" t="str">
        <f>PROPER(TRIM(I4))</f>
        <v>Consumer</v>
      </c>
      <c r="K4" t="s">
        <v>42</v>
      </c>
      <c r="L4" t="s">
        <v>43</v>
      </c>
      <c r="M4" t="s">
        <v>44</v>
      </c>
      <c r="N4" t="s">
        <v>30</v>
      </c>
      <c r="O4" t="str">
        <f>TRIM(N4)</f>
        <v>Office Supplies</v>
      </c>
      <c r="P4" t="s">
        <v>54</v>
      </c>
      <c r="Q4" t="s">
        <v>55</v>
      </c>
      <c r="R4" t="s">
        <v>56</v>
      </c>
      <c r="S4" t="s">
        <v>56</v>
      </c>
      <c r="T4">
        <v>4</v>
      </c>
      <c r="U4">
        <v>1065.43</v>
      </c>
      <c r="V4">
        <v>0.55000000000000004</v>
      </c>
      <c r="W4">
        <v>4261.72</v>
      </c>
      <c r="X4">
        <v>2465.69</v>
      </c>
      <c r="Y4">
        <v>1796.03</v>
      </c>
      <c r="Z4" t="s">
        <v>34</v>
      </c>
      <c r="AA4" t="s">
        <v>35</v>
      </c>
    </row>
    <row r="5" spans="1:35">
      <c r="A5" t="s">
        <v>57</v>
      </c>
      <c r="B5" t="s">
        <v>58</v>
      </c>
      <c r="C5" t="s">
        <v>59</v>
      </c>
      <c r="D5" t="str">
        <f>IFERROR(C5-B5,"Invalid")</f>
        <v>Invalid</v>
      </c>
      <c r="E5" s="7" t="str">
        <f>IF(OR(D5="Invalid",D5&lt;0),"",D5)</f>
        <v/>
      </c>
      <c r="F5" t="s">
        <v>60</v>
      </c>
      <c r="G5" t="s">
        <v>61</v>
      </c>
      <c r="H5" t="str">
        <f>PROPER(TRIM(G5))</f>
        <v>Arjun Bose</v>
      </c>
      <c r="I5" t="s">
        <v>41</v>
      </c>
      <c r="J5" t="str">
        <f>PROPER(TRIM(I5))</f>
        <v>Small Business</v>
      </c>
      <c r="K5" t="s">
        <v>62</v>
      </c>
      <c r="L5" t="s">
        <v>63</v>
      </c>
      <c r="M5" t="s">
        <v>64</v>
      </c>
      <c r="N5" t="s">
        <v>45</v>
      </c>
      <c r="O5" t="str">
        <f>TRIM(N5)</f>
        <v>Furniture</v>
      </c>
      <c r="P5" t="s">
        <v>65</v>
      </c>
      <c r="Q5" t="s">
        <v>66</v>
      </c>
      <c r="R5" t="s">
        <v>67</v>
      </c>
      <c r="S5" t="s">
        <v>67</v>
      </c>
      <c r="T5">
        <v>6</v>
      </c>
      <c r="U5">
        <v>1848.43</v>
      </c>
      <c r="V5">
        <v>0.25</v>
      </c>
      <c r="W5">
        <v>8317.93</v>
      </c>
      <c r="X5">
        <v>6796.77</v>
      </c>
      <c r="Y5">
        <v>1521.16</v>
      </c>
      <c r="Z5" t="s">
        <v>34</v>
      </c>
      <c r="AA5" t="s">
        <v>35</v>
      </c>
    </row>
    <row r="6" spans="1:35">
      <c r="A6" t="s">
        <v>68</v>
      </c>
      <c r="B6" t="s">
        <v>69</v>
      </c>
      <c r="C6" t="s">
        <v>70</v>
      </c>
      <c r="D6">
        <f>IFERROR(C6-B6,"Invalid")</f>
        <v>3</v>
      </c>
      <c r="E6" s="7">
        <f>IF(OR(D6="Invalid",D6&lt;0),"",D6)</f>
        <v>3</v>
      </c>
      <c r="F6" t="s">
        <v>71</v>
      </c>
      <c r="G6" t="s">
        <v>72</v>
      </c>
      <c r="H6" t="str">
        <f>PROPER(TRIM(G6))</f>
        <v>Ananya Rao</v>
      </c>
      <c r="I6" t="s">
        <v>41</v>
      </c>
      <c r="J6" t="str">
        <f>PROPER(TRIM(I6))</f>
        <v>Small Business</v>
      </c>
      <c r="K6" t="s">
        <v>73</v>
      </c>
      <c r="L6" t="s">
        <v>74</v>
      </c>
      <c r="M6" t="s">
        <v>75</v>
      </c>
      <c r="N6" t="s">
        <v>45</v>
      </c>
      <c r="O6" t="str">
        <f>TRIM(N6)</f>
        <v>Furniture</v>
      </c>
      <c r="P6" t="s">
        <v>76</v>
      </c>
      <c r="Q6" t="s">
        <v>77</v>
      </c>
      <c r="R6" t="s">
        <v>56</v>
      </c>
      <c r="S6" t="s">
        <v>56</v>
      </c>
      <c r="T6">
        <v>7</v>
      </c>
      <c r="U6">
        <v>2973.76</v>
      </c>
      <c r="V6">
        <v>0</v>
      </c>
      <c r="W6">
        <v>20816.32</v>
      </c>
      <c r="X6">
        <v>17705.37</v>
      </c>
      <c r="Y6">
        <v>3110.95</v>
      </c>
      <c r="Z6" t="s">
        <v>34</v>
      </c>
      <c r="AA6" t="s">
        <v>78</v>
      </c>
    </row>
    <row r="7" spans="1:35">
      <c r="A7" t="s">
        <v>79</v>
      </c>
      <c r="B7" t="s">
        <v>80</v>
      </c>
      <c r="C7" t="s">
        <v>81</v>
      </c>
      <c r="D7">
        <f>IFERROR(C7-B7,"Invalid")</f>
        <v>4</v>
      </c>
      <c r="E7" s="7">
        <f>IF(OR(D7="Invalid",D7&lt;0),"",D7)</f>
        <v>4</v>
      </c>
      <c r="F7" t="s">
        <v>82</v>
      </c>
      <c r="G7" t="s">
        <v>83</v>
      </c>
      <c r="H7" t="str">
        <f>PROPER(TRIM(G7))</f>
        <v>Vikram Iyer</v>
      </c>
      <c r="I7" t="s">
        <v>41</v>
      </c>
      <c r="J7" t="str">
        <f>PROPER(TRIM(I7))</f>
        <v>Small Business</v>
      </c>
      <c r="K7" t="s">
        <v>73</v>
      </c>
      <c r="L7" t="s">
        <v>84</v>
      </c>
      <c r="M7" t="s">
        <v>85</v>
      </c>
      <c r="N7" t="s">
        <v>86</v>
      </c>
      <c r="O7" t="str">
        <f>TRIM(N7)</f>
        <v>Technology</v>
      </c>
      <c r="P7" t="s">
        <v>87</v>
      </c>
      <c r="Q7" t="s">
        <v>88</v>
      </c>
      <c r="R7" t="s">
        <v>48</v>
      </c>
      <c r="S7" t="s">
        <v>48</v>
      </c>
      <c r="T7">
        <v>3</v>
      </c>
      <c r="U7">
        <v>1053.1099999999999</v>
      </c>
      <c r="V7">
        <v>0.2</v>
      </c>
      <c r="W7">
        <v>2527.46</v>
      </c>
      <c r="X7">
        <v>1533.58</v>
      </c>
      <c r="Y7">
        <v>993.88</v>
      </c>
      <c r="Z7" t="s">
        <v>34</v>
      </c>
      <c r="AA7" t="s">
        <v>35</v>
      </c>
    </row>
    <row r="8" spans="1:35">
      <c r="A8" t="s">
        <v>89</v>
      </c>
      <c r="B8" t="s">
        <v>90</v>
      </c>
      <c r="C8" t="s">
        <v>91</v>
      </c>
      <c r="D8" t="str">
        <f>IFERROR(C8-B8,"Invalid")</f>
        <v>Invalid</v>
      </c>
      <c r="E8" s="7" t="str">
        <f>IF(OR(D8="Invalid",D8&lt;0),"",D8)</f>
        <v/>
      </c>
      <c r="F8" t="s">
        <v>92</v>
      </c>
      <c r="G8" t="s">
        <v>93</v>
      </c>
      <c r="H8" t="str">
        <f>PROPER(TRIM(G8))</f>
        <v>Neha Gupta</v>
      </c>
      <c r="I8" t="s">
        <v>26</v>
      </c>
      <c r="J8" t="str">
        <f>PROPER(TRIM(I8))</f>
        <v>Consumer</v>
      </c>
      <c r="K8" t="s">
        <v>42</v>
      </c>
      <c r="L8" t="s">
        <v>43</v>
      </c>
      <c r="M8" t="s">
        <v>44</v>
      </c>
      <c r="N8" t="s">
        <v>86</v>
      </c>
      <c r="O8" t="str">
        <f>TRIM(N8)</f>
        <v>Technology</v>
      </c>
      <c r="P8" t="s">
        <v>94</v>
      </c>
      <c r="Q8" t="s">
        <v>95</v>
      </c>
      <c r="R8" t="s">
        <v>67</v>
      </c>
      <c r="S8" t="s">
        <v>67</v>
      </c>
      <c r="T8">
        <v>4</v>
      </c>
      <c r="U8">
        <v>1719.87</v>
      </c>
      <c r="V8">
        <v>0.15</v>
      </c>
      <c r="W8">
        <v>5847.56</v>
      </c>
      <c r="X8">
        <v>4727.25</v>
      </c>
      <c r="Y8">
        <v>1120.31</v>
      </c>
      <c r="Z8" t="s">
        <v>34</v>
      </c>
      <c r="AA8" t="s">
        <v>35</v>
      </c>
    </row>
    <row r="9" spans="1:35">
      <c r="A9" t="s">
        <v>96</v>
      </c>
      <c r="B9" t="s">
        <v>97</v>
      </c>
      <c r="C9" t="s">
        <v>98</v>
      </c>
      <c r="D9">
        <f>IFERROR(C9-B9,"Invalid")</f>
        <v>3</v>
      </c>
      <c r="E9" s="7">
        <f>IF(OR(D9="Invalid",D9&lt;0),"",D9)</f>
        <v>3</v>
      </c>
      <c r="F9" t="s">
        <v>99</v>
      </c>
      <c r="G9" t="s">
        <v>53</v>
      </c>
      <c r="H9" t="str">
        <f>PROPER(TRIM(G9))</f>
        <v>Isha Nair</v>
      </c>
      <c r="I9" t="s">
        <v>41</v>
      </c>
      <c r="J9" t="str">
        <f>PROPER(TRIM(I9))</f>
        <v>Small Business</v>
      </c>
      <c r="K9" t="s">
        <v>62</v>
      </c>
      <c r="L9" t="s">
        <v>100</v>
      </c>
      <c r="M9" t="s">
        <v>101</v>
      </c>
      <c r="N9" t="s">
        <v>30</v>
      </c>
      <c r="O9" t="str">
        <f>TRIM(N9)</f>
        <v>Office Supplies</v>
      </c>
      <c r="P9" t="s">
        <v>54</v>
      </c>
      <c r="Q9" t="s">
        <v>102</v>
      </c>
      <c r="R9" t="s">
        <v>56</v>
      </c>
      <c r="S9" t="s">
        <v>56</v>
      </c>
      <c r="T9">
        <v>1</v>
      </c>
      <c r="U9">
        <v>2980.71</v>
      </c>
      <c r="V9">
        <v>0</v>
      </c>
      <c r="W9">
        <v>2980.71</v>
      </c>
      <c r="X9">
        <v>2357.2199999999998</v>
      </c>
      <c r="Y9">
        <v>623.49</v>
      </c>
      <c r="Z9" t="s">
        <v>34</v>
      </c>
      <c r="AA9" t="s">
        <v>35</v>
      </c>
    </row>
    <row r="10" spans="1:35">
      <c r="A10" t="s">
        <v>103</v>
      </c>
      <c r="B10" t="s">
        <v>104</v>
      </c>
      <c r="C10" t="s">
        <v>105</v>
      </c>
      <c r="D10">
        <f>IFERROR(C10-B10,"Invalid")</f>
        <v>153</v>
      </c>
      <c r="E10" s="7">
        <f>IF(OR(D10="Invalid",D10&lt;0),"",D10)</f>
        <v>153</v>
      </c>
      <c r="F10" t="s">
        <v>106</v>
      </c>
      <c r="G10" t="s">
        <v>107</v>
      </c>
      <c r="H10" t="str">
        <f>PROPER(TRIM(G10))</f>
        <v>Aditi Sen</v>
      </c>
      <c r="I10" t="s">
        <v>108</v>
      </c>
      <c r="J10" t="str">
        <f>PROPER(TRIM(I10))</f>
        <v>Corporate</v>
      </c>
      <c r="K10" t="s">
        <v>62</v>
      </c>
      <c r="L10" t="s">
        <v>63</v>
      </c>
      <c r="M10" t="s">
        <v>64</v>
      </c>
      <c r="N10" t="s">
        <v>30</v>
      </c>
      <c r="O10" t="str">
        <f>TRIM(N10)</f>
        <v>Office Supplies</v>
      </c>
      <c r="P10" t="s">
        <v>109</v>
      </c>
      <c r="Q10" t="s">
        <v>110</v>
      </c>
      <c r="R10" t="s">
        <v>56</v>
      </c>
      <c r="S10" t="s">
        <v>56</v>
      </c>
      <c r="T10">
        <v>8</v>
      </c>
      <c r="U10">
        <v>3134.2</v>
      </c>
      <c r="V10">
        <v>0</v>
      </c>
      <c r="W10">
        <v>25073.599999999999</v>
      </c>
      <c r="X10">
        <v>17347.23</v>
      </c>
      <c r="Y10">
        <v>7726.37</v>
      </c>
      <c r="Z10" t="s">
        <v>34</v>
      </c>
      <c r="AA10" t="s">
        <v>35</v>
      </c>
    </row>
    <row r="11" spans="1:35">
      <c r="A11" t="s">
        <v>111</v>
      </c>
      <c r="B11" t="s">
        <v>112</v>
      </c>
      <c r="C11" t="s">
        <v>113</v>
      </c>
      <c r="D11">
        <f>IFERROR(C11-B11,"Invalid")</f>
        <v>93</v>
      </c>
      <c r="E11" s="7">
        <f>IF(OR(D11="Invalid",D11&lt;0),"",D11)</f>
        <v>93</v>
      </c>
      <c r="F11" t="s">
        <v>114</v>
      </c>
      <c r="G11" t="s">
        <v>40</v>
      </c>
      <c r="H11" t="str">
        <f>PROPER(TRIM(G11))</f>
        <v>Mira Das</v>
      </c>
      <c r="I11" t="s">
        <v>115</v>
      </c>
      <c r="J11" t="str">
        <f>PROPER(TRIM(I11))</f>
        <v>Home Office</v>
      </c>
      <c r="K11" t="s">
        <v>62</v>
      </c>
      <c r="L11" t="s">
        <v>63</v>
      </c>
      <c r="M11" t="s">
        <v>64</v>
      </c>
      <c r="N11" t="s">
        <v>30</v>
      </c>
      <c r="O11" t="str">
        <f>TRIM(N11)</f>
        <v>Office Supplies</v>
      </c>
      <c r="P11" t="s">
        <v>31</v>
      </c>
      <c r="Q11" t="s">
        <v>116</v>
      </c>
      <c r="R11" t="s">
        <v>33</v>
      </c>
      <c r="S11" t="s">
        <v>33</v>
      </c>
      <c r="T11">
        <v>9</v>
      </c>
      <c r="U11">
        <v>852.04</v>
      </c>
      <c r="V11">
        <v>0.2</v>
      </c>
      <c r="W11">
        <v>6134.69</v>
      </c>
      <c r="X11">
        <v>3800.19</v>
      </c>
      <c r="Y11">
        <v>2334.5</v>
      </c>
      <c r="Z11" t="s">
        <v>34</v>
      </c>
      <c r="AA11" t="s">
        <v>35</v>
      </c>
    </row>
    <row r="12" spans="1:35">
      <c r="A12" t="s">
        <v>117</v>
      </c>
      <c r="B12" t="s">
        <v>118</v>
      </c>
      <c r="C12" t="s">
        <v>119</v>
      </c>
      <c r="D12" t="str">
        <f>IFERROR(C12-B12,"Invalid")</f>
        <v>Invalid</v>
      </c>
      <c r="E12" s="7" t="str">
        <f>IF(OR(D12="Invalid",D12&lt;0),"",D12)</f>
        <v/>
      </c>
      <c r="F12" t="s">
        <v>120</v>
      </c>
      <c r="G12" t="s">
        <v>72</v>
      </c>
      <c r="H12" t="str">
        <f>PROPER(TRIM(G12))</f>
        <v>Ananya Rao</v>
      </c>
      <c r="I12" t="s">
        <v>108</v>
      </c>
      <c r="J12" t="str">
        <f>PROPER(TRIM(I12))</f>
        <v>Corporate</v>
      </c>
      <c r="K12" t="s">
        <v>42</v>
      </c>
      <c r="L12" t="s">
        <v>121</v>
      </c>
      <c r="M12" t="s">
        <v>122</v>
      </c>
      <c r="N12" t="s">
        <v>30</v>
      </c>
      <c r="O12" t="str">
        <f>TRIM(N12)</f>
        <v>Office Supplies</v>
      </c>
      <c r="P12" t="s">
        <v>109</v>
      </c>
      <c r="Q12" t="s">
        <v>123</v>
      </c>
      <c r="R12" t="s">
        <v>33</v>
      </c>
      <c r="S12" t="s">
        <v>33</v>
      </c>
      <c r="T12">
        <v>3</v>
      </c>
      <c r="U12">
        <v>3534.83</v>
      </c>
      <c r="V12">
        <v>0.05</v>
      </c>
      <c r="W12">
        <v>10074.27</v>
      </c>
      <c r="X12">
        <v>6048.27</v>
      </c>
      <c r="Y12">
        <v>4026</v>
      </c>
      <c r="Z12" t="s">
        <v>124</v>
      </c>
      <c r="AA12" t="s">
        <v>125</v>
      </c>
    </row>
    <row r="13" spans="1:35">
      <c r="A13" t="s">
        <v>126</v>
      </c>
      <c r="B13" t="s">
        <v>127</v>
      </c>
      <c r="C13" t="s">
        <v>128</v>
      </c>
      <c r="D13">
        <f>IFERROR(C13-B13,"Invalid")</f>
        <v>1</v>
      </c>
      <c r="E13" s="7">
        <f>IF(OR(D13="Invalid",D13&lt;0),"",D13)</f>
        <v>1</v>
      </c>
      <c r="F13" t="s">
        <v>129</v>
      </c>
      <c r="G13" t="s">
        <v>83</v>
      </c>
      <c r="H13" t="str">
        <f>PROPER(TRIM(G13))</f>
        <v>Vikram Iyer</v>
      </c>
      <c r="I13" t="s">
        <v>41</v>
      </c>
      <c r="J13" t="str">
        <f>PROPER(TRIM(I13))</f>
        <v>Small Business</v>
      </c>
      <c r="K13" t="s">
        <v>42</v>
      </c>
      <c r="L13" t="s">
        <v>43</v>
      </c>
      <c r="M13" t="s">
        <v>44</v>
      </c>
      <c r="N13" t="s">
        <v>86</v>
      </c>
      <c r="O13" t="str">
        <f>TRIM(N13)</f>
        <v>Technology</v>
      </c>
      <c r="P13" t="s">
        <v>87</v>
      </c>
      <c r="Q13" t="s">
        <v>130</v>
      </c>
      <c r="R13" t="s">
        <v>48</v>
      </c>
      <c r="S13" t="s">
        <v>48</v>
      </c>
      <c r="T13">
        <v>6</v>
      </c>
      <c r="U13">
        <v>2005.95</v>
      </c>
      <c r="V13">
        <v>0.2</v>
      </c>
      <c r="W13">
        <v>9628.56</v>
      </c>
      <c r="X13">
        <v>8038.59</v>
      </c>
      <c r="Y13">
        <v>1589.97</v>
      </c>
      <c r="Z13" t="s">
        <v>34</v>
      </c>
      <c r="AA13" t="s">
        <v>35</v>
      </c>
    </row>
    <row r="14" spans="1:35">
      <c r="A14" t="s">
        <v>131</v>
      </c>
      <c r="B14" t="s">
        <v>132</v>
      </c>
      <c r="C14" t="s">
        <v>133</v>
      </c>
      <c r="D14" t="str">
        <f>IFERROR(C14-B14,"Invalid")</f>
        <v>Invalid</v>
      </c>
      <c r="E14" s="7" t="str">
        <f>IF(OR(D14="Invalid",D14&lt;0),"",D14)</f>
        <v/>
      </c>
      <c r="F14" t="s">
        <v>134</v>
      </c>
      <c r="G14" t="s">
        <v>72</v>
      </c>
      <c r="H14" t="str">
        <f>PROPER(TRIM(G14))</f>
        <v>Ananya Rao</v>
      </c>
      <c r="I14" t="s">
        <v>108</v>
      </c>
      <c r="J14" t="str">
        <f>PROPER(TRIM(I14))</f>
        <v>Corporate</v>
      </c>
      <c r="K14" t="s">
        <v>73</v>
      </c>
      <c r="L14" t="s">
        <v>28</v>
      </c>
      <c r="M14" t="s">
        <v>135</v>
      </c>
      <c r="N14" t="s">
        <v>30</v>
      </c>
      <c r="O14" t="str">
        <f>TRIM(N14)</f>
        <v>Office Supplies</v>
      </c>
      <c r="P14" t="s">
        <v>31</v>
      </c>
      <c r="Q14" t="s">
        <v>136</v>
      </c>
      <c r="R14" t="s">
        <v>56</v>
      </c>
      <c r="S14" t="s">
        <v>56</v>
      </c>
      <c r="T14">
        <v>1</v>
      </c>
      <c r="U14">
        <v>702.14</v>
      </c>
      <c r="V14">
        <v>0.15</v>
      </c>
      <c r="W14">
        <v>596.82000000000005</v>
      </c>
      <c r="X14">
        <v>380.25</v>
      </c>
      <c r="Y14">
        <v>216.57</v>
      </c>
      <c r="Z14" t="s">
        <v>137</v>
      </c>
      <c r="AA14" t="s">
        <v>125</v>
      </c>
    </row>
    <row r="15" spans="1:35">
      <c r="A15" t="s">
        <v>138</v>
      </c>
      <c r="B15" t="s">
        <v>139</v>
      </c>
      <c r="C15" t="s">
        <v>140</v>
      </c>
      <c r="D15">
        <f>IFERROR(C15-B15,"Invalid")</f>
        <v>4</v>
      </c>
      <c r="E15" s="7">
        <f>IF(OR(D15="Invalid",D15&lt;0),"",D15)</f>
        <v>4</v>
      </c>
      <c r="F15" t="s">
        <v>141</v>
      </c>
      <c r="G15" t="s">
        <v>142</v>
      </c>
      <c r="H15" t="str">
        <f>PROPER(TRIM(G15))</f>
        <v>Priya Menon</v>
      </c>
      <c r="I15" t="s">
        <v>41</v>
      </c>
      <c r="J15" t="str">
        <f>PROPER(TRIM(I15))</f>
        <v>Small Business</v>
      </c>
      <c r="K15" t="s">
        <v>73</v>
      </c>
      <c r="L15" t="s">
        <v>74</v>
      </c>
      <c r="M15" t="s">
        <v>75</v>
      </c>
      <c r="N15" t="s">
        <v>30</v>
      </c>
      <c r="O15" t="str">
        <f>TRIM(N15)</f>
        <v>Office Supplies</v>
      </c>
      <c r="P15" t="s">
        <v>54</v>
      </c>
      <c r="Q15" t="s">
        <v>143</v>
      </c>
      <c r="R15" t="s">
        <v>33</v>
      </c>
      <c r="S15" t="s">
        <v>33</v>
      </c>
      <c r="T15">
        <v>7</v>
      </c>
      <c r="U15">
        <v>3964.72</v>
      </c>
      <c r="V15">
        <v>0.05</v>
      </c>
      <c r="W15">
        <v>26365.39</v>
      </c>
      <c r="X15">
        <v>22306.240000000002</v>
      </c>
      <c r="Y15">
        <v>4059.15</v>
      </c>
      <c r="Z15" t="s">
        <v>34</v>
      </c>
      <c r="AA15" t="s">
        <v>35</v>
      </c>
    </row>
    <row r="16" spans="1:35">
      <c r="A16" t="s">
        <v>144</v>
      </c>
      <c r="B16" t="s">
        <v>145</v>
      </c>
      <c r="C16" t="s">
        <v>146</v>
      </c>
      <c r="D16" t="str">
        <f>IFERROR(C16-B16,"Invalid")</f>
        <v>Invalid</v>
      </c>
      <c r="E16" s="7" t="str">
        <f>IF(OR(D16="Invalid",D16&lt;0),"",D16)</f>
        <v/>
      </c>
      <c r="F16" t="s">
        <v>147</v>
      </c>
      <c r="G16" t="s">
        <v>148</v>
      </c>
      <c r="H16" t="str">
        <f>PROPER(TRIM(G16))</f>
        <v>Rahul Verma</v>
      </c>
      <c r="I16" t="s">
        <v>26</v>
      </c>
      <c r="J16" t="str">
        <f>PROPER(TRIM(I16))</f>
        <v>Consumer</v>
      </c>
      <c r="K16" t="s">
        <v>73</v>
      </c>
      <c r="L16" t="s">
        <v>28</v>
      </c>
      <c r="M16" t="s">
        <v>135</v>
      </c>
      <c r="N16" t="s">
        <v>86</v>
      </c>
      <c r="O16" t="str">
        <f>TRIM(N16)</f>
        <v>Technology</v>
      </c>
      <c r="P16" t="s">
        <v>94</v>
      </c>
      <c r="Q16" t="s">
        <v>149</v>
      </c>
      <c r="R16" t="s">
        <v>67</v>
      </c>
      <c r="S16" t="s">
        <v>67</v>
      </c>
      <c r="T16">
        <v>2</v>
      </c>
      <c r="U16">
        <v>2737.83</v>
      </c>
      <c r="V16">
        <v>0.25</v>
      </c>
      <c r="W16">
        <v>4106.74</v>
      </c>
      <c r="X16">
        <v>2666.3</v>
      </c>
      <c r="Y16">
        <v>1440.44</v>
      </c>
      <c r="Z16" t="s">
        <v>34</v>
      </c>
      <c r="AA16" t="s">
        <v>35</v>
      </c>
    </row>
    <row r="17" spans="1:27">
      <c r="A17" t="s">
        <v>150</v>
      </c>
      <c r="B17" t="s">
        <v>151</v>
      </c>
      <c r="C17" t="s">
        <v>152</v>
      </c>
      <c r="D17">
        <f>IFERROR(C17-B17,"Invalid")</f>
        <v>-60</v>
      </c>
      <c r="E17" s="7" t="str">
        <f>IF(OR(D17="Invalid",D17&lt;0),"",D17)</f>
        <v/>
      </c>
      <c r="F17" t="s">
        <v>153</v>
      </c>
      <c r="G17" t="s">
        <v>25</v>
      </c>
      <c r="H17" t="str">
        <f>PROPER(TRIM(G17))</f>
        <v>Karan Malhotra</v>
      </c>
      <c r="I17" t="s">
        <v>41</v>
      </c>
      <c r="J17" t="str">
        <f>PROPER(TRIM(I17))</f>
        <v>Small Business</v>
      </c>
      <c r="K17" t="s">
        <v>27</v>
      </c>
      <c r="L17" t="s">
        <v>154</v>
      </c>
      <c r="M17" t="s">
        <v>155</v>
      </c>
      <c r="N17" t="s">
        <v>30</v>
      </c>
      <c r="O17" t="str">
        <f>TRIM(N17)</f>
        <v>Office Supplies</v>
      </c>
      <c r="P17" t="s">
        <v>156</v>
      </c>
      <c r="Q17" t="s">
        <v>157</v>
      </c>
      <c r="R17" t="s">
        <v>33</v>
      </c>
      <c r="S17" t="s">
        <v>33</v>
      </c>
      <c r="T17">
        <v>6</v>
      </c>
      <c r="U17">
        <v>3965.76</v>
      </c>
      <c r="V17">
        <v>0</v>
      </c>
      <c r="W17">
        <v>23794.560000000001</v>
      </c>
      <c r="X17">
        <v>15698.47</v>
      </c>
      <c r="Y17">
        <v>8096.09</v>
      </c>
      <c r="Z17" t="s">
        <v>34</v>
      </c>
      <c r="AA17" t="s">
        <v>35</v>
      </c>
    </row>
    <row r="18" spans="1:27">
      <c r="A18" t="s">
        <v>158</v>
      </c>
      <c r="B18" t="s">
        <v>159</v>
      </c>
      <c r="C18" t="s">
        <v>160</v>
      </c>
      <c r="D18">
        <f>IFERROR(C18-B18,"Invalid")</f>
        <v>-82</v>
      </c>
      <c r="E18" s="7" t="str">
        <f>IF(OR(D18="Invalid",D18&lt;0),"",D18)</f>
        <v/>
      </c>
      <c r="F18" t="s">
        <v>161</v>
      </c>
      <c r="G18" t="s">
        <v>162</v>
      </c>
      <c r="H18" t="str">
        <f>PROPER(TRIM(G18))</f>
        <v>Aarav Sharma</v>
      </c>
      <c r="I18" t="s">
        <v>26</v>
      </c>
      <c r="J18" t="str">
        <f>PROPER(TRIM(I18))</f>
        <v>Consumer</v>
      </c>
      <c r="K18" t="s">
        <v>62</v>
      </c>
      <c r="L18" t="s">
        <v>63</v>
      </c>
      <c r="M18" t="s">
        <v>64</v>
      </c>
      <c r="N18" t="s">
        <v>30</v>
      </c>
      <c r="O18" t="str">
        <f>TRIM(N18)</f>
        <v>Office Supplies</v>
      </c>
      <c r="P18" t="s">
        <v>54</v>
      </c>
      <c r="Q18" t="s">
        <v>163</v>
      </c>
      <c r="R18" t="s">
        <v>56</v>
      </c>
      <c r="S18" t="s">
        <v>56</v>
      </c>
      <c r="T18">
        <v>4</v>
      </c>
      <c r="U18">
        <v>3323.51</v>
      </c>
      <c r="V18">
        <v>0.25</v>
      </c>
      <c r="W18">
        <v>9970.5300000000007</v>
      </c>
      <c r="X18">
        <v>5668.17</v>
      </c>
      <c r="Y18">
        <v>4302.3599999999997</v>
      </c>
      <c r="Z18" t="s">
        <v>34</v>
      </c>
      <c r="AA18" t="s">
        <v>35</v>
      </c>
    </row>
    <row r="19" spans="1:27">
      <c r="A19" t="s">
        <v>164</v>
      </c>
      <c r="B19" t="s">
        <v>165</v>
      </c>
      <c r="C19" t="s">
        <v>166</v>
      </c>
      <c r="D19">
        <f>IFERROR(C19-B19,"Invalid")</f>
        <v>-175</v>
      </c>
      <c r="E19" s="7" t="str">
        <f>IF(OR(D19="Invalid",D19&lt;0),"",D19)</f>
        <v/>
      </c>
      <c r="F19" t="s">
        <v>167</v>
      </c>
      <c r="G19" t="s">
        <v>168</v>
      </c>
      <c r="H19" t="str">
        <f>PROPER(TRIM(G19))</f>
        <v>Sneha Kapoor</v>
      </c>
      <c r="I19" t="s">
        <v>41</v>
      </c>
      <c r="J19" t="str">
        <f>PROPER(TRIM(I19))</f>
        <v>Small Business</v>
      </c>
      <c r="K19" t="s">
        <v>27</v>
      </c>
      <c r="L19" t="s">
        <v>28</v>
      </c>
      <c r="M19" t="s">
        <v>29</v>
      </c>
      <c r="N19" t="s">
        <v>45</v>
      </c>
      <c r="O19" t="str">
        <f>TRIM(N19)</f>
        <v>Furniture</v>
      </c>
      <c r="P19" t="s">
        <v>65</v>
      </c>
      <c r="Q19" t="s">
        <v>169</v>
      </c>
      <c r="R19" t="s">
        <v>48</v>
      </c>
      <c r="S19" t="s">
        <v>48</v>
      </c>
      <c r="T19">
        <v>5</v>
      </c>
      <c r="U19">
        <v>1526.78</v>
      </c>
      <c r="V19">
        <v>0</v>
      </c>
      <c r="W19">
        <v>7633.9</v>
      </c>
      <c r="X19">
        <v>4706.91</v>
      </c>
      <c r="Y19">
        <v>2926.99</v>
      </c>
      <c r="Z19" t="s">
        <v>34</v>
      </c>
      <c r="AA19" t="s">
        <v>35</v>
      </c>
    </row>
    <row r="20" spans="1:27">
      <c r="A20" t="s">
        <v>170</v>
      </c>
      <c r="B20" t="s">
        <v>171</v>
      </c>
      <c r="C20" t="s">
        <v>172</v>
      </c>
      <c r="D20" t="str">
        <f>IFERROR(C20-B20,"Invalid")</f>
        <v>Invalid</v>
      </c>
      <c r="E20" s="7" t="str">
        <f>IF(OR(D20="Invalid",D20&lt;0),"",D20)</f>
        <v/>
      </c>
      <c r="F20" t="s">
        <v>173</v>
      </c>
      <c r="G20" t="s">
        <v>162</v>
      </c>
      <c r="H20" t="str">
        <f>PROPER(TRIM(G20))</f>
        <v>Aarav Sharma</v>
      </c>
      <c r="I20" t="s">
        <v>115</v>
      </c>
      <c r="J20" t="str">
        <f>PROPER(TRIM(I20))</f>
        <v>Home Office</v>
      </c>
      <c r="K20" t="s">
        <v>27</v>
      </c>
      <c r="L20" t="s">
        <v>174</v>
      </c>
      <c r="M20" t="s">
        <v>175</v>
      </c>
      <c r="N20" t="s">
        <v>86</v>
      </c>
      <c r="O20" t="str">
        <f>TRIM(N20)</f>
        <v>Technology</v>
      </c>
      <c r="P20" t="s">
        <v>94</v>
      </c>
      <c r="Q20" t="s">
        <v>176</v>
      </c>
      <c r="R20" t="s">
        <v>56</v>
      </c>
      <c r="S20" t="s">
        <v>56</v>
      </c>
      <c r="T20">
        <v>2</v>
      </c>
      <c r="U20">
        <v>1997.99</v>
      </c>
      <c r="V20">
        <v>0</v>
      </c>
      <c r="W20">
        <v>3995.98</v>
      </c>
      <c r="X20">
        <v>2633.2</v>
      </c>
      <c r="Y20">
        <v>1362.78</v>
      </c>
      <c r="Z20" t="s">
        <v>124</v>
      </c>
      <c r="AA20" t="s">
        <v>78</v>
      </c>
    </row>
    <row r="21" spans="1:27">
      <c r="A21" t="s">
        <v>177</v>
      </c>
      <c r="B21" t="s">
        <v>23</v>
      </c>
      <c r="C21" t="s">
        <v>178</v>
      </c>
      <c r="D21" t="str">
        <f>IFERROR(C21-B21,"Invalid")</f>
        <v>Invalid</v>
      </c>
      <c r="E21" s="7" t="str">
        <f>IF(OR(D21="Invalid",D21&lt;0),"",D21)</f>
        <v/>
      </c>
      <c r="F21" t="s">
        <v>179</v>
      </c>
      <c r="G21" t="s">
        <v>180</v>
      </c>
      <c r="H21" t="str">
        <f>PROPER(TRIM(G21))</f>
        <v>Rohan Mehta</v>
      </c>
      <c r="I21" t="s">
        <v>115</v>
      </c>
      <c r="J21" t="str">
        <f>PROPER(TRIM(I21))</f>
        <v>Home Office</v>
      </c>
      <c r="K21" t="s">
        <v>73</v>
      </c>
      <c r="L21" t="s">
        <v>84</v>
      </c>
      <c r="M21" t="s">
        <v>85</v>
      </c>
      <c r="N21" t="s">
        <v>30</v>
      </c>
      <c r="O21" t="str">
        <f>TRIM(N21)</f>
        <v>Office Supplies</v>
      </c>
      <c r="P21" t="s">
        <v>156</v>
      </c>
      <c r="Q21" t="s">
        <v>181</v>
      </c>
      <c r="R21" t="s">
        <v>33</v>
      </c>
      <c r="S21" t="s">
        <v>33</v>
      </c>
      <c r="T21">
        <v>3</v>
      </c>
      <c r="U21">
        <v>3887.94</v>
      </c>
      <c r="V21">
        <v>-0.19</v>
      </c>
      <c r="W21">
        <v>9331.06</v>
      </c>
      <c r="X21">
        <v>7529.31</v>
      </c>
      <c r="Y21">
        <v>1801.75</v>
      </c>
      <c r="Z21" t="s">
        <v>34</v>
      </c>
      <c r="AA21" t="s">
        <v>35</v>
      </c>
    </row>
    <row r="22" spans="1:27">
      <c r="A22" t="s">
        <v>182</v>
      </c>
      <c r="B22" t="s">
        <v>183</v>
      </c>
      <c r="C22" t="s">
        <v>184</v>
      </c>
      <c r="D22">
        <f>IFERROR(C22-B22,"Invalid")</f>
        <v>2</v>
      </c>
      <c r="E22" s="7">
        <f>IF(OR(D22="Invalid",D22&lt;0),"",D22)</f>
        <v>2</v>
      </c>
      <c r="F22" t="s">
        <v>185</v>
      </c>
      <c r="G22" t="s">
        <v>107</v>
      </c>
      <c r="H22" t="str">
        <f>PROPER(TRIM(G22))</f>
        <v>Aditi Sen</v>
      </c>
      <c r="I22" t="s">
        <v>115</v>
      </c>
      <c r="J22" t="str">
        <f>PROPER(TRIM(I22))</f>
        <v>Home Office</v>
      </c>
      <c r="K22" t="s">
        <v>42</v>
      </c>
      <c r="L22" t="s">
        <v>186</v>
      </c>
      <c r="M22" t="s">
        <v>187</v>
      </c>
      <c r="N22" t="s">
        <v>86</v>
      </c>
      <c r="O22" t="str">
        <f>TRIM(N22)</f>
        <v>Technology</v>
      </c>
      <c r="P22" t="s">
        <v>94</v>
      </c>
      <c r="Q22" t="s">
        <v>188</v>
      </c>
      <c r="R22" t="s">
        <v>56</v>
      </c>
      <c r="S22" t="s">
        <v>56</v>
      </c>
      <c r="T22">
        <v>5</v>
      </c>
      <c r="U22">
        <v>4373.0600000000004</v>
      </c>
      <c r="V22">
        <v>0.25</v>
      </c>
      <c r="W22">
        <v>16398.98</v>
      </c>
      <c r="X22">
        <v>9556.52</v>
      </c>
      <c r="Y22">
        <v>6842.46</v>
      </c>
      <c r="Z22" t="s">
        <v>34</v>
      </c>
      <c r="AA22" t="s">
        <v>35</v>
      </c>
    </row>
    <row r="23" spans="1:27">
      <c r="A23" t="s">
        <v>189</v>
      </c>
      <c r="B23" t="s">
        <v>190</v>
      </c>
      <c r="C23" t="s">
        <v>191</v>
      </c>
      <c r="D23" t="str">
        <f>IFERROR(C23-B23,"Invalid")</f>
        <v>Invalid</v>
      </c>
      <c r="E23" s="7" t="str">
        <f>IF(OR(D23="Invalid",D23&lt;0),"",D23)</f>
        <v/>
      </c>
      <c r="F23" t="s">
        <v>192</v>
      </c>
      <c r="G23" t="s">
        <v>168</v>
      </c>
      <c r="H23" t="str">
        <f>PROPER(TRIM(G23))</f>
        <v>Sneha Kapoor</v>
      </c>
      <c r="I23" t="s">
        <v>26</v>
      </c>
      <c r="J23" t="str">
        <f>PROPER(TRIM(I23))</f>
        <v>Consumer</v>
      </c>
      <c r="K23" t="s">
        <v>73</v>
      </c>
      <c r="L23" t="s">
        <v>84</v>
      </c>
      <c r="M23" t="s">
        <v>85</v>
      </c>
      <c r="N23" t="s">
        <v>45</v>
      </c>
      <c r="O23" t="str">
        <f>TRIM(N23)</f>
        <v>Furniture</v>
      </c>
      <c r="P23" t="s">
        <v>65</v>
      </c>
      <c r="Q23" t="s">
        <v>193</v>
      </c>
      <c r="R23" t="s">
        <v>33</v>
      </c>
      <c r="S23" t="s">
        <v>33</v>
      </c>
      <c r="T23">
        <v>4</v>
      </c>
      <c r="U23">
        <v>697.69</v>
      </c>
      <c r="V23">
        <v>-0.23</v>
      </c>
      <c r="W23">
        <v>2790.76</v>
      </c>
      <c r="X23">
        <v>2037.71</v>
      </c>
      <c r="Y23">
        <v>753.05</v>
      </c>
      <c r="Z23" t="s">
        <v>34</v>
      </c>
      <c r="AA23" t="s">
        <v>35</v>
      </c>
    </row>
    <row r="24" spans="1:27">
      <c r="A24" t="s">
        <v>194</v>
      </c>
      <c r="B24" t="s">
        <v>195</v>
      </c>
      <c r="C24" t="s">
        <v>196</v>
      </c>
      <c r="D24">
        <f>IFERROR(C24-B24,"Invalid")</f>
        <v>2</v>
      </c>
      <c r="E24" s="7">
        <f>IF(OR(D24="Invalid",D24&lt;0),"",D24)</f>
        <v>2</v>
      </c>
      <c r="F24" t="s">
        <v>197</v>
      </c>
      <c r="G24" t="s">
        <v>40</v>
      </c>
      <c r="H24" t="str">
        <f>PROPER(TRIM(G24))</f>
        <v>Mira Das</v>
      </c>
      <c r="I24" t="s">
        <v>26</v>
      </c>
      <c r="J24" t="str">
        <f>PROPER(TRIM(I24))</f>
        <v>Consumer</v>
      </c>
      <c r="K24" t="s">
        <v>62</v>
      </c>
      <c r="L24" t="s">
        <v>63</v>
      </c>
      <c r="M24" t="s">
        <v>64</v>
      </c>
      <c r="N24" t="s">
        <v>30</v>
      </c>
      <c r="O24" t="str">
        <f>TRIM(N24)</f>
        <v>Office Supplies</v>
      </c>
      <c r="P24" t="s">
        <v>198</v>
      </c>
      <c r="Q24" t="s">
        <v>199</v>
      </c>
      <c r="R24" t="s">
        <v>67</v>
      </c>
      <c r="S24" t="s">
        <v>67</v>
      </c>
      <c r="T24">
        <v>8</v>
      </c>
      <c r="U24">
        <v>1219.3399999999999</v>
      </c>
      <c r="V24">
        <v>0.15</v>
      </c>
      <c r="W24">
        <v>8291.51</v>
      </c>
      <c r="X24">
        <v>6685.03</v>
      </c>
      <c r="Y24">
        <v>1606.48</v>
      </c>
      <c r="Z24" t="s">
        <v>200</v>
      </c>
      <c r="AA24" t="s">
        <v>125</v>
      </c>
    </row>
    <row r="25" spans="1:27">
      <c r="A25" t="s">
        <v>201</v>
      </c>
      <c r="B25" t="s">
        <v>69</v>
      </c>
      <c r="C25" t="s">
        <v>202</v>
      </c>
      <c r="D25">
        <f>IFERROR(C25-B25,"Invalid")</f>
        <v>2</v>
      </c>
      <c r="E25" s="7">
        <f>IF(OR(D25="Invalid",D25&lt;0),"",D25)</f>
        <v>2</v>
      </c>
      <c r="F25" t="s">
        <v>203</v>
      </c>
      <c r="G25" t="s">
        <v>148</v>
      </c>
      <c r="H25" t="str">
        <f>PROPER(TRIM(G25))</f>
        <v>Rahul Verma</v>
      </c>
      <c r="I25" t="s">
        <v>115</v>
      </c>
      <c r="J25" t="str">
        <f>PROPER(TRIM(I25))</f>
        <v>Home Office</v>
      </c>
      <c r="K25" t="s">
        <v>42</v>
      </c>
      <c r="L25" t="s">
        <v>186</v>
      </c>
      <c r="M25" t="s">
        <v>187</v>
      </c>
      <c r="N25" t="s">
        <v>45</v>
      </c>
      <c r="O25" t="str">
        <f>TRIM(N25)</f>
        <v>Furniture</v>
      </c>
      <c r="P25" t="s">
        <v>204</v>
      </c>
      <c r="Q25" t="s">
        <v>205</v>
      </c>
      <c r="R25" t="s">
        <v>56</v>
      </c>
      <c r="S25" t="s">
        <v>56</v>
      </c>
      <c r="T25">
        <v>4</v>
      </c>
      <c r="U25">
        <v>1958.01</v>
      </c>
      <c r="V25">
        <v>0.2</v>
      </c>
      <c r="W25">
        <v>6265.63</v>
      </c>
      <c r="X25">
        <v>4321.8599999999997</v>
      </c>
      <c r="Y25">
        <v>1943.77</v>
      </c>
      <c r="Z25" t="s">
        <v>34</v>
      </c>
      <c r="AA25" t="s">
        <v>35</v>
      </c>
    </row>
    <row r="26" spans="1:27">
      <c r="A26" t="s">
        <v>206</v>
      </c>
      <c r="B26" t="s">
        <v>207</v>
      </c>
      <c r="C26" t="s">
        <v>208</v>
      </c>
      <c r="D26">
        <f>IFERROR(C26-B26,"Invalid")</f>
        <v>-61</v>
      </c>
      <c r="E26" s="7" t="str">
        <f>IF(OR(D26="Invalid",D26&lt;0),"",D26)</f>
        <v/>
      </c>
      <c r="F26" t="s">
        <v>209</v>
      </c>
      <c r="G26" t="s">
        <v>210</v>
      </c>
      <c r="H26" t="str">
        <f>PROPER(TRIM(G26))</f>
        <v>Diya Patel</v>
      </c>
      <c r="I26" t="s">
        <v>26</v>
      </c>
      <c r="J26" t="str">
        <f>PROPER(TRIM(I26))</f>
        <v>Consumer</v>
      </c>
      <c r="K26" t="s">
        <v>27</v>
      </c>
      <c r="L26" t="s">
        <v>154</v>
      </c>
      <c r="M26" t="s">
        <v>155</v>
      </c>
      <c r="N26" t="s">
        <v>30</v>
      </c>
      <c r="O26" t="str">
        <f>TRIM(N26)</f>
        <v>Office Supplies</v>
      </c>
      <c r="P26" t="s">
        <v>54</v>
      </c>
      <c r="Q26" t="s">
        <v>211</v>
      </c>
      <c r="R26" t="s">
        <v>67</v>
      </c>
      <c r="S26" t="s">
        <v>67</v>
      </c>
      <c r="T26">
        <v>4</v>
      </c>
      <c r="U26">
        <v>4492.9399999999996</v>
      </c>
      <c r="V26">
        <v>0.25</v>
      </c>
      <c r="W26">
        <v>13478.82</v>
      </c>
      <c r="X26">
        <v>10937.35</v>
      </c>
      <c r="Y26">
        <v>2541.4699999999998</v>
      </c>
      <c r="Z26" t="s">
        <v>137</v>
      </c>
      <c r="AA26" t="s">
        <v>78</v>
      </c>
    </row>
    <row r="27" spans="1:27">
      <c r="A27" t="s">
        <v>212</v>
      </c>
      <c r="B27" t="s">
        <v>213</v>
      </c>
      <c r="C27" t="s">
        <v>214</v>
      </c>
      <c r="D27">
        <f>IFERROR(C27-B27,"Invalid")</f>
        <v>8</v>
      </c>
      <c r="E27" s="7">
        <f>IF(OR(D27="Invalid",D27&lt;0),"",D27)</f>
        <v>8</v>
      </c>
      <c r="F27" t="s">
        <v>215</v>
      </c>
      <c r="G27" t="s">
        <v>61</v>
      </c>
      <c r="H27" t="str">
        <f>PROPER(TRIM(G27))</f>
        <v>Arjun Bose</v>
      </c>
      <c r="I27" t="s">
        <v>108</v>
      </c>
      <c r="J27" t="str">
        <f>PROPER(TRIM(I27))</f>
        <v>Corporate</v>
      </c>
      <c r="K27" t="s">
        <v>42</v>
      </c>
      <c r="L27" t="s">
        <v>216</v>
      </c>
      <c r="M27" t="s">
        <v>217</v>
      </c>
      <c r="N27" t="s">
        <v>86</v>
      </c>
      <c r="O27" t="str">
        <f>TRIM(N27)</f>
        <v>Technology</v>
      </c>
      <c r="P27" t="s">
        <v>87</v>
      </c>
      <c r="Q27" t="s">
        <v>218</v>
      </c>
      <c r="R27" t="s">
        <v>56</v>
      </c>
      <c r="S27" t="s">
        <v>56</v>
      </c>
      <c r="T27">
        <v>2</v>
      </c>
      <c r="U27">
        <v>4315.2</v>
      </c>
      <c r="V27">
        <v>0.15</v>
      </c>
      <c r="W27">
        <v>7335.84</v>
      </c>
      <c r="X27">
        <v>4968.41</v>
      </c>
      <c r="Y27">
        <v>2367.4299999999998</v>
      </c>
      <c r="Z27" t="s">
        <v>34</v>
      </c>
      <c r="AA27" t="s">
        <v>35</v>
      </c>
    </row>
    <row r="28" spans="1:27">
      <c r="A28" t="s">
        <v>219</v>
      </c>
      <c r="B28" t="s">
        <v>220</v>
      </c>
      <c r="C28" t="s">
        <v>221</v>
      </c>
      <c r="D28">
        <f>IFERROR(C28-B28,"Invalid")</f>
        <v>0</v>
      </c>
      <c r="E28" s="7">
        <f>IF(OR(D28="Invalid",D28&lt;0),"",D28)</f>
        <v>0</v>
      </c>
      <c r="F28" t="s">
        <v>222</v>
      </c>
      <c r="G28" t="s">
        <v>210</v>
      </c>
      <c r="H28" t="str">
        <f>PROPER(TRIM(G28))</f>
        <v>Diya Patel</v>
      </c>
      <c r="I28" t="s">
        <v>108</v>
      </c>
      <c r="J28" t="str">
        <f>PROPER(TRIM(I28))</f>
        <v>Corporate</v>
      </c>
      <c r="K28" t="s">
        <v>27</v>
      </c>
      <c r="L28" t="s">
        <v>174</v>
      </c>
      <c r="M28" t="s">
        <v>175</v>
      </c>
      <c r="N28" t="s">
        <v>86</v>
      </c>
      <c r="O28" t="str">
        <f>TRIM(N28)</f>
        <v>Technology</v>
      </c>
      <c r="P28" t="s">
        <v>223</v>
      </c>
      <c r="Q28" t="s">
        <v>224</v>
      </c>
      <c r="R28" t="s">
        <v>67</v>
      </c>
      <c r="S28" t="s">
        <v>67</v>
      </c>
      <c r="T28">
        <v>4</v>
      </c>
      <c r="U28">
        <v>716.13</v>
      </c>
      <c r="V28">
        <v>0.1</v>
      </c>
      <c r="W28">
        <v>2578.0700000000002</v>
      </c>
      <c r="X28">
        <v>1527.55</v>
      </c>
      <c r="Y28">
        <v>1050.52</v>
      </c>
      <c r="Z28" t="s">
        <v>34</v>
      </c>
      <c r="AA28" t="s">
        <v>125</v>
      </c>
    </row>
    <row r="29" spans="1:27">
      <c r="A29" t="s">
        <v>225</v>
      </c>
      <c r="B29" t="s">
        <v>226</v>
      </c>
      <c r="C29" t="s">
        <v>227</v>
      </c>
      <c r="D29">
        <f>IFERROR(C29-B29,"Invalid")</f>
        <v>6</v>
      </c>
      <c r="E29" s="7">
        <f>IF(OR(D29="Invalid",D29&lt;0),"",D29)</f>
        <v>6</v>
      </c>
      <c r="F29" t="s">
        <v>228</v>
      </c>
      <c r="G29" t="s">
        <v>61</v>
      </c>
      <c r="H29" t="str">
        <f>PROPER(TRIM(G29))</f>
        <v>Arjun Bose</v>
      </c>
      <c r="I29" t="s">
        <v>41</v>
      </c>
      <c r="J29" t="str">
        <f>PROPER(TRIM(I29))</f>
        <v>Small Business</v>
      </c>
      <c r="K29" t="s">
        <v>62</v>
      </c>
      <c r="L29" t="s">
        <v>229</v>
      </c>
      <c r="M29" t="s">
        <v>230</v>
      </c>
      <c r="N29" t="s">
        <v>30</v>
      </c>
      <c r="O29" t="str">
        <f>TRIM(N29)</f>
        <v>Office Supplies</v>
      </c>
      <c r="P29" t="s">
        <v>31</v>
      </c>
      <c r="Q29" t="s">
        <v>231</v>
      </c>
      <c r="R29" t="s">
        <v>33</v>
      </c>
      <c r="S29" t="s">
        <v>33</v>
      </c>
      <c r="T29">
        <v>5</v>
      </c>
      <c r="U29">
        <v>1806.51</v>
      </c>
      <c r="V29">
        <v>0.25</v>
      </c>
      <c r="W29">
        <v>6774.41</v>
      </c>
      <c r="X29">
        <v>4710.3599999999997</v>
      </c>
      <c r="Y29">
        <v>2064.0500000000002</v>
      </c>
      <c r="Z29" t="s">
        <v>200</v>
      </c>
      <c r="AA29" t="s">
        <v>125</v>
      </c>
    </row>
    <row r="30" spans="1:27">
      <c r="A30" t="s">
        <v>232</v>
      </c>
      <c r="B30" t="s">
        <v>213</v>
      </c>
      <c r="C30" t="s">
        <v>233</v>
      </c>
      <c r="D30">
        <f>IFERROR(C30-B30,"Invalid")</f>
        <v>7</v>
      </c>
      <c r="E30" s="7">
        <f>IF(OR(D30="Invalid",D30&lt;0),"",D30)</f>
        <v>7</v>
      </c>
      <c r="F30" t="s">
        <v>234</v>
      </c>
      <c r="G30" t="s">
        <v>72</v>
      </c>
      <c r="H30" t="str">
        <f>PROPER(TRIM(G30))</f>
        <v>Ananya Rao</v>
      </c>
      <c r="I30" t="s">
        <v>115</v>
      </c>
      <c r="J30" t="str">
        <f>PROPER(TRIM(I30))</f>
        <v>Home Office</v>
      </c>
      <c r="K30" t="s">
        <v>73</v>
      </c>
      <c r="L30" t="s">
        <v>235</v>
      </c>
      <c r="M30" t="s">
        <v>236</v>
      </c>
      <c r="N30" t="s">
        <v>86</v>
      </c>
      <c r="O30" t="str">
        <f>TRIM(N30)</f>
        <v>Technology</v>
      </c>
      <c r="P30" t="s">
        <v>223</v>
      </c>
      <c r="Q30" t="s">
        <v>237</v>
      </c>
      <c r="R30" t="s">
        <v>33</v>
      </c>
      <c r="S30" t="s">
        <v>33</v>
      </c>
      <c r="T30">
        <v>2</v>
      </c>
      <c r="U30">
        <v>1942.22</v>
      </c>
      <c r="V30">
        <v>0.25</v>
      </c>
      <c r="W30">
        <v>2913.33</v>
      </c>
      <c r="X30">
        <v>2122.33</v>
      </c>
      <c r="Y30">
        <v>791</v>
      </c>
      <c r="Z30" t="s">
        <v>124</v>
      </c>
      <c r="AA30" t="s">
        <v>78</v>
      </c>
    </row>
    <row r="31" spans="1:27">
      <c r="A31" t="s">
        <v>238</v>
      </c>
      <c r="B31" t="s">
        <v>239</v>
      </c>
      <c r="C31" t="s">
        <v>240</v>
      </c>
      <c r="D31">
        <f>IFERROR(C31-B31,"Invalid")</f>
        <v>0</v>
      </c>
      <c r="E31" s="7">
        <f>IF(OR(D31="Invalid",D31&lt;0),"",D31)</f>
        <v>0</v>
      </c>
      <c r="F31" t="s">
        <v>241</v>
      </c>
      <c r="G31" t="s">
        <v>180</v>
      </c>
      <c r="H31" t="str">
        <f>PROPER(TRIM(G31))</f>
        <v>Rohan Mehta</v>
      </c>
      <c r="I31" t="s">
        <v>115</v>
      </c>
      <c r="J31" t="str">
        <f>PROPER(TRIM(I31))</f>
        <v>Home Office</v>
      </c>
      <c r="K31" t="s">
        <v>62</v>
      </c>
      <c r="L31" t="s">
        <v>242</v>
      </c>
      <c r="M31" t="s">
        <v>243</v>
      </c>
      <c r="N31" t="s">
        <v>86</v>
      </c>
      <c r="O31" t="str">
        <f>TRIM(N31)</f>
        <v>Technology</v>
      </c>
      <c r="P31" t="s">
        <v>223</v>
      </c>
      <c r="Q31" t="s">
        <v>244</v>
      </c>
      <c r="R31" t="s">
        <v>67</v>
      </c>
      <c r="S31" t="s">
        <v>67</v>
      </c>
      <c r="T31">
        <v>1</v>
      </c>
      <c r="U31">
        <v>256.01</v>
      </c>
      <c r="V31">
        <v>0.15</v>
      </c>
      <c r="W31">
        <v>217.61</v>
      </c>
      <c r="X31">
        <v>119.77</v>
      </c>
      <c r="Y31">
        <v>97.84</v>
      </c>
      <c r="Z31" t="s">
        <v>34</v>
      </c>
      <c r="AA31" t="s">
        <v>35</v>
      </c>
    </row>
    <row r="32" spans="1:27">
      <c r="A32" t="s">
        <v>245</v>
      </c>
      <c r="B32" t="s">
        <v>246</v>
      </c>
      <c r="C32" t="s">
        <v>247</v>
      </c>
      <c r="D32">
        <f>IFERROR(C32-B32,"Invalid")</f>
        <v>297</v>
      </c>
      <c r="E32" s="7">
        <f>IF(OR(D32="Invalid",D32&lt;0),"",D32)</f>
        <v>297</v>
      </c>
      <c r="F32" t="s">
        <v>248</v>
      </c>
      <c r="G32" t="s">
        <v>72</v>
      </c>
      <c r="H32" t="str">
        <f>PROPER(TRIM(G32))</f>
        <v>Ananya Rao</v>
      </c>
      <c r="I32" t="s">
        <v>108</v>
      </c>
      <c r="J32" t="str">
        <f>PROPER(TRIM(I32))</f>
        <v>Corporate</v>
      </c>
      <c r="K32" t="s">
        <v>73</v>
      </c>
      <c r="L32" t="s">
        <v>249</v>
      </c>
      <c r="M32" t="s">
        <v>250</v>
      </c>
      <c r="N32" t="s">
        <v>30</v>
      </c>
      <c r="O32" t="str">
        <f>TRIM(N32)</f>
        <v>Office Supplies</v>
      </c>
      <c r="P32" t="s">
        <v>109</v>
      </c>
      <c r="Q32" t="s">
        <v>251</v>
      </c>
      <c r="R32" t="s">
        <v>56</v>
      </c>
      <c r="S32" t="s">
        <v>56</v>
      </c>
      <c r="T32">
        <v>1</v>
      </c>
      <c r="U32">
        <v>3421.77</v>
      </c>
      <c r="V32">
        <v>0.1</v>
      </c>
      <c r="W32">
        <v>3079.59</v>
      </c>
      <c r="X32">
        <v>2001.89</v>
      </c>
      <c r="Y32">
        <v>1077.7</v>
      </c>
      <c r="Z32" t="s">
        <v>34</v>
      </c>
      <c r="AA32" t="s">
        <v>35</v>
      </c>
    </row>
    <row r="33" spans="1:27">
      <c r="A33" t="s">
        <v>252</v>
      </c>
      <c r="B33" t="s">
        <v>253</v>
      </c>
      <c r="C33" t="s">
        <v>254</v>
      </c>
      <c r="D33">
        <f>IFERROR(C33-B33,"Invalid")</f>
        <v>4</v>
      </c>
      <c r="E33" s="7">
        <f>IF(OR(D33="Invalid",D33&lt;0),"",D33)</f>
        <v>4</v>
      </c>
      <c r="F33" t="s">
        <v>255</v>
      </c>
      <c r="G33" t="s">
        <v>25</v>
      </c>
      <c r="H33" t="str">
        <f>PROPER(TRIM(G33))</f>
        <v>Karan Malhotra</v>
      </c>
      <c r="I33" t="s">
        <v>41</v>
      </c>
      <c r="J33" t="str">
        <f>PROPER(TRIM(I33))</f>
        <v>Small Business</v>
      </c>
      <c r="K33" t="s">
        <v>73</v>
      </c>
      <c r="L33" t="s">
        <v>84</v>
      </c>
      <c r="M33" t="s">
        <v>85</v>
      </c>
      <c r="N33" t="s">
        <v>30</v>
      </c>
      <c r="O33" t="str">
        <f>TRIM(N33)</f>
        <v>Office Supplies</v>
      </c>
      <c r="P33" t="s">
        <v>31</v>
      </c>
      <c r="Q33" t="s">
        <v>256</v>
      </c>
      <c r="R33" t="s">
        <v>33</v>
      </c>
      <c r="S33" t="s">
        <v>33</v>
      </c>
      <c r="T33">
        <v>9</v>
      </c>
      <c r="U33">
        <v>3092.55</v>
      </c>
      <c r="V33">
        <v>0</v>
      </c>
      <c r="W33">
        <v>27832.95</v>
      </c>
      <c r="X33">
        <v>17769.75</v>
      </c>
      <c r="Y33">
        <v>10063.200000000001</v>
      </c>
      <c r="Z33" t="s">
        <v>200</v>
      </c>
      <c r="AA33" t="s">
        <v>125</v>
      </c>
    </row>
    <row r="34" spans="1:27">
      <c r="A34" t="s">
        <v>257</v>
      </c>
      <c r="B34" t="s">
        <v>258</v>
      </c>
      <c r="C34" t="s">
        <v>259</v>
      </c>
      <c r="D34">
        <f>IFERROR(C34-B34,"Invalid")</f>
        <v>4</v>
      </c>
      <c r="E34" s="7">
        <f>IF(OR(D34="Invalid",D34&lt;0),"",D34)</f>
        <v>4</v>
      </c>
      <c r="F34" t="s">
        <v>260</v>
      </c>
      <c r="G34" t="s">
        <v>162</v>
      </c>
      <c r="H34" t="str">
        <f>PROPER(TRIM(G34))</f>
        <v>Aarav Sharma</v>
      </c>
      <c r="I34" t="s">
        <v>108</v>
      </c>
      <c r="J34" t="str">
        <f>PROPER(TRIM(I34))</f>
        <v>Corporate</v>
      </c>
      <c r="K34" t="s">
        <v>62</v>
      </c>
      <c r="L34" t="s">
        <v>100</v>
      </c>
      <c r="M34" t="s">
        <v>101</v>
      </c>
      <c r="N34" t="s">
        <v>86</v>
      </c>
      <c r="O34" t="str">
        <f>TRIM(N34)</f>
        <v>Technology</v>
      </c>
      <c r="P34" t="s">
        <v>223</v>
      </c>
      <c r="Q34" t="s">
        <v>261</v>
      </c>
      <c r="R34" t="s">
        <v>33</v>
      </c>
      <c r="S34" t="s">
        <v>33</v>
      </c>
      <c r="T34">
        <v>3</v>
      </c>
      <c r="U34">
        <v>4001.25</v>
      </c>
      <c r="W34">
        <v>9002.81</v>
      </c>
      <c r="X34">
        <v>7529.92</v>
      </c>
      <c r="Y34">
        <v>1472.89</v>
      </c>
      <c r="Z34" t="s">
        <v>34</v>
      </c>
      <c r="AA34" t="s">
        <v>35</v>
      </c>
    </row>
    <row r="35" spans="1:27">
      <c r="A35" t="s">
        <v>262</v>
      </c>
      <c r="B35" t="s">
        <v>263</v>
      </c>
      <c r="C35" t="s">
        <v>264</v>
      </c>
      <c r="D35" t="str">
        <f>IFERROR(C35-B35,"Invalid")</f>
        <v>Invalid</v>
      </c>
      <c r="E35" s="7" t="str">
        <f>IF(OR(D35="Invalid",D35&lt;0),"",D35)</f>
        <v/>
      </c>
      <c r="F35" t="s">
        <v>265</v>
      </c>
      <c r="G35" t="s">
        <v>142</v>
      </c>
      <c r="H35" t="str">
        <f>PROPER(TRIM(G35))</f>
        <v>Priya Menon</v>
      </c>
      <c r="I35" t="s">
        <v>115</v>
      </c>
      <c r="J35" t="str">
        <f>PROPER(TRIM(I35))</f>
        <v>Home Office</v>
      </c>
      <c r="K35" t="s">
        <v>73</v>
      </c>
      <c r="L35" t="s">
        <v>249</v>
      </c>
      <c r="M35" t="s">
        <v>250</v>
      </c>
      <c r="N35" t="s">
        <v>45</v>
      </c>
      <c r="O35" t="str">
        <f>TRIM(N35)</f>
        <v>Furniture</v>
      </c>
      <c r="P35" t="s">
        <v>46</v>
      </c>
      <c r="Q35" t="s">
        <v>266</v>
      </c>
      <c r="R35" t="s">
        <v>48</v>
      </c>
      <c r="S35" t="s">
        <v>48</v>
      </c>
      <c r="T35">
        <v>7</v>
      </c>
      <c r="U35">
        <v>492.41</v>
      </c>
      <c r="V35">
        <v>0.25</v>
      </c>
      <c r="W35">
        <v>2585.15</v>
      </c>
      <c r="X35">
        <v>2070.73</v>
      </c>
      <c r="Y35">
        <v>514.41999999999996</v>
      </c>
      <c r="Z35" t="s">
        <v>34</v>
      </c>
      <c r="AA35" t="s">
        <v>35</v>
      </c>
    </row>
    <row r="36" spans="1:27">
      <c r="A36" t="s">
        <v>267</v>
      </c>
      <c r="B36" t="s">
        <v>268</v>
      </c>
      <c r="C36" t="s">
        <v>269</v>
      </c>
      <c r="D36">
        <f>IFERROR(C36-B36,"Invalid")</f>
        <v>5</v>
      </c>
      <c r="E36" s="7">
        <f>IF(OR(D36="Invalid",D36&lt;0),"",D36)</f>
        <v>5</v>
      </c>
      <c r="F36" t="s">
        <v>270</v>
      </c>
      <c r="G36" t="s">
        <v>142</v>
      </c>
      <c r="H36" t="str">
        <f>PROPER(TRIM(G36))</f>
        <v>Priya Menon</v>
      </c>
      <c r="I36" t="s">
        <v>115</v>
      </c>
      <c r="J36" t="str">
        <f>PROPER(TRIM(I36))</f>
        <v>Home Office</v>
      </c>
      <c r="K36" t="s">
        <v>42</v>
      </c>
      <c r="L36" t="s">
        <v>121</v>
      </c>
      <c r="M36" t="s">
        <v>122</v>
      </c>
      <c r="N36" t="s">
        <v>45</v>
      </c>
      <c r="O36" t="str">
        <f>TRIM(N36)</f>
        <v>Furniture</v>
      </c>
      <c r="P36" t="s">
        <v>76</v>
      </c>
      <c r="Q36" t="s">
        <v>271</v>
      </c>
      <c r="R36" t="s">
        <v>4124</v>
      </c>
      <c r="S36" t="s">
        <v>4111</v>
      </c>
      <c r="T36">
        <v>2</v>
      </c>
      <c r="U36">
        <v>4159.6899999999996</v>
      </c>
      <c r="V36">
        <v>0.2</v>
      </c>
      <c r="W36">
        <v>6655.5</v>
      </c>
      <c r="X36">
        <v>4340.21</v>
      </c>
      <c r="Y36">
        <v>2607.3200000000002</v>
      </c>
      <c r="Z36" t="s">
        <v>34</v>
      </c>
      <c r="AA36" t="s">
        <v>35</v>
      </c>
    </row>
    <row r="37" spans="1:27">
      <c r="A37" t="s">
        <v>272</v>
      </c>
      <c r="B37" t="s">
        <v>273</v>
      </c>
      <c r="C37" t="s">
        <v>274</v>
      </c>
      <c r="D37">
        <f>IFERROR(C37-B37,"Invalid")</f>
        <v>0</v>
      </c>
      <c r="E37" s="7">
        <f>IF(OR(D37="Invalid",D37&lt;0),"",D37)</f>
        <v>0</v>
      </c>
      <c r="F37" t="s">
        <v>275</v>
      </c>
      <c r="G37" t="s">
        <v>168</v>
      </c>
      <c r="H37" t="str">
        <f>PROPER(TRIM(G37))</f>
        <v>Sneha Kapoor</v>
      </c>
      <c r="I37" t="s">
        <v>41</v>
      </c>
      <c r="J37" t="str">
        <f>PROPER(TRIM(I37))</f>
        <v>Small Business</v>
      </c>
      <c r="K37" t="s">
        <v>73</v>
      </c>
      <c r="L37" t="s">
        <v>235</v>
      </c>
      <c r="M37" t="s">
        <v>236</v>
      </c>
      <c r="N37" t="s">
        <v>45</v>
      </c>
      <c r="O37" t="str">
        <f>TRIM(N37)</f>
        <v>Furniture</v>
      </c>
      <c r="P37" t="s">
        <v>204</v>
      </c>
      <c r="Q37" t="s">
        <v>276</v>
      </c>
      <c r="R37" t="s">
        <v>33</v>
      </c>
      <c r="S37" t="s">
        <v>33</v>
      </c>
      <c r="T37">
        <v>8</v>
      </c>
      <c r="U37">
        <v>2507.12</v>
      </c>
      <c r="V37">
        <v>0.05</v>
      </c>
      <c r="W37">
        <v>19054.11</v>
      </c>
      <c r="X37">
        <v>15313.83</v>
      </c>
      <c r="Y37">
        <v>3740.28</v>
      </c>
      <c r="Z37" t="s">
        <v>137</v>
      </c>
      <c r="AA37" t="s">
        <v>125</v>
      </c>
    </row>
    <row r="38" spans="1:27">
      <c r="A38" t="s">
        <v>277</v>
      </c>
      <c r="B38" t="s">
        <v>278</v>
      </c>
      <c r="C38" t="s">
        <v>279</v>
      </c>
      <c r="D38">
        <f>IFERROR(C38-B38,"Invalid")</f>
        <v>3</v>
      </c>
      <c r="E38" s="7">
        <f>IF(OR(D38="Invalid",D38&lt;0),"",D38)</f>
        <v>3</v>
      </c>
      <c r="F38" t="s">
        <v>280</v>
      </c>
      <c r="G38" t="s">
        <v>180</v>
      </c>
      <c r="H38" t="str">
        <f>PROPER(TRIM(G38))</f>
        <v>Rohan Mehta</v>
      </c>
      <c r="I38" t="s">
        <v>108</v>
      </c>
      <c r="J38" t="str">
        <f>PROPER(TRIM(I38))</f>
        <v>Corporate</v>
      </c>
      <c r="K38" t="s">
        <v>73</v>
      </c>
      <c r="L38" t="s">
        <v>74</v>
      </c>
      <c r="M38" t="s">
        <v>75</v>
      </c>
      <c r="N38" t="s">
        <v>45</v>
      </c>
      <c r="O38" t="str">
        <f>TRIM(N38)</f>
        <v>Furniture</v>
      </c>
      <c r="P38" t="s">
        <v>204</v>
      </c>
      <c r="Q38" t="s">
        <v>281</v>
      </c>
      <c r="R38" t="s">
        <v>33</v>
      </c>
      <c r="S38" t="s">
        <v>33</v>
      </c>
      <c r="T38">
        <v>3</v>
      </c>
      <c r="U38">
        <v>3126.47</v>
      </c>
      <c r="V38">
        <v>0</v>
      </c>
      <c r="W38">
        <v>9379.41</v>
      </c>
      <c r="X38">
        <v>6670.85</v>
      </c>
      <c r="Y38">
        <v>2708.56</v>
      </c>
      <c r="Z38" t="s">
        <v>34</v>
      </c>
      <c r="AA38" t="s">
        <v>125</v>
      </c>
    </row>
    <row r="39" spans="1:27">
      <c r="A39" t="s">
        <v>282</v>
      </c>
      <c r="B39" t="s">
        <v>283</v>
      </c>
      <c r="C39" t="s">
        <v>283</v>
      </c>
      <c r="D39">
        <f>IFERROR(C39-B39,"Invalid")</f>
        <v>0</v>
      </c>
      <c r="E39" s="7">
        <f>IF(OR(D39="Invalid",D39&lt;0),"",D39)</f>
        <v>0</v>
      </c>
      <c r="F39" t="s">
        <v>284</v>
      </c>
      <c r="G39" t="s">
        <v>210</v>
      </c>
      <c r="H39" t="str">
        <f>PROPER(TRIM(G39))</f>
        <v>Diya Patel</v>
      </c>
      <c r="I39" t="s">
        <v>26</v>
      </c>
      <c r="J39" t="str">
        <f>PROPER(TRIM(I39))</f>
        <v>Consumer</v>
      </c>
      <c r="K39" t="s">
        <v>73</v>
      </c>
      <c r="L39" t="s">
        <v>74</v>
      </c>
      <c r="M39" t="s">
        <v>75</v>
      </c>
      <c r="N39" t="s">
        <v>86</v>
      </c>
      <c r="O39" t="str">
        <f>TRIM(N39)</f>
        <v>Technology</v>
      </c>
      <c r="P39" t="s">
        <v>94</v>
      </c>
      <c r="Q39" t="s">
        <v>285</v>
      </c>
      <c r="R39" t="s">
        <v>286</v>
      </c>
      <c r="S39" t="s">
        <v>286</v>
      </c>
      <c r="T39">
        <v>4</v>
      </c>
      <c r="U39">
        <v>1327.54</v>
      </c>
      <c r="V39">
        <v>0.2</v>
      </c>
      <c r="W39">
        <v>4248.13</v>
      </c>
      <c r="X39">
        <v>3321.09</v>
      </c>
      <c r="Y39">
        <v>927.04</v>
      </c>
      <c r="Z39" t="s">
        <v>34</v>
      </c>
      <c r="AA39" t="s">
        <v>35</v>
      </c>
    </row>
    <row r="40" spans="1:27">
      <c r="A40" t="s">
        <v>287</v>
      </c>
      <c r="B40" t="s">
        <v>288</v>
      </c>
      <c r="C40" t="s">
        <v>289</v>
      </c>
      <c r="D40">
        <f>IFERROR(C40-B40,"Invalid")</f>
        <v>5</v>
      </c>
      <c r="E40" s="7">
        <f>IF(OR(D40="Invalid",D40&lt;0),"",D40)</f>
        <v>5</v>
      </c>
      <c r="F40" t="s">
        <v>290</v>
      </c>
      <c r="G40" t="s">
        <v>162</v>
      </c>
      <c r="H40" t="str">
        <f>PROPER(TRIM(G40))</f>
        <v>Aarav Sharma</v>
      </c>
      <c r="I40" t="s">
        <v>108</v>
      </c>
      <c r="J40" t="str">
        <f>PROPER(TRIM(I40))</f>
        <v>Corporate</v>
      </c>
      <c r="K40" t="s">
        <v>73</v>
      </c>
      <c r="L40" t="s">
        <v>235</v>
      </c>
      <c r="M40" t="s">
        <v>236</v>
      </c>
      <c r="N40" t="s">
        <v>86</v>
      </c>
      <c r="O40" t="str">
        <f>TRIM(N40)</f>
        <v>Technology</v>
      </c>
      <c r="P40" t="s">
        <v>223</v>
      </c>
      <c r="Q40" t="s">
        <v>291</v>
      </c>
      <c r="R40" t="s">
        <v>56</v>
      </c>
      <c r="S40" t="s">
        <v>56</v>
      </c>
      <c r="T40">
        <v>7</v>
      </c>
      <c r="U40">
        <v>2210.6799999999998</v>
      </c>
      <c r="V40">
        <v>0.1</v>
      </c>
      <c r="W40">
        <v>13927.28</v>
      </c>
      <c r="X40">
        <v>10504.87</v>
      </c>
      <c r="Y40">
        <v>3422.41</v>
      </c>
      <c r="Z40" t="s">
        <v>34</v>
      </c>
      <c r="AA40" t="s">
        <v>35</v>
      </c>
    </row>
    <row r="41" spans="1:27">
      <c r="A41" t="s">
        <v>292</v>
      </c>
      <c r="B41" t="s">
        <v>293</v>
      </c>
      <c r="C41" t="s">
        <v>294</v>
      </c>
      <c r="D41">
        <f>IFERROR(C41-B41,"Invalid")</f>
        <v>29</v>
      </c>
      <c r="E41" s="7">
        <f>IF(OR(D41="Invalid",D41&lt;0),"",D41)</f>
        <v>29</v>
      </c>
      <c r="F41" t="s">
        <v>295</v>
      </c>
      <c r="G41" t="s">
        <v>40</v>
      </c>
      <c r="H41" t="str">
        <f>PROPER(TRIM(G41))</f>
        <v>Mira Das</v>
      </c>
      <c r="I41" t="s">
        <v>41</v>
      </c>
      <c r="J41" t="str">
        <f>PROPER(TRIM(I41))</f>
        <v>Small Business</v>
      </c>
      <c r="K41" t="s">
        <v>73</v>
      </c>
      <c r="L41" t="s">
        <v>84</v>
      </c>
      <c r="M41" t="s">
        <v>85</v>
      </c>
      <c r="N41" t="s">
        <v>86</v>
      </c>
      <c r="O41" t="str">
        <f>TRIM(N41)</f>
        <v>Technology</v>
      </c>
      <c r="P41" t="s">
        <v>94</v>
      </c>
      <c r="Q41" t="s">
        <v>296</v>
      </c>
      <c r="R41" t="s">
        <v>56</v>
      </c>
      <c r="S41" t="s">
        <v>56</v>
      </c>
      <c r="T41">
        <v>4</v>
      </c>
      <c r="U41">
        <v>1370.92</v>
      </c>
      <c r="V41">
        <v>0.1</v>
      </c>
      <c r="W41">
        <v>4935.3100000000004</v>
      </c>
      <c r="X41">
        <v>3374.77</v>
      </c>
      <c r="Y41">
        <v>1560.54</v>
      </c>
      <c r="Z41" t="s">
        <v>137</v>
      </c>
      <c r="AA41" t="s">
        <v>125</v>
      </c>
    </row>
    <row r="42" spans="1:27">
      <c r="A42" t="s">
        <v>297</v>
      </c>
      <c r="B42" t="s">
        <v>298</v>
      </c>
      <c r="C42" t="s">
        <v>299</v>
      </c>
      <c r="D42">
        <f>IFERROR(C42-B42,"Invalid")</f>
        <v>6</v>
      </c>
      <c r="E42" s="7">
        <f>IF(OR(D42="Invalid",D42&lt;0),"",D42)</f>
        <v>6</v>
      </c>
      <c r="F42" t="s">
        <v>300</v>
      </c>
      <c r="G42" t="s">
        <v>53</v>
      </c>
      <c r="H42" t="str">
        <f>PROPER(TRIM(G42))</f>
        <v>Isha Nair</v>
      </c>
      <c r="I42" t="s">
        <v>115</v>
      </c>
      <c r="J42" t="str">
        <f>PROPER(TRIM(I42))</f>
        <v>Home Office</v>
      </c>
      <c r="K42" t="s">
        <v>73</v>
      </c>
      <c r="L42" t="s">
        <v>28</v>
      </c>
      <c r="M42" t="s">
        <v>135</v>
      </c>
      <c r="N42" t="s">
        <v>86</v>
      </c>
      <c r="O42" t="str">
        <f>TRIM(N42)</f>
        <v>Technology</v>
      </c>
      <c r="P42" t="s">
        <v>94</v>
      </c>
      <c r="Q42" t="s">
        <v>301</v>
      </c>
      <c r="R42" t="s">
        <v>67</v>
      </c>
      <c r="S42" t="s">
        <v>67</v>
      </c>
      <c r="T42">
        <v>7</v>
      </c>
      <c r="U42">
        <v>2509.27</v>
      </c>
      <c r="V42">
        <v>0.2</v>
      </c>
      <c r="W42">
        <v>14051.91</v>
      </c>
      <c r="X42">
        <v>11990.37</v>
      </c>
      <c r="Y42">
        <v>2061.54</v>
      </c>
      <c r="Z42" t="s">
        <v>34</v>
      </c>
      <c r="AA42" t="s">
        <v>35</v>
      </c>
    </row>
    <row r="43" spans="1:27">
      <c r="A43" t="s">
        <v>302</v>
      </c>
      <c r="B43" t="s">
        <v>303</v>
      </c>
      <c r="C43" t="s">
        <v>304</v>
      </c>
      <c r="D43">
        <f>IFERROR(C43-B43,"Invalid")</f>
        <v>-261</v>
      </c>
      <c r="E43" s="7" t="str">
        <f>IF(OR(D43="Invalid",D43&lt;0),"",D43)</f>
        <v/>
      </c>
      <c r="F43" t="s">
        <v>305</v>
      </c>
      <c r="G43" t="s">
        <v>162</v>
      </c>
      <c r="H43" t="str">
        <f>PROPER(TRIM(G43))</f>
        <v>Aarav Sharma</v>
      </c>
      <c r="I43" t="s">
        <v>41</v>
      </c>
      <c r="J43" t="str">
        <f>PROPER(TRIM(I43))</f>
        <v>Small Business</v>
      </c>
      <c r="K43" t="s">
        <v>42</v>
      </c>
      <c r="L43" t="s">
        <v>43</v>
      </c>
      <c r="M43" t="s">
        <v>44</v>
      </c>
      <c r="N43" t="s">
        <v>45</v>
      </c>
      <c r="O43" t="str">
        <f>TRIM(N43)</f>
        <v>Furniture</v>
      </c>
      <c r="P43" t="s">
        <v>204</v>
      </c>
      <c r="Q43" t="s">
        <v>306</v>
      </c>
      <c r="R43" t="s">
        <v>48</v>
      </c>
      <c r="S43" t="s">
        <v>48</v>
      </c>
      <c r="T43">
        <v>8</v>
      </c>
      <c r="U43">
        <v>855.81</v>
      </c>
      <c r="V43">
        <v>0</v>
      </c>
      <c r="W43">
        <v>6846.48</v>
      </c>
      <c r="X43">
        <v>4239.8900000000003</v>
      </c>
      <c r="Y43">
        <v>2606.59</v>
      </c>
      <c r="Z43" t="s">
        <v>137</v>
      </c>
      <c r="AA43" t="s">
        <v>78</v>
      </c>
    </row>
    <row r="44" spans="1:27">
      <c r="A44" t="s">
        <v>307</v>
      </c>
      <c r="B44" t="s">
        <v>308</v>
      </c>
      <c r="C44" t="s">
        <v>309</v>
      </c>
      <c r="D44">
        <f>IFERROR(C44-B44,"Invalid")</f>
        <v>5</v>
      </c>
      <c r="E44" s="7">
        <f>IF(OR(D44="Invalid",D44&lt;0),"",D44)</f>
        <v>5</v>
      </c>
      <c r="F44" t="s">
        <v>310</v>
      </c>
      <c r="G44" t="s">
        <v>61</v>
      </c>
      <c r="H44" t="str">
        <f>PROPER(TRIM(G44))</f>
        <v>Arjun Bose</v>
      </c>
      <c r="I44" t="s">
        <v>108</v>
      </c>
      <c r="J44" t="str">
        <f>PROPER(TRIM(I44))</f>
        <v>Corporate</v>
      </c>
      <c r="K44" t="s">
        <v>42</v>
      </c>
      <c r="L44" t="s">
        <v>311</v>
      </c>
      <c r="M44" t="s">
        <v>312</v>
      </c>
      <c r="N44" t="s">
        <v>86</v>
      </c>
      <c r="O44" t="str">
        <f>TRIM(N44)</f>
        <v>Technology</v>
      </c>
      <c r="P44" t="s">
        <v>223</v>
      </c>
      <c r="Q44" t="s">
        <v>313</v>
      </c>
      <c r="R44" t="s">
        <v>67</v>
      </c>
      <c r="S44" t="s">
        <v>67</v>
      </c>
      <c r="T44">
        <v>8</v>
      </c>
      <c r="U44">
        <v>979.87</v>
      </c>
      <c r="V44">
        <v>0.05</v>
      </c>
      <c r="W44">
        <v>7447.01</v>
      </c>
      <c r="X44">
        <v>4496.22</v>
      </c>
      <c r="Y44">
        <v>2950.79</v>
      </c>
      <c r="Z44" t="s">
        <v>34</v>
      </c>
      <c r="AA44" t="s">
        <v>35</v>
      </c>
    </row>
    <row r="45" spans="1:27">
      <c r="A45" t="s">
        <v>314</v>
      </c>
      <c r="B45" t="s">
        <v>315</v>
      </c>
      <c r="C45" t="s">
        <v>316</v>
      </c>
      <c r="D45" t="str">
        <f>IFERROR(C45-B45,"Invalid")</f>
        <v>Invalid</v>
      </c>
      <c r="E45" s="7" t="str">
        <f>IF(OR(D45="Invalid",D45&lt;0),"",D45)</f>
        <v/>
      </c>
      <c r="F45" t="s">
        <v>317</v>
      </c>
      <c r="G45" t="s">
        <v>142</v>
      </c>
      <c r="H45" t="str">
        <f>PROPER(TRIM(G45))</f>
        <v>Priya Menon</v>
      </c>
      <c r="I45" t="s">
        <v>41</v>
      </c>
      <c r="J45" t="str">
        <f>PROPER(TRIM(I45))</f>
        <v>Small Business</v>
      </c>
      <c r="K45" t="s">
        <v>42</v>
      </c>
      <c r="L45" t="s">
        <v>43</v>
      </c>
      <c r="M45" t="s">
        <v>44</v>
      </c>
      <c r="N45" t="s">
        <v>45</v>
      </c>
      <c r="O45" t="str">
        <f>TRIM(N45)</f>
        <v>Furniture</v>
      </c>
      <c r="P45" t="s">
        <v>65</v>
      </c>
      <c r="Q45" t="s">
        <v>318</v>
      </c>
      <c r="R45" t="s">
        <v>48</v>
      </c>
      <c r="S45" t="s">
        <v>48</v>
      </c>
      <c r="T45">
        <v>3</v>
      </c>
      <c r="U45">
        <v>1010.23</v>
      </c>
      <c r="V45">
        <v>0</v>
      </c>
      <c r="W45">
        <v>3030.69</v>
      </c>
      <c r="X45">
        <v>1721.08</v>
      </c>
      <c r="Y45">
        <v>1309.6099999999999</v>
      </c>
      <c r="Z45" t="s">
        <v>34</v>
      </c>
      <c r="AA45" t="s">
        <v>35</v>
      </c>
    </row>
    <row r="46" spans="1:27">
      <c r="A46" t="s">
        <v>319</v>
      </c>
      <c r="B46" t="s">
        <v>320</v>
      </c>
      <c r="C46" t="s">
        <v>321</v>
      </c>
      <c r="D46" t="str">
        <f>IFERROR(C46-B46,"Invalid")</f>
        <v>Invalid</v>
      </c>
      <c r="E46" s="7" t="str">
        <f>IF(OR(D46="Invalid",D46&lt;0),"",D46)</f>
        <v/>
      </c>
      <c r="F46" t="s">
        <v>322</v>
      </c>
      <c r="G46" t="s">
        <v>180</v>
      </c>
      <c r="H46" t="str">
        <f>PROPER(TRIM(G46))</f>
        <v>Rohan Mehta</v>
      </c>
      <c r="I46" t="s">
        <v>41</v>
      </c>
      <c r="J46" t="str">
        <f>PROPER(TRIM(I46))</f>
        <v>Small Business</v>
      </c>
      <c r="K46" t="s">
        <v>27</v>
      </c>
      <c r="L46" t="s">
        <v>323</v>
      </c>
      <c r="M46" t="s">
        <v>324</v>
      </c>
      <c r="N46" t="s">
        <v>45</v>
      </c>
      <c r="O46" t="str">
        <f>TRIM(N46)</f>
        <v>Furniture</v>
      </c>
      <c r="P46" t="s">
        <v>76</v>
      </c>
      <c r="Q46" t="s">
        <v>325</v>
      </c>
      <c r="R46" t="s">
        <v>67</v>
      </c>
      <c r="S46" t="s">
        <v>67</v>
      </c>
      <c r="T46">
        <v>9</v>
      </c>
      <c r="U46">
        <v>3329.77</v>
      </c>
      <c r="V46">
        <v>0.1</v>
      </c>
      <c r="W46">
        <v>26971.14</v>
      </c>
      <c r="X46">
        <v>17376.2</v>
      </c>
      <c r="Y46">
        <v>9594.94</v>
      </c>
      <c r="Z46" t="s">
        <v>34</v>
      </c>
      <c r="AA46" t="s">
        <v>35</v>
      </c>
    </row>
    <row r="47" spans="1:27">
      <c r="A47" t="s">
        <v>326</v>
      </c>
      <c r="B47" t="s">
        <v>327</v>
      </c>
      <c r="C47" t="s">
        <v>328</v>
      </c>
      <c r="D47">
        <f>IFERROR(C47-B47,"Invalid")</f>
        <v>6</v>
      </c>
      <c r="E47" s="7">
        <f>IF(OR(D47="Invalid",D47&lt;0),"",D47)</f>
        <v>6</v>
      </c>
      <c r="F47" t="s">
        <v>329</v>
      </c>
      <c r="G47" t="s">
        <v>53</v>
      </c>
      <c r="H47" t="str">
        <f>PROPER(TRIM(G47))</f>
        <v>Isha Nair</v>
      </c>
      <c r="I47" t="s">
        <v>115</v>
      </c>
      <c r="J47" t="str">
        <f>PROPER(TRIM(I47))</f>
        <v>Home Office</v>
      </c>
      <c r="K47" t="s">
        <v>42</v>
      </c>
      <c r="L47" t="s">
        <v>186</v>
      </c>
      <c r="M47" t="s">
        <v>187</v>
      </c>
      <c r="N47" t="s">
        <v>30</v>
      </c>
      <c r="O47" t="str">
        <f>TRIM(N47)</f>
        <v>Office Supplies</v>
      </c>
      <c r="P47" t="s">
        <v>54</v>
      </c>
      <c r="Q47" t="s">
        <v>330</v>
      </c>
      <c r="R47" t="s">
        <v>33</v>
      </c>
      <c r="S47" t="s">
        <v>33</v>
      </c>
      <c r="T47">
        <v>8</v>
      </c>
      <c r="U47">
        <v>3927.82</v>
      </c>
      <c r="V47">
        <v>0.05</v>
      </c>
      <c r="W47">
        <v>29851.43</v>
      </c>
      <c r="X47">
        <v>17487.48</v>
      </c>
      <c r="Y47">
        <v>12363.95</v>
      </c>
      <c r="Z47" t="s">
        <v>137</v>
      </c>
      <c r="AA47" t="s">
        <v>125</v>
      </c>
    </row>
    <row r="48" spans="1:27">
      <c r="A48" t="s">
        <v>331</v>
      </c>
      <c r="B48" t="s">
        <v>332</v>
      </c>
      <c r="C48" t="s">
        <v>332</v>
      </c>
      <c r="D48">
        <f>IFERROR(C48-B48,"Invalid")</f>
        <v>0</v>
      </c>
      <c r="E48" s="7">
        <f>IF(OR(D48="Invalid",D48&lt;0),"",D48)</f>
        <v>0</v>
      </c>
      <c r="F48" t="s">
        <v>333</v>
      </c>
      <c r="G48" t="s">
        <v>72</v>
      </c>
      <c r="H48" t="str">
        <f>PROPER(TRIM(G48))</f>
        <v>Ananya Rao</v>
      </c>
      <c r="I48" t="s">
        <v>41</v>
      </c>
      <c r="J48" t="str">
        <f>PROPER(TRIM(I48))</f>
        <v>Small Business</v>
      </c>
      <c r="K48" t="s">
        <v>62</v>
      </c>
      <c r="L48" t="s">
        <v>242</v>
      </c>
      <c r="M48" t="s">
        <v>243</v>
      </c>
      <c r="N48" t="s">
        <v>45</v>
      </c>
      <c r="O48" t="str">
        <f>TRIM(N48)</f>
        <v>Furniture</v>
      </c>
      <c r="P48" t="s">
        <v>204</v>
      </c>
      <c r="Q48" t="s">
        <v>334</v>
      </c>
      <c r="R48" t="s">
        <v>67</v>
      </c>
      <c r="S48" t="s">
        <v>67</v>
      </c>
      <c r="T48">
        <v>9</v>
      </c>
      <c r="U48">
        <v>2386.79</v>
      </c>
      <c r="V48">
        <v>0.25</v>
      </c>
      <c r="W48">
        <v>16110.83</v>
      </c>
      <c r="X48">
        <v>10680.03</v>
      </c>
      <c r="Y48">
        <v>5430.8</v>
      </c>
      <c r="Z48" t="s">
        <v>124</v>
      </c>
      <c r="AA48" t="s">
        <v>125</v>
      </c>
    </row>
    <row r="49" spans="1:27">
      <c r="A49" t="s">
        <v>335</v>
      </c>
      <c r="B49" t="s">
        <v>336</v>
      </c>
      <c r="C49" t="s">
        <v>337</v>
      </c>
      <c r="D49">
        <f>IFERROR(C49-B49,"Invalid")</f>
        <v>0</v>
      </c>
      <c r="E49" s="7">
        <f>IF(OR(D49="Invalid",D49&lt;0),"",D49)</f>
        <v>0</v>
      </c>
      <c r="F49" t="s">
        <v>338</v>
      </c>
      <c r="G49" t="s">
        <v>148</v>
      </c>
      <c r="H49" t="str">
        <f>PROPER(TRIM(G49))</f>
        <v>Rahul Verma</v>
      </c>
      <c r="I49" t="s">
        <v>108</v>
      </c>
      <c r="J49" t="str">
        <f>PROPER(TRIM(I49))</f>
        <v>Corporate</v>
      </c>
      <c r="K49" t="s">
        <v>62</v>
      </c>
      <c r="L49" t="s">
        <v>339</v>
      </c>
      <c r="M49" t="s">
        <v>340</v>
      </c>
      <c r="N49" t="s">
        <v>30</v>
      </c>
      <c r="O49" t="str">
        <f>TRIM(N49)</f>
        <v>Office Supplies</v>
      </c>
      <c r="P49" t="s">
        <v>156</v>
      </c>
      <c r="Q49" t="s">
        <v>341</v>
      </c>
      <c r="R49" t="s">
        <v>67</v>
      </c>
      <c r="S49" t="s">
        <v>67</v>
      </c>
      <c r="T49">
        <v>8</v>
      </c>
      <c r="U49">
        <v>2445.31</v>
      </c>
      <c r="V49">
        <v>0.1</v>
      </c>
      <c r="W49">
        <v>17606.23</v>
      </c>
      <c r="X49">
        <v>12438.96</v>
      </c>
      <c r="Y49">
        <v>5167.2700000000004</v>
      </c>
      <c r="Z49" t="s">
        <v>34</v>
      </c>
      <c r="AA49" t="s">
        <v>35</v>
      </c>
    </row>
    <row r="50" spans="1:27">
      <c r="A50" t="s">
        <v>342</v>
      </c>
      <c r="B50" t="s">
        <v>343</v>
      </c>
      <c r="C50" t="s">
        <v>344</v>
      </c>
      <c r="D50">
        <f>IFERROR(C50-B50,"Invalid")</f>
        <v>6</v>
      </c>
      <c r="E50" s="7">
        <f>IF(OR(D50="Invalid",D50&lt;0),"",D50)</f>
        <v>6</v>
      </c>
      <c r="F50" t="s">
        <v>345</v>
      </c>
      <c r="G50" t="s">
        <v>93</v>
      </c>
      <c r="H50" t="str">
        <f>PROPER(TRIM(G50))</f>
        <v>Neha Gupta</v>
      </c>
      <c r="I50" t="s">
        <v>108</v>
      </c>
      <c r="J50" t="str">
        <f>PROPER(TRIM(I50))</f>
        <v>Corporate</v>
      </c>
      <c r="K50" t="s">
        <v>73</v>
      </c>
      <c r="L50" t="s">
        <v>74</v>
      </c>
      <c r="M50" t="s">
        <v>75</v>
      </c>
      <c r="N50" t="s">
        <v>45</v>
      </c>
      <c r="O50" t="str">
        <f>TRIM(N50)</f>
        <v>Furniture</v>
      </c>
      <c r="P50" t="s">
        <v>76</v>
      </c>
      <c r="Q50" t="s">
        <v>346</v>
      </c>
      <c r="R50" t="s">
        <v>33</v>
      </c>
      <c r="S50" t="s">
        <v>33</v>
      </c>
      <c r="T50">
        <v>7</v>
      </c>
      <c r="U50">
        <v>4063.66</v>
      </c>
      <c r="V50">
        <v>0</v>
      </c>
      <c r="W50">
        <v>28445.62</v>
      </c>
      <c r="X50">
        <v>20938.59</v>
      </c>
      <c r="Y50">
        <v>7507.03</v>
      </c>
      <c r="Z50" t="s">
        <v>34</v>
      </c>
      <c r="AA50" t="s">
        <v>35</v>
      </c>
    </row>
    <row r="51" spans="1:27">
      <c r="A51" t="s">
        <v>347</v>
      </c>
      <c r="B51" t="s">
        <v>348</v>
      </c>
      <c r="C51" t="s">
        <v>349</v>
      </c>
      <c r="D51">
        <f>IFERROR(C51-B51,"Invalid")</f>
        <v>7</v>
      </c>
      <c r="E51" s="7">
        <f>IF(OR(D51="Invalid",D51&lt;0),"",D51)</f>
        <v>7</v>
      </c>
      <c r="F51" t="s">
        <v>350</v>
      </c>
      <c r="G51" t="s">
        <v>162</v>
      </c>
      <c r="H51" t="str">
        <f>PROPER(TRIM(G51))</f>
        <v>Aarav Sharma</v>
      </c>
      <c r="I51" t="s">
        <v>115</v>
      </c>
      <c r="J51" t="str">
        <f>PROPER(TRIM(I51))</f>
        <v>Home Office</v>
      </c>
      <c r="K51" t="s">
        <v>27</v>
      </c>
      <c r="L51" t="s">
        <v>174</v>
      </c>
      <c r="M51" t="s">
        <v>175</v>
      </c>
      <c r="N51" t="s">
        <v>86</v>
      </c>
      <c r="O51" t="str">
        <f>TRIM(N51)</f>
        <v>Technology</v>
      </c>
      <c r="P51" t="s">
        <v>94</v>
      </c>
      <c r="Q51" t="s">
        <v>351</v>
      </c>
      <c r="R51" t="s">
        <v>33</v>
      </c>
      <c r="S51" t="s">
        <v>33</v>
      </c>
      <c r="T51">
        <v>9</v>
      </c>
      <c r="U51">
        <v>792.11</v>
      </c>
      <c r="V51">
        <v>0.05</v>
      </c>
      <c r="W51">
        <v>6772.54</v>
      </c>
      <c r="X51">
        <v>5755.46</v>
      </c>
      <c r="Y51">
        <v>1017.08</v>
      </c>
      <c r="Z51" t="s">
        <v>34</v>
      </c>
      <c r="AA51" t="s">
        <v>35</v>
      </c>
    </row>
    <row r="52" spans="1:27">
      <c r="A52" t="s">
        <v>352</v>
      </c>
      <c r="B52" t="s">
        <v>353</v>
      </c>
      <c r="C52" t="s">
        <v>354</v>
      </c>
      <c r="D52">
        <f>IFERROR(C52-B52,"Invalid")</f>
        <v>-170</v>
      </c>
      <c r="E52" s="7" t="str">
        <f>IF(OR(D52="Invalid",D52&lt;0),"",D52)</f>
        <v/>
      </c>
      <c r="F52" t="s">
        <v>355</v>
      </c>
      <c r="G52" t="s">
        <v>168</v>
      </c>
      <c r="H52" t="str">
        <f>PROPER(TRIM(G52))</f>
        <v>Sneha Kapoor</v>
      </c>
      <c r="I52" t="s">
        <v>26</v>
      </c>
      <c r="J52" t="str">
        <f>PROPER(TRIM(I52))</f>
        <v>Consumer</v>
      </c>
      <c r="K52" t="s">
        <v>42</v>
      </c>
      <c r="L52" t="s">
        <v>121</v>
      </c>
      <c r="M52" t="s">
        <v>122</v>
      </c>
      <c r="N52" t="s">
        <v>86</v>
      </c>
      <c r="O52" t="str">
        <f>TRIM(N52)</f>
        <v>Technology</v>
      </c>
      <c r="P52" t="s">
        <v>94</v>
      </c>
      <c r="Q52" t="s">
        <v>356</v>
      </c>
      <c r="R52" t="s">
        <v>67</v>
      </c>
      <c r="S52" t="s">
        <v>67</v>
      </c>
      <c r="T52">
        <v>1</v>
      </c>
      <c r="U52">
        <v>2382.8000000000002</v>
      </c>
      <c r="V52">
        <v>0.15</v>
      </c>
      <c r="W52">
        <v>2025.38</v>
      </c>
      <c r="X52">
        <v>1140.6500000000001</v>
      </c>
      <c r="Y52">
        <v>884.73</v>
      </c>
      <c r="Z52" t="s">
        <v>34</v>
      </c>
      <c r="AA52" t="s">
        <v>35</v>
      </c>
    </row>
    <row r="53" spans="1:27">
      <c r="A53" t="s">
        <v>357</v>
      </c>
      <c r="B53" t="s">
        <v>358</v>
      </c>
      <c r="C53" t="s">
        <v>359</v>
      </c>
      <c r="D53">
        <f>IFERROR(C53-B53,"Invalid")</f>
        <v>5</v>
      </c>
      <c r="E53" s="7">
        <f>IF(OR(D53="Invalid",D53&lt;0),"",D53)</f>
        <v>5</v>
      </c>
      <c r="F53" t="s">
        <v>360</v>
      </c>
      <c r="G53" t="s">
        <v>72</v>
      </c>
      <c r="H53" t="str">
        <f>PROPER(TRIM(G53))</f>
        <v>Ananya Rao</v>
      </c>
      <c r="I53" t="s">
        <v>108</v>
      </c>
      <c r="J53" t="str">
        <f>PROPER(TRIM(I53))</f>
        <v>Corporate</v>
      </c>
      <c r="K53" t="s">
        <v>62</v>
      </c>
      <c r="L53" t="s">
        <v>63</v>
      </c>
      <c r="M53" t="s">
        <v>64</v>
      </c>
      <c r="N53" t="s">
        <v>30</v>
      </c>
      <c r="O53" t="str">
        <f>TRIM(N53)</f>
        <v>Office Supplies</v>
      </c>
      <c r="P53" t="s">
        <v>54</v>
      </c>
      <c r="Q53" t="s">
        <v>361</v>
      </c>
      <c r="R53" t="s">
        <v>67</v>
      </c>
      <c r="S53" t="s">
        <v>67</v>
      </c>
      <c r="T53">
        <v>6</v>
      </c>
      <c r="U53">
        <v>1528.08</v>
      </c>
      <c r="V53">
        <v>0</v>
      </c>
      <c r="W53">
        <v>9168.48</v>
      </c>
      <c r="X53">
        <v>7439.77</v>
      </c>
      <c r="Y53">
        <v>1728.71</v>
      </c>
      <c r="Z53" t="s">
        <v>34</v>
      </c>
      <c r="AA53" t="s">
        <v>35</v>
      </c>
    </row>
    <row r="54" spans="1:27">
      <c r="A54" t="s">
        <v>362</v>
      </c>
      <c r="B54" t="s">
        <v>363</v>
      </c>
      <c r="C54" t="s">
        <v>364</v>
      </c>
      <c r="D54">
        <f>IFERROR(C54-B54,"Invalid")</f>
        <v>2</v>
      </c>
      <c r="E54" s="7">
        <f>IF(OR(D54="Invalid",D54&lt;0),"",D54)</f>
        <v>2</v>
      </c>
      <c r="F54" t="s">
        <v>365</v>
      </c>
      <c r="G54" t="s">
        <v>366</v>
      </c>
      <c r="H54" t="str">
        <f>PROPER(TRIM(G54))</f>
        <v>Kabir Singh</v>
      </c>
      <c r="I54" t="s">
        <v>41</v>
      </c>
      <c r="J54" t="str">
        <f>PROPER(TRIM(I54))</f>
        <v>Small Business</v>
      </c>
      <c r="K54" t="s">
        <v>27</v>
      </c>
      <c r="L54" t="s">
        <v>28</v>
      </c>
      <c r="M54" t="s">
        <v>29</v>
      </c>
      <c r="N54" t="s">
        <v>45</v>
      </c>
      <c r="O54" t="str">
        <f>TRIM(N54)</f>
        <v>Furniture</v>
      </c>
      <c r="P54" t="s">
        <v>76</v>
      </c>
      <c r="Q54" t="s">
        <v>367</v>
      </c>
      <c r="R54" t="s">
        <v>56</v>
      </c>
      <c r="S54" t="s">
        <v>56</v>
      </c>
      <c r="T54">
        <v>9</v>
      </c>
      <c r="U54">
        <v>1399.63</v>
      </c>
      <c r="V54">
        <v>0</v>
      </c>
      <c r="W54">
        <v>12596.67</v>
      </c>
      <c r="X54">
        <v>10603.29</v>
      </c>
      <c r="Y54">
        <v>1993.38</v>
      </c>
      <c r="Z54" t="s">
        <v>200</v>
      </c>
      <c r="AA54" t="s">
        <v>78</v>
      </c>
    </row>
    <row r="55" spans="1:27">
      <c r="A55" t="s">
        <v>368</v>
      </c>
      <c r="B55" t="s">
        <v>369</v>
      </c>
      <c r="C55" t="s">
        <v>370</v>
      </c>
      <c r="D55">
        <f>IFERROR(C55-B55,"Invalid")</f>
        <v>0</v>
      </c>
      <c r="E55" s="7">
        <f>IF(OR(D55="Invalid",D55&lt;0),"",D55)</f>
        <v>0</v>
      </c>
      <c r="F55" t="s">
        <v>371</v>
      </c>
      <c r="G55" t="s">
        <v>366</v>
      </c>
      <c r="H55" t="str">
        <f>PROPER(TRIM(G55))</f>
        <v>Kabir Singh</v>
      </c>
      <c r="I55" t="s">
        <v>115</v>
      </c>
      <c r="J55" t="str">
        <f>PROPER(TRIM(I55))</f>
        <v>Home Office</v>
      </c>
      <c r="K55" t="s">
        <v>73</v>
      </c>
      <c r="L55" t="s">
        <v>235</v>
      </c>
      <c r="M55" t="s">
        <v>236</v>
      </c>
      <c r="N55" t="s">
        <v>30</v>
      </c>
      <c r="O55" t="str">
        <f>TRIM(N55)</f>
        <v>Office Supplies</v>
      </c>
      <c r="P55" t="s">
        <v>156</v>
      </c>
      <c r="Q55" t="s">
        <v>372</v>
      </c>
      <c r="R55" t="s">
        <v>56</v>
      </c>
      <c r="S55" t="s">
        <v>56</v>
      </c>
      <c r="T55">
        <v>5</v>
      </c>
      <c r="U55">
        <v>1207.47</v>
      </c>
      <c r="V55">
        <v>0.15</v>
      </c>
      <c r="W55">
        <v>5131.75</v>
      </c>
      <c r="X55">
        <v>2838.68</v>
      </c>
      <c r="Y55">
        <v>2293.0700000000002</v>
      </c>
      <c r="Z55" t="s">
        <v>34</v>
      </c>
      <c r="AA55" t="s">
        <v>35</v>
      </c>
    </row>
    <row r="56" spans="1:27">
      <c r="A56" t="s">
        <v>373</v>
      </c>
      <c r="B56" t="s">
        <v>374</v>
      </c>
      <c r="C56" t="s">
        <v>375</v>
      </c>
      <c r="D56">
        <f>IFERROR(C56-B56,"Invalid")</f>
        <v>3</v>
      </c>
      <c r="E56" s="7">
        <f>IF(OR(D56="Invalid",D56&lt;0),"",D56)</f>
        <v>3</v>
      </c>
      <c r="F56" t="s">
        <v>376</v>
      </c>
      <c r="G56" t="s">
        <v>61</v>
      </c>
      <c r="H56" t="str">
        <f>PROPER(TRIM(G56))</f>
        <v>Arjun Bose</v>
      </c>
      <c r="I56" t="s">
        <v>108</v>
      </c>
      <c r="J56" t="str">
        <f>PROPER(TRIM(I56))</f>
        <v>Corporate</v>
      </c>
      <c r="K56" t="s">
        <v>62</v>
      </c>
      <c r="L56" t="s">
        <v>339</v>
      </c>
      <c r="M56" t="s">
        <v>340</v>
      </c>
      <c r="N56" t="s">
        <v>30</v>
      </c>
      <c r="O56" t="str">
        <f>TRIM(N56)</f>
        <v>Office Supplies</v>
      </c>
      <c r="P56" t="s">
        <v>109</v>
      </c>
      <c r="Q56" t="s">
        <v>377</v>
      </c>
      <c r="R56" t="s">
        <v>48</v>
      </c>
      <c r="S56" t="s">
        <v>48</v>
      </c>
      <c r="T56">
        <v>8</v>
      </c>
      <c r="U56">
        <v>474.37</v>
      </c>
      <c r="V56">
        <v>0.1</v>
      </c>
      <c r="W56">
        <v>3415.46</v>
      </c>
      <c r="X56">
        <v>1993.23</v>
      </c>
      <c r="Y56">
        <v>1422.23</v>
      </c>
      <c r="Z56" t="s">
        <v>200</v>
      </c>
      <c r="AA56" t="s">
        <v>78</v>
      </c>
    </row>
    <row r="57" spans="1:27">
      <c r="A57" t="s">
        <v>378</v>
      </c>
      <c r="B57" t="s">
        <v>379</v>
      </c>
      <c r="C57" t="s">
        <v>380</v>
      </c>
      <c r="D57">
        <f>IFERROR(C57-B57,"Invalid")</f>
        <v>2</v>
      </c>
      <c r="E57" s="7">
        <f>IF(OR(D57="Invalid",D57&lt;0),"",D57)</f>
        <v>2</v>
      </c>
      <c r="F57" t="s">
        <v>381</v>
      </c>
      <c r="G57" t="s">
        <v>40</v>
      </c>
      <c r="H57" t="str">
        <f>PROPER(TRIM(G57))</f>
        <v>Mira Das</v>
      </c>
      <c r="I57" t="s">
        <v>41</v>
      </c>
      <c r="J57" t="str">
        <f>PROPER(TRIM(I57))</f>
        <v>Small Business</v>
      </c>
      <c r="K57" t="s">
        <v>62</v>
      </c>
      <c r="L57" t="s">
        <v>100</v>
      </c>
      <c r="M57" t="s">
        <v>101</v>
      </c>
      <c r="N57" t="s">
        <v>86</v>
      </c>
      <c r="O57" t="str">
        <f>TRIM(N57)</f>
        <v>Technology</v>
      </c>
      <c r="P57" t="s">
        <v>382</v>
      </c>
      <c r="Q57" t="s">
        <v>383</v>
      </c>
      <c r="R57" t="s">
        <v>48</v>
      </c>
      <c r="S57" t="s">
        <v>48</v>
      </c>
      <c r="T57">
        <v>3</v>
      </c>
      <c r="U57">
        <v>1516.24</v>
      </c>
      <c r="V57">
        <v>0.25</v>
      </c>
      <c r="W57">
        <v>3411.54</v>
      </c>
      <c r="X57">
        <v>2803.13</v>
      </c>
      <c r="Y57">
        <v>608.41</v>
      </c>
      <c r="Z57" t="s">
        <v>34</v>
      </c>
      <c r="AA57" t="s">
        <v>35</v>
      </c>
    </row>
    <row r="58" spans="1:27">
      <c r="A58" t="s">
        <v>384</v>
      </c>
      <c r="B58" t="s">
        <v>385</v>
      </c>
      <c r="C58" t="s">
        <v>386</v>
      </c>
      <c r="D58">
        <f>IFERROR(C58-B58,"Invalid")</f>
        <v>1</v>
      </c>
      <c r="E58" s="7">
        <f>IF(OR(D58="Invalid",D58&lt;0),"",D58)</f>
        <v>1</v>
      </c>
      <c r="F58" t="s">
        <v>387</v>
      </c>
      <c r="G58" t="s">
        <v>25</v>
      </c>
      <c r="H58" t="str">
        <f>PROPER(TRIM(G58))</f>
        <v>Karan Malhotra</v>
      </c>
      <c r="I58" t="s">
        <v>26</v>
      </c>
      <c r="J58" t="str">
        <f>PROPER(TRIM(I58))</f>
        <v>Consumer</v>
      </c>
      <c r="K58" t="s">
        <v>62</v>
      </c>
      <c r="L58" t="s">
        <v>229</v>
      </c>
      <c r="M58" t="s">
        <v>230</v>
      </c>
      <c r="N58" t="s">
        <v>30</v>
      </c>
      <c r="O58" t="str">
        <f>TRIM(N58)</f>
        <v>Office Supplies</v>
      </c>
      <c r="P58" t="s">
        <v>198</v>
      </c>
      <c r="Q58" t="s">
        <v>388</v>
      </c>
      <c r="R58" t="s">
        <v>33</v>
      </c>
      <c r="S58" t="s">
        <v>33</v>
      </c>
      <c r="T58">
        <v>3</v>
      </c>
      <c r="U58">
        <v>3155.61</v>
      </c>
      <c r="V58">
        <v>0</v>
      </c>
      <c r="W58">
        <v>9466.83</v>
      </c>
      <c r="X58">
        <v>6557.83</v>
      </c>
      <c r="Y58">
        <v>2909</v>
      </c>
      <c r="Z58" t="s">
        <v>124</v>
      </c>
      <c r="AA58" t="s">
        <v>78</v>
      </c>
    </row>
    <row r="59" spans="1:27">
      <c r="A59" t="s">
        <v>389</v>
      </c>
      <c r="B59" t="s">
        <v>390</v>
      </c>
      <c r="C59" t="s">
        <v>391</v>
      </c>
      <c r="D59">
        <f>IFERROR(C59-B59,"Invalid")</f>
        <v>8</v>
      </c>
      <c r="E59" s="7">
        <f>IF(OR(D59="Invalid",D59&lt;0),"",D59)</f>
        <v>8</v>
      </c>
      <c r="F59" t="s">
        <v>392</v>
      </c>
      <c r="G59" t="s">
        <v>142</v>
      </c>
      <c r="H59" t="str">
        <f>PROPER(TRIM(G59))</f>
        <v>Priya Menon</v>
      </c>
      <c r="I59" t="s">
        <v>26</v>
      </c>
      <c r="J59" t="str">
        <f>PROPER(TRIM(I59))</f>
        <v>Consumer</v>
      </c>
      <c r="K59" t="s">
        <v>73</v>
      </c>
      <c r="L59" t="s">
        <v>249</v>
      </c>
      <c r="M59" t="s">
        <v>250</v>
      </c>
      <c r="N59" t="s">
        <v>45</v>
      </c>
      <c r="O59" t="str">
        <f>TRIM(N59)</f>
        <v>Furniture</v>
      </c>
      <c r="P59" t="s">
        <v>76</v>
      </c>
      <c r="Q59" t="s">
        <v>393</v>
      </c>
      <c r="R59" t="s">
        <v>48</v>
      </c>
      <c r="S59" t="s">
        <v>48</v>
      </c>
      <c r="T59">
        <v>5</v>
      </c>
      <c r="U59">
        <v>255.87</v>
      </c>
      <c r="V59">
        <v>0</v>
      </c>
      <c r="W59">
        <v>1279.3499999999999</v>
      </c>
      <c r="X59">
        <v>1091.54</v>
      </c>
      <c r="Y59">
        <v>187.81</v>
      </c>
      <c r="Z59" t="s">
        <v>34</v>
      </c>
      <c r="AA59" t="s">
        <v>35</v>
      </c>
    </row>
    <row r="60" spans="1:27">
      <c r="A60" t="s">
        <v>394</v>
      </c>
      <c r="B60" t="s">
        <v>395</v>
      </c>
      <c r="C60" t="s">
        <v>396</v>
      </c>
      <c r="D60">
        <f>IFERROR(C60-B60,"Invalid")</f>
        <v>6</v>
      </c>
      <c r="E60" s="7">
        <f>IF(OR(D60="Invalid",D60&lt;0),"",D60)</f>
        <v>6</v>
      </c>
      <c r="F60" t="s">
        <v>397</v>
      </c>
      <c r="G60" t="s">
        <v>53</v>
      </c>
      <c r="H60" t="str">
        <f>PROPER(TRIM(G60))</f>
        <v>Isha Nair</v>
      </c>
      <c r="I60" t="s">
        <v>115</v>
      </c>
      <c r="J60" t="str">
        <f>PROPER(TRIM(I60))</f>
        <v>Home Office</v>
      </c>
      <c r="K60" t="s">
        <v>27</v>
      </c>
      <c r="L60" t="s">
        <v>28</v>
      </c>
      <c r="M60" t="s">
        <v>29</v>
      </c>
      <c r="N60" t="s">
        <v>30</v>
      </c>
      <c r="O60" t="str">
        <f>TRIM(N60)</f>
        <v>Office Supplies</v>
      </c>
      <c r="P60" t="s">
        <v>156</v>
      </c>
      <c r="Q60" t="s">
        <v>398</v>
      </c>
      <c r="R60" t="s">
        <v>4124</v>
      </c>
      <c r="S60" t="s">
        <v>4111</v>
      </c>
      <c r="T60">
        <v>9</v>
      </c>
      <c r="U60">
        <v>1389.48</v>
      </c>
      <c r="V60">
        <v>0.1</v>
      </c>
      <c r="W60">
        <v>11254.79</v>
      </c>
      <c r="X60">
        <v>6578.06</v>
      </c>
      <c r="Y60">
        <v>4676.7299999999996</v>
      </c>
      <c r="Z60" t="s">
        <v>137</v>
      </c>
      <c r="AA60" t="s">
        <v>125</v>
      </c>
    </row>
    <row r="61" spans="1:27">
      <c r="A61" t="s">
        <v>399</v>
      </c>
      <c r="B61" t="s">
        <v>400</v>
      </c>
      <c r="C61" t="s">
        <v>401</v>
      </c>
      <c r="D61">
        <f>IFERROR(C61-B61,"Invalid")</f>
        <v>5</v>
      </c>
      <c r="E61" s="7">
        <f>IF(OR(D61="Invalid",D61&lt;0),"",D61)</f>
        <v>5</v>
      </c>
      <c r="F61" t="s">
        <v>402</v>
      </c>
      <c r="G61" t="s">
        <v>142</v>
      </c>
      <c r="H61" t="str">
        <f>PROPER(TRIM(G61))</f>
        <v>Priya Menon</v>
      </c>
      <c r="I61" t="s">
        <v>108</v>
      </c>
      <c r="J61" t="str">
        <f>PROPER(TRIM(I61))</f>
        <v>Corporate</v>
      </c>
      <c r="K61" t="s">
        <v>42</v>
      </c>
      <c r="L61" t="s">
        <v>216</v>
      </c>
      <c r="M61" t="s">
        <v>217</v>
      </c>
      <c r="N61" t="s">
        <v>30</v>
      </c>
      <c r="O61" t="str">
        <f>TRIM(N61)</f>
        <v>Office Supplies</v>
      </c>
      <c r="P61" t="s">
        <v>109</v>
      </c>
      <c r="Q61" t="s">
        <v>403</v>
      </c>
      <c r="R61" t="s">
        <v>48</v>
      </c>
      <c r="S61" t="s">
        <v>48</v>
      </c>
      <c r="T61">
        <v>5</v>
      </c>
      <c r="U61">
        <v>4133.8500000000004</v>
      </c>
      <c r="V61">
        <v>0.2</v>
      </c>
      <c r="W61">
        <v>16535.400000000001</v>
      </c>
      <c r="X61">
        <v>12990.21</v>
      </c>
      <c r="Y61">
        <v>3545.19</v>
      </c>
      <c r="Z61" t="s">
        <v>34</v>
      </c>
      <c r="AA61" t="s">
        <v>78</v>
      </c>
    </row>
    <row r="62" spans="1:27">
      <c r="A62" t="s">
        <v>404</v>
      </c>
      <c r="B62" t="s">
        <v>405</v>
      </c>
      <c r="C62" t="s">
        <v>406</v>
      </c>
      <c r="D62" t="str">
        <f>IFERROR(C62-B62,"Invalid")</f>
        <v>Invalid</v>
      </c>
      <c r="E62" s="7" t="str">
        <f>IF(OR(D62="Invalid",D62&lt;0),"",D62)</f>
        <v/>
      </c>
      <c r="F62" t="s">
        <v>407</v>
      </c>
      <c r="G62" t="s">
        <v>72</v>
      </c>
      <c r="H62" t="str">
        <f>PROPER(TRIM(G62))</f>
        <v>Ananya Rao</v>
      </c>
      <c r="I62" t="s">
        <v>108</v>
      </c>
      <c r="J62" t="str">
        <f>PROPER(TRIM(I62))</f>
        <v>Corporate</v>
      </c>
      <c r="K62" t="s">
        <v>42</v>
      </c>
      <c r="L62" t="s">
        <v>216</v>
      </c>
      <c r="M62" t="s">
        <v>217</v>
      </c>
      <c r="N62" t="s">
        <v>30</v>
      </c>
      <c r="O62" t="str">
        <f>TRIM(N62)</f>
        <v>Office Supplies</v>
      </c>
      <c r="P62" t="s">
        <v>109</v>
      </c>
      <c r="Q62" t="s">
        <v>408</v>
      </c>
      <c r="R62" t="s">
        <v>48</v>
      </c>
      <c r="S62" t="s">
        <v>48</v>
      </c>
      <c r="T62">
        <v>3</v>
      </c>
      <c r="U62">
        <v>275.76</v>
      </c>
      <c r="V62">
        <v>0.2</v>
      </c>
      <c r="W62">
        <v>661.82</v>
      </c>
      <c r="X62">
        <v>481.47</v>
      </c>
      <c r="Y62">
        <v>180.35</v>
      </c>
      <c r="Z62" t="s">
        <v>124</v>
      </c>
      <c r="AA62" t="s">
        <v>78</v>
      </c>
    </row>
    <row r="63" spans="1:27">
      <c r="A63" t="s">
        <v>409</v>
      </c>
      <c r="B63" t="s">
        <v>410</v>
      </c>
      <c r="C63" t="s">
        <v>411</v>
      </c>
      <c r="D63" t="str">
        <f>IFERROR(C63-B63,"Invalid")</f>
        <v>Invalid</v>
      </c>
      <c r="E63" s="7" t="str">
        <f>IF(OR(D63="Invalid",D63&lt;0),"",D63)</f>
        <v/>
      </c>
      <c r="F63" t="s">
        <v>412</v>
      </c>
      <c r="G63" t="s">
        <v>83</v>
      </c>
      <c r="H63" t="str">
        <f>PROPER(TRIM(G63))</f>
        <v>Vikram Iyer</v>
      </c>
      <c r="I63" t="s">
        <v>115</v>
      </c>
      <c r="J63" t="str">
        <f>PROPER(TRIM(I63))</f>
        <v>Home Office</v>
      </c>
      <c r="K63" t="s">
        <v>42</v>
      </c>
      <c r="L63" t="s">
        <v>186</v>
      </c>
      <c r="M63" t="s">
        <v>187</v>
      </c>
      <c r="N63" t="s">
        <v>45</v>
      </c>
      <c r="O63" t="str">
        <f>TRIM(N63)</f>
        <v>Furniture</v>
      </c>
      <c r="P63" t="s">
        <v>204</v>
      </c>
      <c r="Q63" t="s">
        <v>413</v>
      </c>
      <c r="R63" t="s">
        <v>67</v>
      </c>
      <c r="S63" t="s">
        <v>67</v>
      </c>
      <c r="T63">
        <v>1</v>
      </c>
      <c r="U63">
        <v>949.59</v>
      </c>
      <c r="V63">
        <v>0</v>
      </c>
      <c r="W63">
        <v>949.59</v>
      </c>
      <c r="X63">
        <v>751.25</v>
      </c>
      <c r="Y63">
        <v>198.34</v>
      </c>
      <c r="Z63" t="s">
        <v>34</v>
      </c>
      <c r="AA63" t="s">
        <v>35</v>
      </c>
    </row>
    <row r="64" spans="1:27">
      <c r="A64" t="s">
        <v>414</v>
      </c>
      <c r="B64" t="s">
        <v>415</v>
      </c>
      <c r="C64" t="s">
        <v>416</v>
      </c>
      <c r="D64">
        <f>IFERROR(C64-B64,"Invalid")</f>
        <v>3</v>
      </c>
      <c r="E64" s="7">
        <f>IF(OR(D64="Invalid",D64&lt;0),"",D64)</f>
        <v>3</v>
      </c>
      <c r="F64" t="s">
        <v>417</v>
      </c>
      <c r="G64" t="s">
        <v>168</v>
      </c>
      <c r="H64" t="str">
        <f>PROPER(TRIM(G64))</f>
        <v>Sneha Kapoor</v>
      </c>
      <c r="I64" t="s">
        <v>115</v>
      </c>
      <c r="J64" t="str">
        <f>PROPER(TRIM(I64))</f>
        <v>Home Office</v>
      </c>
      <c r="K64" t="s">
        <v>27</v>
      </c>
      <c r="L64" t="s">
        <v>28</v>
      </c>
      <c r="M64" t="s">
        <v>29</v>
      </c>
      <c r="N64" t="s">
        <v>86</v>
      </c>
      <c r="O64" t="str">
        <f>TRIM(N64)</f>
        <v>Technology</v>
      </c>
      <c r="P64" t="s">
        <v>223</v>
      </c>
      <c r="Q64" t="s">
        <v>418</v>
      </c>
      <c r="R64" t="s">
        <v>67</v>
      </c>
      <c r="S64" t="s">
        <v>67</v>
      </c>
      <c r="T64">
        <v>9</v>
      </c>
      <c r="U64">
        <v>3042.29</v>
      </c>
      <c r="V64">
        <v>0.2</v>
      </c>
      <c r="W64">
        <v>21904.49</v>
      </c>
      <c r="X64">
        <v>13570.55</v>
      </c>
      <c r="Y64">
        <v>8333.94</v>
      </c>
      <c r="Z64" t="s">
        <v>34</v>
      </c>
      <c r="AA64" t="s">
        <v>35</v>
      </c>
    </row>
    <row r="65" spans="1:27">
      <c r="A65" t="s">
        <v>419</v>
      </c>
      <c r="B65" t="s">
        <v>420</v>
      </c>
      <c r="C65" t="s">
        <v>421</v>
      </c>
      <c r="D65">
        <f>IFERROR(C65-B65,"Invalid")</f>
        <v>7</v>
      </c>
      <c r="E65" s="7">
        <f>IF(OR(D65="Invalid",D65&lt;0),"",D65)</f>
        <v>7</v>
      </c>
      <c r="F65" t="s">
        <v>422</v>
      </c>
      <c r="G65" t="s">
        <v>168</v>
      </c>
      <c r="H65" t="str">
        <f>PROPER(TRIM(G65))</f>
        <v>Sneha Kapoor</v>
      </c>
      <c r="I65" t="s">
        <v>115</v>
      </c>
      <c r="J65" t="str">
        <f>PROPER(TRIM(I65))</f>
        <v>Home Office</v>
      </c>
      <c r="K65" t="s">
        <v>27</v>
      </c>
      <c r="L65" t="s">
        <v>323</v>
      </c>
      <c r="M65" t="s">
        <v>324</v>
      </c>
      <c r="N65" t="s">
        <v>30</v>
      </c>
      <c r="O65" t="str">
        <f>TRIM(N65)</f>
        <v>Office Supplies</v>
      </c>
      <c r="P65" t="s">
        <v>198</v>
      </c>
      <c r="Q65" t="s">
        <v>423</v>
      </c>
      <c r="R65" t="s">
        <v>48</v>
      </c>
      <c r="S65" t="s">
        <v>48</v>
      </c>
      <c r="T65">
        <v>2</v>
      </c>
      <c r="U65">
        <v>2832.77</v>
      </c>
      <c r="V65">
        <v>0.15</v>
      </c>
      <c r="W65">
        <v>4815.71</v>
      </c>
      <c r="X65">
        <v>3027.75</v>
      </c>
      <c r="Y65">
        <v>1917.47</v>
      </c>
      <c r="Z65" t="s">
        <v>34</v>
      </c>
      <c r="AA65" t="s">
        <v>35</v>
      </c>
    </row>
    <row r="66" spans="1:27">
      <c r="A66" t="s">
        <v>424</v>
      </c>
      <c r="B66" t="s">
        <v>425</v>
      </c>
      <c r="C66" t="s">
        <v>426</v>
      </c>
      <c r="D66" t="str">
        <f>IFERROR(C66-B66,"Invalid")</f>
        <v>Invalid</v>
      </c>
      <c r="E66" s="7" t="str">
        <f>IF(OR(D66="Invalid",D66&lt;0),"",D66)</f>
        <v/>
      </c>
      <c r="F66" t="s">
        <v>427</v>
      </c>
      <c r="G66" t="s">
        <v>162</v>
      </c>
      <c r="H66" t="str">
        <f>PROPER(TRIM(G66))</f>
        <v>Aarav Sharma</v>
      </c>
      <c r="I66" t="s">
        <v>108</v>
      </c>
      <c r="J66" t="str">
        <f>PROPER(TRIM(I66))</f>
        <v>Corporate</v>
      </c>
      <c r="K66" t="s">
        <v>42</v>
      </c>
      <c r="L66" t="s">
        <v>311</v>
      </c>
      <c r="M66" t="s">
        <v>312</v>
      </c>
      <c r="N66" t="s">
        <v>30</v>
      </c>
      <c r="O66" t="str">
        <f>TRIM(N66)</f>
        <v>Office Supplies</v>
      </c>
      <c r="P66" t="s">
        <v>31</v>
      </c>
      <c r="Q66" t="s">
        <v>428</v>
      </c>
      <c r="R66" t="s">
        <v>56</v>
      </c>
      <c r="S66" t="s">
        <v>56</v>
      </c>
      <c r="T66">
        <v>7</v>
      </c>
      <c r="U66">
        <v>447.84</v>
      </c>
      <c r="V66">
        <v>0</v>
      </c>
      <c r="W66">
        <v>3134.88</v>
      </c>
      <c r="X66">
        <v>2367.63</v>
      </c>
      <c r="Y66">
        <v>767.25</v>
      </c>
      <c r="Z66" t="s">
        <v>124</v>
      </c>
      <c r="AA66" t="s">
        <v>125</v>
      </c>
    </row>
    <row r="67" spans="1:27">
      <c r="A67" t="s">
        <v>429</v>
      </c>
      <c r="B67" t="s">
        <v>430</v>
      </c>
      <c r="C67" t="s">
        <v>431</v>
      </c>
      <c r="D67">
        <f>IFERROR(C67-B67,"Invalid")</f>
        <v>5</v>
      </c>
      <c r="E67" s="7">
        <f>IF(OR(D67="Invalid",D67&lt;0),"",D67)</f>
        <v>5</v>
      </c>
      <c r="F67" t="s">
        <v>432</v>
      </c>
      <c r="G67" t="s">
        <v>40</v>
      </c>
      <c r="H67" t="str">
        <f>PROPER(TRIM(G67))</f>
        <v>Mira Das</v>
      </c>
      <c r="I67" t="s">
        <v>115</v>
      </c>
      <c r="J67" t="str">
        <f>PROPER(TRIM(I67))</f>
        <v>Home Office</v>
      </c>
      <c r="K67" t="s">
        <v>73</v>
      </c>
      <c r="L67" t="s">
        <v>74</v>
      </c>
      <c r="M67" t="s">
        <v>75</v>
      </c>
      <c r="N67" t="s">
        <v>30</v>
      </c>
      <c r="O67" t="str">
        <f>TRIM(N67)</f>
        <v>Office Supplies</v>
      </c>
      <c r="P67" t="s">
        <v>31</v>
      </c>
      <c r="Q67" t="s">
        <v>433</v>
      </c>
      <c r="R67" t="s">
        <v>33</v>
      </c>
      <c r="S67" t="s">
        <v>33</v>
      </c>
      <c r="T67">
        <v>1</v>
      </c>
      <c r="U67">
        <v>4280.1899999999996</v>
      </c>
      <c r="V67">
        <v>0.05</v>
      </c>
      <c r="W67">
        <v>4066.18</v>
      </c>
      <c r="X67">
        <v>2628.92</v>
      </c>
      <c r="Y67">
        <v>1437.26</v>
      </c>
      <c r="Z67" t="s">
        <v>34</v>
      </c>
      <c r="AA67" t="s">
        <v>35</v>
      </c>
    </row>
    <row r="68" spans="1:27">
      <c r="A68" t="s">
        <v>434</v>
      </c>
      <c r="B68" t="s">
        <v>435</v>
      </c>
      <c r="C68" t="s">
        <v>436</v>
      </c>
      <c r="D68" t="str">
        <f>IFERROR(C68-B68,"Invalid")</f>
        <v>Invalid</v>
      </c>
      <c r="E68" s="7" t="str">
        <f>IF(OR(D68="Invalid",D68&lt;0),"",D68)</f>
        <v/>
      </c>
      <c r="F68" t="s">
        <v>437</v>
      </c>
      <c r="G68" t="s">
        <v>25</v>
      </c>
      <c r="H68" t="str">
        <f>PROPER(TRIM(G68))</f>
        <v>Karan Malhotra</v>
      </c>
      <c r="I68" t="s">
        <v>41</v>
      </c>
      <c r="J68" t="str">
        <f>PROPER(TRIM(I68))</f>
        <v>Small Business</v>
      </c>
      <c r="K68" t="s">
        <v>62</v>
      </c>
      <c r="L68" t="s">
        <v>339</v>
      </c>
      <c r="M68" t="s">
        <v>340</v>
      </c>
      <c r="N68" t="s">
        <v>86</v>
      </c>
      <c r="O68" t="str">
        <f>TRIM(N68)</f>
        <v>Technology</v>
      </c>
      <c r="P68" t="s">
        <v>87</v>
      </c>
      <c r="Q68" t="s">
        <v>438</v>
      </c>
      <c r="R68" t="s">
        <v>48</v>
      </c>
      <c r="S68" t="s">
        <v>48</v>
      </c>
      <c r="T68">
        <v>7</v>
      </c>
      <c r="U68">
        <v>1057.46</v>
      </c>
      <c r="V68">
        <v>0.05</v>
      </c>
      <c r="W68">
        <v>7032.11</v>
      </c>
      <c r="X68">
        <v>4610.34</v>
      </c>
      <c r="Y68">
        <v>2421.77</v>
      </c>
      <c r="Z68" t="s">
        <v>34</v>
      </c>
      <c r="AA68" t="s">
        <v>35</v>
      </c>
    </row>
    <row r="69" spans="1:27">
      <c r="A69" t="s">
        <v>439</v>
      </c>
      <c r="B69" t="s">
        <v>440</v>
      </c>
      <c r="C69" t="s">
        <v>441</v>
      </c>
      <c r="D69">
        <f>IFERROR(C69-B69,"Invalid")</f>
        <v>4</v>
      </c>
      <c r="E69" s="7">
        <f>IF(OR(D69="Invalid",D69&lt;0),"",D69)</f>
        <v>4</v>
      </c>
      <c r="F69" t="s">
        <v>442</v>
      </c>
      <c r="G69" t="s">
        <v>366</v>
      </c>
      <c r="H69" t="str">
        <f>PROPER(TRIM(G69))</f>
        <v>Kabir Singh</v>
      </c>
      <c r="I69" t="s">
        <v>26</v>
      </c>
      <c r="J69" t="str">
        <f>PROPER(TRIM(I69))</f>
        <v>Consumer</v>
      </c>
      <c r="K69" t="s">
        <v>27</v>
      </c>
      <c r="L69" t="s">
        <v>323</v>
      </c>
      <c r="M69" t="s">
        <v>324</v>
      </c>
      <c r="N69" t="s">
        <v>30</v>
      </c>
      <c r="O69" t="str">
        <f>TRIM(N69)</f>
        <v>Office Supplies</v>
      </c>
      <c r="P69" t="s">
        <v>31</v>
      </c>
      <c r="Q69" t="s">
        <v>443</v>
      </c>
      <c r="R69" t="s">
        <v>56</v>
      </c>
      <c r="S69" t="s">
        <v>56</v>
      </c>
      <c r="T69">
        <v>7</v>
      </c>
      <c r="U69">
        <v>3609.34</v>
      </c>
      <c r="V69">
        <v>0.05</v>
      </c>
      <c r="W69">
        <v>24002.11</v>
      </c>
      <c r="X69">
        <v>18707.57</v>
      </c>
      <c r="Y69">
        <v>5294.54</v>
      </c>
      <c r="Z69" t="s">
        <v>34</v>
      </c>
      <c r="AA69" t="s">
        <v>35</v>
      </c>
    </row>
    <row r="70" spans="1:27">
      <c r="A70" t="s">
        <v>444</v>
      </c>
      <c r="B70" t="s">
        <v>105</v>
      </c>
      <c r="C70" t="s">
        <v>445</v>
      </c>
      <c r="D70">
        <f>IFERROR(C70-B70,"Invalid")</f>
        <v>33</v>
      </c>
      <c r="E70" s="7">
        <f>IF(OR(D70="Invalid",D70&lt;0),"",D70)</f>
        <v>33</v>
      </c>
      <c r="F70" t="s">
        <v>446</v>
      </c>
      <c r="G70" t="s">
        <v>53</v>
      </c>
      <c r="H70" t="str">
        <f>PROPER(TRIM(G70))</f>
        <v>Isha Nair</v>
      </c>
      <c r="I70" t="s">
        <v>108</v>
      </c>
      <c r="J70" t="str">
        <f>PROPER(TRIM(I70))</f>
        <v>Corporate</v>
      </c>
      <c r="K70" t="s">
        <v>42</v>
      </c>
      <c r="L70" t="s">
        <v>311</v>
      </c>
      <c r="M70" t="s">
        <v>312</v>
      </c>
      <c r="N70" t="s">
        <v>30</v>
      </c>
      <c r="O70" t="str">
        <f>TRIM(N70)</f>
        <v>Office Supplies</v>
      </c>
      <c r="P70" t="s">
        <v>156</v>
      </c>
      <c r="Q70" t="s">
        <v>447</v>
      </c>
      <c r="R70" t="s">
        <v>33</v>
      </c>
      <c r="S70" t="s">
        <v>33</v>
      </c>
      <c r="T70">
        <v>9</v>
      </c>
      <c r="U70">
        <v>2211.12</v>
      </c>
      <c r="V70">
        <v>0</v>
      </c>
      <c r="W70">
        <v>19900.080000000002</v>
      </c>
      <c r="X70">
        <v>10962.66</v>
      </c>
      <c r="Y70">
        <v>8937.42</v>
      </c>
      <c r="Z70" t="s">
        <v>200</v>
      </c>
      <c r="AA70" t="s">
        <v>125</v>
      </c>
    </row>
    <row r="71" spans="1:27">
      <c r="A71" t="s">
        <v>448</v>
      </c>
      <c r="B71" t="s">
        <v>449</v>
      </c>
      <c r="C71" t="s">
        <v>450</v>
      </c>
      <c r="D71" t="str">
        <f>IFERROR(C71-B71,"Invalid")</f>
        <v>Invalid</v>
      </c>
      <c r="E71" s="7" t="str">
        <f>IF(OR(D71="Invalid",D71&lt;0),"",D71)</f>
        <v/>
      </c>
      <c r="F71" t="s">
        <v>451</v>
      </c>
      <c r="G71" t="s">
        <v>93</v>
      </c>
      <c r="H71" t="str">
        <f>PROPER(TRIM(G71))</f>
        <v>Neha Gupta</v>
      </c>
      <c r="I71" t="s">
        <v>41</v>
      </c>
      <c r="J71" t="str">
        <f>PROPER(TRIM(I71))</f>
        <v>Small Business</v>
      </c>
      <c r="K71" t="s">
        <v>73</v>
      </c>
      <c r="L71" t="s">
        <v>235</v>
      </c>
      <c r="M71" t="s">
        <v>236</v>
      </c>
      <c r="N71" t="s">
        <v>86</v>
      </c>
      <c r="O71" t="str">
        <f>TRIM(N71)</f>
        <v>Technology</v>
      </c>
      <c r="P71" t="s">
        <v>382</v>
      </c>
      <c r="Q71" t="s">
        <v>452</v>
      </c>
      <c r="R71" t="s">
        <v>48</v>
      </c>
      <c r="S71" t="s">
        <v>48</v>
      </c>
      <c r="T71">
        <v>7</v>
      </c>
      <c r="U71">
        <v>3417.09</v>
      </c>
      <c r="V71">
        <v>0.1</v>
      </c>
      <c r="W71">
        <v>21527.67</v>
      </c>
      <c r="X71">
        <v>18287.580000000002</v>
      </c>
      <c r="Y71">
        <v>3240.09</v>
      </c>
      <c r="Z71" t="s">
        <v>124</v>
      </c>
      <c r="AA71" t="s">
        <v>125</v>
      </c>
    </row>
    <row r="72" spans="1:27">
      <c r="A72" t="s">
        <v>453</v>
      </c>
      <c r="B72" t="s">
        <v>454</v>
      </c>
      <c r="C72" t="s">
        <v>455</v>
      </c>
      <c r="D72">
        <f>IFERROR(C72-B72,"Invalid")</f>
        <v>5</v>
      </c>
      <c r="E72" s="7">
        <f>IF(OR(D72="Invalid",D72&lt;0),"",D72)</f>
        <v>5</v>
      </c>
      <c r="F72" t="s">
        <v>456</v>
      </c>
      <c r="G72" t="s">
        <v>25</v>
      </c>
      <c r="H72" t="str">
        <f>PROPER(TRIM(G72))</f>
        <v>Karan Malhotra</v>
      </c>
      <c r="I72" t="s">
        <v>108</v>
      </c>
      <c r="J72" t="str">
        <f>PROPER(TRIM(I72))</f>
        <v>Corporate</v>
      </c>
      <c r="K72" t="s">
        <v>62</v>
      </c>
      <c r="L72" t="s">
        <v>100</v>
      </c>
      <c r="M72" t="s">
        <v>101</v>
      </c>
      <c r="N72" t="s">
        <v>86</v>
      </c>
      <c r="O72" t="str">
        <f>TRIM(N72)</f>
        <v>Technology</v>
      </c>
      <c r="P72" t="s">
        <v>223</v>
      </c>
      <c r="Q72" t="s">
        <v>457</v>
      </c>
      <c r="R72" t="s">
        <v>56</v>
      </c>
      <c r="S72" t="s">
        <v>56</v>
      </c>
      <c r="T72">
        <v>2</v>
      </c>
      <c r="U72">
        <v>905.87</v>
      </c>
      <c r="V72">
        <v>0.15</v>
      </c>
      <c r="W72">
        <v>1539.98</v>
      </c>
      <c r="X72">
        <v>1070.2</v>
      </c>
      <c r="Y72">
        <v>469.78</v>
      </c>
      <c r="Z72" t="s">
        <v>34</v>
      </c>
      <c r="AA72" t="s">
        <v>35</v>
      </c>
    </row>
    <row r="73" spans="1:27">
      <c r="A73" t="s">
        <v>458</v>
      </c>
      <c r="B73" t="s">
        <v>91</v>
      </c>
      <c r="C73" t="s">
        <v>459</v>
      </c>
      <c r="D73" t="str">
        <f>IFERROR(C73-B73,"Invalid")</f>
        <v>Invalid</v>
      </c>
      <c r="E73" s="7" t="str">
        <f>IF(OR(D73="Invalid",D73&lt;0),"",D73)</f>
        <v/>
      </c>
      <c r="F73" t="s">
        <v>460</v>
      </c>
      <c r="G73" t="s">
        <v>40</v>
      </c>
      <c r="H73" t="str">
        <f>PROPER(TRIM(G73))</f>
        <v>Mira Das</v>
      </c>
      <c r="I73" t="s">
        <v>41</v>
      </c>
      <c r="J73" t="str">
        <f>PROPER(TRIM(I73))</f>
        <v>Small Business</v>
      </c>
      <c r="K73" t="s">
        <v>73</v>
      </c>
      <c r="L73" t="s">
        <v>249</v>
      </c>
      <c r="M73" t="s">
        <v>250</v>
      </c>
      <c r="N73" t="s">
        <v>86</v>
      </c>
      <c r="O73" t="str">
        <f>TRIM(N73)</f>
        <v>Technology</v>
      </c>
      <c r="P73" t="s">
        <v>382</v>
      </c>
      <c r="Q73" t="s">
        <v>461</v>
      </c>
      <c r="R73" t="s">
        <v>67</v>
      </c>
      <c r="S73" t="s">
        <v>67</v>
      </c>
      <c r="T73">
        <v>6</v>
      </c>
      <c r="U73">
        <v>2027.32</v>
      </c>
      <c r="V73">
        <v>0.1</v>
      </c>
      <c r="W73">
        <v>10947.53</v>
      </c>
      <c r="X73">
        <v>6447.36</v>
      </c>
      <c r="Y73">
        <v>4500.17</v>
      </c>
      <c r="Z73" t="s">
        <v>34</v>
      </c>
      <c r="AA73" t="s">
        <v>35</v>
      </c>
    </row>
    <row r="74" spans="1:27">
      <c r="A74" t="s">
        <v>462</v>
      </c>
      <c r="B74" t="s">
        <v>463</v>
      </c>
      <c r="C74" t="s">
        <v>464</v>
      </c>
      <c r="D74">
        <f>IFERROR(C74-B74,"Invalid")</f>
        <v>-4</v>
      </c>
      <c r="E74" s="7" t="str">
        <f>IF(OR(D74="Invalid",D74&lt;0),"",D74)</f>
        <v/>
      </c>
      <c r="F74" t="s">
        <v>465</v>
      </c>
      <c r="G74" t="s">
        <v>25</v>
      </c>
      <c r="H74" t="str">
        <f>PROPER(TRIM(G74))</f>
        <v>Karan Malhotra</v>
      </c>
      <c r="I74" t="s">
        <v>115</v>
      </c>
      <c r="J74" t="str">
        <f>PROPER(TRIM(I74))</f>
        <v>Home Office</v>
      </c>
      <c r="K74" t="s">
        <v>62</v>
      </c>
      <c r="L74" t="s">
        <v>339</v>
      </c>
      <c r="M74" t="s">
        <v>340</v>
      </c>
      <c r="N74" t="s">
        <v>45</v>
      </c>
      <c r="O74" t="str">
        <f>TRIM(N74)</f>
        <v>Furniture</v>
      </c>
      <c r="P74" t="s">
        <v>46</v>
      </c>
      <c r="Q74" t="s">
        <v>466</v>
      </c>
      <c r="R74" t="s">
        <v>56</v>
      </c>
      <c r="S74" t="s">
        <v>56</v>
      </c>
      <c r="T74">
        <v>7</v>
      </c>
      <c r="U74">
        <v>2287.4699999999998</v>
      </c>
      <c r="V74">
        <v>0.15</v>
      </c>
      <c r="W74">
        <v>13610.45</v>
      </c>
      <c r="X74">
        <v>10039.049999999999</v>
      </c>
      <c r="Y74">
        <v>3571.4</v>
      </c>
      <c r="Z74" t="s">
        <v>34</v>
      </c>
      <c r="AA74" t="s">
        <v>35</v>
      </c>
    </row>
    <row r="75" spans="1:27">
      <c r="A75" t="s">
        <v>467</v>
      </c>
      <c r="B75" t="s">
        <v>468</v>
      </c>
      <c r="C75" t="s">
        <v>469</v>
      </c>
      <c r="D75">
        <f>IFERROR(C75-B75,"Invalid")</f>
        <v>-25</v>
      </c>
      <c r="E75" s="7" t="str">
        <f>IF(OR(D75="Invalid",D75&lt;0),"",D75)</f>
        <v/>
      </c>
      <c r="F75" t="s">
        <v>470</v>
      </c>
      <c r="G75" t="s">
        <v>168</v>
      </c>
      <c r="H75" t="str">
        <f>PROPER(TRIM(G75))</f>
        <v>Sneha Kapoor</v>
      </c>
      <c r="I75" t="s">
        <v>108</v>
      </c>
      <c r="J75" t="str">
        <f>PROPER(TRIM(I75))</f>
        <v>Corporate</v>
      </c>
      <c r="K75" t="s">
        <v>42</v>
      </c>
      <c r="L75" t="s">
        <v>121</v>
      </c>
      <c r="M75" t="s">
        <v>122</v>
      </c>
      <c r="N75" t="s">
        <v>45</v>
      </c>
      <c r="O75" t="str">
        <f>TRIM(N75)</f>
        <v>Furniture</v>
      </c>
      <c r="P75" t="s">
        <v>204</v>
      </c>
      <c r="Q75" t="s">
        <v>471</v>
      </c>
      <c r="R75" t="s">
        <v>56</v>
      </c>
      <c r="S75" t="s">
        <v>56</v>
      </c>
      <c r="T75">
        <v>5</v>
      </c>
      <c r="U75">
        <v>1425.74</v>
      </c>
      <c r="V75">
        <v>0</v>
      </c>
      <c r="W75">
        <v>7128.7</v>
      </c>
      <c r="X75">
        <v>4382.1499999999996</v>
      </c>
      <c r="Y75">
        <v>2746.55</v>
      </c>
      <c r="Z75" t="s">
        <v>34</v>
      </c>
      <c r="AA75" t="s">
        <v>35</v>
      </c>
    </row>
    <row r="76" spans="1:27">
      <c r="A76" t="s">
        <v>472</v>
      </c>
      <c r="B76" t="s">
        <v>473</v>
      </c>
      <c r="C76" t="s">
        <v>474</v>
      </c>
      <c r="D76" t="str">
        <f>IFERROR(C76-B76,"Invalid")</f>
        <v>Invalid</v>
      </c>
      <c r="E76" s="7" t="str">
        <f>IF(OR(D76="Invalid",D76&lt;0),"",D76)</f>
        <v/>
      </c>
      <c r="F76" t="s">
        <v>475</v>
      </c>
      <c r="G76" t="s">
        <v>83</v>
      </c>
      <c r="H76" t="str">
        <f>PROPER(TRIM(G76))</f>
        <v>Vikram Iyer</v>
      </c>
      <c r="I76" t="s">
        <v>41</v>
      </c>
      <c r="J76" t="str">
        <f>PROPER(TRIM(I76))</f>
        <v>Small Business</v>
      </c>
      <c r="K76" t="s">
        <v>42</v>
      </c>
      <c r="L76" t="s">
        <v>121</v>
      </c>
      <c r="M76" t="s">
        <v>122</v>
      </c>
      <c r="N76" t="s">
        <v>45</v>
      </c>
      <c r="O76" t="str">
        <f>TRIM(N76)</f>
        <v>Furniture</v>
      </c>
      <c r="P76" t="s">
        <v>76</v>
      </c>
      <c r="Q76" t="s">
        <v>476</v>
      </c>
      <c r="R76" t="s">
        <v>67</v>
      </c>
      <c r="S76" t="s">
        <v>67</v>
      </c>
      <c r="T76">
        <v>6</v>
      </c>
      <c r="U76">
        <v>551.64</v>
      </c>
      <c r="V76">
        <v>0</v>
      </c>
      <c r="W76">
        <v>3309.84</v>
      </c>
      <c r="X76">
        <v>2671.08</v>
      </c>
      <c r="Y76">
        <v>638.76</v>
      </c>
      <c r="Z76" t="s">
        <v>34</v>
      </c>
      <c r="AA76" t="s">
        <v>35</v>
      </c>
    </row>
    <row r="77" spans="1:27">
      <c r="A77" t="s">
        <v>477</v>
      </c>
      <c r="B77" t="s">
        <v>478</v>
      </c>
      <c r="C77" t="s">
        <v>479</v>
      </c>
      <c r="D77" t="str">
        <f>IFERROR(C77-B77,"Invalid")</f>
        <v>Invalid</v>
      </c>
      <c r="E77" s="7" t="str">
        <f>IF(OR(D77="Invalid",D77&lt;0),"",D77)</f>
        <v/>
      </c>
      <c r="F77" t="s">
        <v>480</v>
      </c>
      <c r="G77" t="s">
        <v>142</v>
      </c>
      <c r="H77" t="str">
        <f>PROPER(TRIM(G77))</f>
        <v>Priya Menon</v>
      </c>
      <c r="I77" t="s">
        <v>41</v>
      </c>
      <c r="J77" t="str">
        <f>PROPER(TRIM(I77))</f>
        <v>Small Business</v>
      </c>
      <c r="K77" t="s">
        <v>42</v>
      </c>
      <c r="L77" t="s">
        <v>43</v>
      </c>
      <c r="M77" t="s">
        <v>44</v>
      </c>
      <c r="N77" t="s">
        <v>30</v>
      </c>
      <c r="O77" t="str">
        <f>TRIM(N77)</f>
        <v>Office Supplies</v>
      </c>
      <c r="P77" t="s">
        <v>109</v>
      </c>
      <c r="Q77" t="s">
        <v>481</v>
      </c>
      <c r="R77" t="s">
        <v>56</v>
      </c>
      <c r="S77" t="s">
        <v>56</v>
      </c>
      <c r="T77">
        <v>3</v>
      </c>
      <c r="U77">
        <v>3294.82</v>
      </c>
      <c r="V77">
        <v>0.2</v>
      </c>
      <c r="W77">
        <v>7907.57</v>
      </c>
      <c r="X77">
        <v>5391.18</v>
      </c>
      <c r="Y77">
        <v>2516.39</v>
      </c>
      <c r="Z77" t="s">
        <v>34</v>
      </c>
      <c r="AA77" t="s">
        <v>35</v>
      </c>
    </row>
    <row r="78" spans="1:27">
      <c r="A78" t="s">
        <v>482</v>
      </c>
      <c r="B78" t="s">
        <v>483</v>
      </c>
      <c r="C78" t="s">
        <v>484</v>
      </c>
      <c r="D78">
        <f>IFERROR(C78-B78,"Invalid")</f>
        <v>8</v>
      </c>
      <c r="E78" s="7">
        <f>IF(OR(D78="Invalid",D78&lt;0),"",D78)</f>
        <v>8</v>
      </c>
      <c r="F78" t="s">
        <v>485</v>
      </c>
      <c r="G78" t="s">
        <v>72</v>
      </c>
      <c r="H78" t="str">
        <f>PROPER(TRIM(G78))</f>
        <v>Ananya Rao</v>
      </c>
      <c r="I78" t="s">
        <v>108</v>
      </c>
      <c r="J78" t="str">
        <f>PROPER(TRIM(I78))</f>
        <v>Corporate</v>
      </c>
      <c r="K78" t="s">
        <v>42</v>
      </c>
      <c r="L78" t="s">
        <v>311</v>
      </c>
      <c r="M78" t="s">
        <v>312</v>
      </c>
      <c r="N78" t="s">
        <v>30</v>
      </c>
      <c r="O78" t="str">
        <f>TRIM(N78)</f>
        <v>Office Supplies</v>
      </c>
      <c r="P78" t="s">
        <v>109</v>
      </c>
      <c r="Q78" t="s">
        <v>486</v>
      </c>
      <c r="R78" t="s">
        <v>33</v>
      </c>
      <c r="S78" t="s">
        <v>33</v>
      </c>
      <c r="T78">
        <v>3</v>
      </c>
      <c r="U78">
        <v>3406.27</v>
      </c>
      <c r="V78">
        <v>0</v>
      </c>
      <c r="W78">
        <v>10218.81</v>
      </c>
      <c r="X78">
        <v>7616.97</v>
      </c>
      <c r="Y78">
        <v>2601.84</v>
      </c>
      <c r="Z78" t="s">
        <v>34</v>
      </c>
      <c r="AA78" t="s">
        <v>35</v>
      </c>
    </row>
    <row r="79" spans="1:27">
      <c r="A79" t="s">
        <v>487</v>
      </c>
      <c r="B79" t="s">
        <v>488</v>
      </c>
      <c r="C79" t="s">
        <v>489</v>
      </c>
      <c r="D79">
        <f>IFERROR(C79-B79,"Invalid")</f>
        <v>-26</v>
      </c>
      <c r="E79" s="7" t="str">
        <f>IF(OR(D79="Invalid",D79&lt;0),"",D79)</f>
        <v/>
      </c>
      <c r="F79" t="s">
        <v>490</v>
      </c>
      <c r="G79" t="s">
        <v>180</v>
      </c>
      <c r="H79" t="str">
        <f>PROPER(TRIM(G79))</f>
        <v>Rohan Mehta</v>
      </c>
      <c r="I79" t="s">
        <v>115</v>
      </c>
      <c r="J79" t="str">
        <f>PROPER(TRIM(I79))</f>
        <v>Home Office</v>
      </c>
      <c r="K79" t="s">
        <v>27</v>
      </c>
      <c r="L79" t="s">
        <v>174</v>
      </c>
      <c r="M79" t="s">
        <v>175</v>
      </c>
      <c r="N79" t="s">
        <v>45</v>
      </c>
      <c r="O79" t="str">
        <f>TRIM(N79)</f>
        <v>Furniture</v>
      </c>
      <c r="P79" t="s">
        <v>65</v>
      </c>
      <c r="Q79" t="s">
        <v>491</v>
      </c>
      <c r="R79" t="s">
        <v>67</v>
      </c>
      <c r="S79" t="s">
        <v>67</v>
      </c>
      <c r="T79">
        <v>1</v>
      </c>
      <c r="U79">
        <v>2582.1999999999998</v>
      </c>
      <c r="V79">
        <v>0.15</v>
      </c>
      <c r="W79">
        <v>2194.87</v>
      </c>
      <c r="X79">
        <v>1223.17</v>
      </c>
      <c r="Y79">
        <v>971.7</v>
      </c>
      <c r="Z79" t="s">
        <v>124</v>
      </c>
      <c r="AA79" t="s">
        <v>78</v>
      </c>
    </row>
    <row r="80" spans="1:27">
      <c r="A80" t="s">
        <v>492</v>
      </c>
      <c r="B80" t="s">
        <v>493</v>
      </c>
      <c r="C80" t="s">
        <v>494</v>
      </c>
      <c r="D80" t="str">
        <f>IFERROR(C80-B80,"Invalid")</f>
        <v>Invalid</v>
      </c>
      <c r="E80" s="7" t="str">
        <f>IF(OR(D80="Invalid",D80&lt;0),"",D80)</f>
        <v/>
      </c>
      <c r="F80" t="s">
        <v>495</v>
      </c>
      <c r="G80" t="s">
        <v>168</v>
      </c>
      <c r="H80" t="str">
        <f>PROPER(TRIM(G80))</f>
        <v>Sneha Kapoor</v>
      </c>
      <c r="I80" t="s">
        <v>108</v>
      </c>
      <c r="J80" t="str">
        <f>PROPER(TRIM(I80))</f>
        <v>Corporate</v>
      </c>
      <c r="K80" t="s">
        <v>42</v>
      </c>
      <c r="L80" t="s">
        <v>121</v>
      </c>
      <c r="M80" t="s">
        <v>122</v>
      </c>
      <c r="N80" t="s">
        <v>45</v>
      </c>
      <c r="O80" t="str">
        <f>TRIM(N80)</f>
        <v>Furniture</v>
      </c>
      <c r="P80" t="s">
        <v>46</v>
      </c>
      <c r="Q80" t="s">
        <v>496</v>
      </c>
      <c r="R80" t="s">
        <v>56</v>
      </c>
      <c r="S80" t="s">
        <v>56</v>
      </c>
      <c r="T80">
        <v>5</v>
      </c>
      <c r="U80">
        <v>2129.5100000000002</v>
      </c>
      <c r="V80">
        <v>0.15</v>
      </c>
      <c r="W80">
        <v>9050.42</v>
      </c>
      <c r="X80">
        <v>6778.85</v>
      </c>
      <c r="Y80">
        <v>2271.5700000000002</v>
      </c>
      <c r="Z80" t="s">
        <v>34</v>
      </c>
      <c r="AA80" t="s">
        <v>35</v>
      </c>
    </row>
    <row r="81" spans="1:27">
      <c r="A81" t="s">
        <v>497</v>
      </c>
      <c r="B81" t="s">
        <v>498</v>
      </c>
      <c r="C81" t="s">
        <v>499</v>
      </c>
      <c r="D81">
        <f>IFERROR(C81-B81,"Invalid")</f>
        <v>6</v>
      </c>
      <c r="E81" s="7">
        <f>IF(OR(D81="Invalid",D81&lt;0),"",D81)</f>
        <v>6</v>
      </c>
      <c r="F81" t="s">
        <v>500</v>
      </c>
      <c r="G81" t="s">
        <v>210</v>
      </c>
      <c r="H81" t="str">
        <f>PROPER(TRIM(G81))</f>
        <v>Diya Patel</v>
      </c>
      <c r="I81" t="s">
        <v>115</v>
      </c>
      <c r="J81" t="str">
        <f>PROPER(TRIM(I81))</f>
        <v>Home Office</v>
      </c>
      <c r="K81" t="s">
        <v>62</v>
      </c>
      <c r="L81" t="s">
        <v>339</v>
      </c>
      <c r="M81" t="s">
        <v>340</v>
      </c>
      <c r="N81" t="s">
        <v>45</v>
      </c>
      <c r="O81" t="str">
        <f>TRIM(N81)</f>
        <v>Furniture</v>
      </c>
      <c r="P81" t="s">
        <v>76</v>
      </c>
      <c r="Q81" t="s">
        <v>501</v>
      </c>
      <c r="R81" t="s">
        <v>48</v>
      </c>
      <c r="S81" t="s">
        <v>48</v>
      </c>
      <c r="T81">
        <v>9</v>
      </c>
      <c r="U81">
        <v>4131.5200000000004</v>
      </c>
      <c r="V81">
        <v>0.1</v>
      </c>
      <c r="W81">
        <v>33465.31</v>
      </c>
      <c r="X81">
        <v>24781.26</v>
      </c>
      <c r="Y81">
        <v>8684.0499999999993</v>
      </c>
      <c r="Z81" t="s">
        <v>34</v>
      </c>
      <c r="AA81" t="s">
        <v>35</v>
      </c>
    </row>
    <row r="82" spans="1:27">
      <c r="A82" t="s">
        <v>502</v>
      </c>
      <c r="B82" t="s">
        <v>503</v>
      </c>
      <c r="C82" t="s">
        <v>504</v>
      </c>
      <c r="D82">
        <f>IFERROR(C82-B82,"Invalid")</f>
        <v>4</v>
      </c>
      <c r="E82" s="7">
        <f>IF(OR(D82="Invalid",D82&lt;0),"",D82)</f>
        <v>4</v>
      </c>
      <c r="F82" t="s">
        <v>505</v>
      </c>
      <c r="G82" t="s">
        <v>162</v>
      </c>
      <c r="H82" t="str">
        <f>PROPER(TRIM(G82))</f>
        <v>Aarav Sharma</v>
      </c>
      <c r="I82" t="s">
        <v>41</v>
      </c>
      <c r="J82" t="str">
        <f>PROPER(TRIM(I82))</f>
        <v>Small Business</v>
      </c>
      <c r="K82" t="s">
        <v>27</v>
      </c>
      <c r="L82" t="s">
        <v>506</v>
      </c>
      <c r="M82" t="s">
        <v>507</v>
      </c>
      <c r="N82" t="s">
        <v>30</v>
      </c>
      <c r="O82" t="str">
        <f>TRIM(N82)</f>
        <v>Office Supplies</v>
      </c>
      <c r="P82" t="s">
        <v>156</v>
      </c>
      <c r="Q82" t="s">
        <v>508</v>
      </c>
      <c r="R82" t="s">
        <v>33</v>
      </c>
      <c r="S82" t="s">
        <v>33</v>
      </c>
      <c r="T82">
        <v>4</v>
      </c>
      <c r="U82">
        <v>1182.32</v>
      </c>
      <c r="V82">
        <v>0.1</v>
      </c>
      <c r="W82">
        <v>4256.3500000000004</v>
      </c>
      <c r="X82">
        <v>2495.33</v>
      </c>
      <c r="Y82">
        <v>1761.02</v>
      </c>
      <c r="Z82" t="s">
        <v>137</v>
      </c>
      <c r="AA82" t="s">
        <v>125</v>
      </c>
    </row>
    <row r="83" spans="1:27">
      <c r="A83" t="s">
        <v>509</v>
      </c>
      <c r="B83" t="s">
        <v>510</v>
      </c>
      <c r="C83" t="s">
        <v>511</v>
      </c>
      <c r="D83">
        <f>IFERROR(C83-B83,"Invalid")</f>
        <v>1</v>
      </c>
      <c r="E83" s="7">
        <f>IF(OR(D83="Invalid",D83&lt;0),"",D83)</f>
        <v>1</v>
      </c>
      <c r="F83" t="s">
        <v>512</v>
      </c>
      <c r="G83" t="s">
        <v>25</v>
      </c>
      <c r="H83" t="str">
        <f>PROPER(TRIM(G83))</f>
        <v>Karan Malhotra</v>
      </c>
      <c r="I83" t="s">
        <v>115</v>
      </c>
      <c r="J83" t="str">
        <f>PROPER(TRIM(I83))</f>
        <v>Home Office</v>
      </c>
      <c r="K83" t="s">
        <v>73</v>
      </c>
      <c r="L83" t="s">
        <v>249</v>
      </c>
      <c r="M83" t="s">
        <v>250</v>
      </c>
      <c r="N83" t="s">
        <v>30</v>
      </c>
      <c r="O83" t="str">
        <f>TRIM(N83)</f>
        <v>Office Supplies</v>
      </c>
      <c r="P83" t="s">
        <v>109</v>
      </c>
      <c r="Q83" t="s">
        <v>513</v>
      </c>
      <c r="R83" t="s">
        <v>48</v>
      </c>
      <c r="S83" t="s">
        <v>48</v>
      </c>
      <c r="T83">
        <v>3</v>
      </c>
      <c r="U83">
        <v>1841.91</v>
      </c>
      <c r="V83">
        <v>0</v>
      </c>
      <c r="W83">
        <v>5525.73</v>
      </c>
      <c r="X83">
        <v>3093.42</v>
      </c>
      <c r="Y83">
        <v>2432.31</v>
      </c>
      <c r="Z83" t="s">
        <v>34</v>
      </c>
      <c r="AA83" t="s">
        <v>35</v>
      </c>
    </row>
    <row r="84" spans="1:27">
      <c r="A84" t="s">
        <v>514</v>
      </c>
      <c r="B84" t="s">
        <v>515</v>
      </c>
      <c r="C84" t="s">
        <v>516</v>
      </c>
      <c r="D84">
        <f>IFERROR(C84-B84,"Invalid")</f>
        <v>1</v>
      </c>
      <c r="E84" s="7">
        <f>IF(OR(D84="Invalid",D84&lt;0),"",D84)</f>
        <v>1</v>
      </c>
      <c r="F84" t="s">
        <v>517</v>
      </c>
      <c r="G84" t="s">
        <v>61</v>
      </c>
      <c r="H84" t="str">
        <f>PROPER(TRIM(G84))</f>
        <v>Arjun Bose</v>
      </c>
      <c r="I84" t="s">
        <v>26</v>
      </c>
      <c r="J84" t="str">
        <f>PROPER(TRIM(I84))</f>
        <v>Consumer</v>
      </c>
      <c r="K84" t="s">
        <v>27</v>
      </c>
      <c r="L84" t="s">
        <v>174</v>
      </c>
      <c r="M84" t="s">
        <v>175</v>
      </c>
      <c r="N84" t="s">
        <v>86</v>
      </c>
      <c r="O84" t="str">
        <f>TRIM(N84)</f>
        <v>Technology</v>
      </c>
      <c r="P84" t="s">
        <v>94</v>
      </c>
      <c r="Q84" t="s">
        <v>518</v>
      </c>
      <c r="R84" t="s">
        <v>33</v>
      </c>
      <c r="S84" t="s">
        <v>33</v>
      </c>
      <c r="T84">
        <v>6</v>
      </c>
      <c r="U84">
        <v>1001.73</v>
      </c>
      <c r="V84">
        <v>0</v>
      </c>
      <c r="W84">
        <v>6010.38</v>
      </c>
      <c r="X84">
        <v>3762.85</v>
      </c>
      <c r="Y84">
        <v>2247.5300000000002</v>
      </c>
      <c r="Z84" t="s">
        <v>200</v>
      </c>
      <c r="AA84" t="s">
        <v>125</v>
      </c>
    </row>
    <row r="85" spans="1:27">
      <c r="A85" t="s">
        <v>519</v>
      </c>
      <c r="B85" t="s">
        <v>363</v>
      </c>
      <c r="C85" t="s">
        <v>520</v>
      </c>
      <c r="D85">
        <f>IFERROR(C85-B85,"Invalid")</f>
        <v>3</v>
      </c>
      <c r="E85" s="7">
        <f>IF(OR(D85="Invalid",D85&lt;0),"",D85)</f>
        <v>3</v>
      </c>
      <c r="F85" t="s">
        <v>521</v>
      </c>
      <c r="G85" t="s">
        <v>107</v>
      </c>
      <c r="H85" t="str">
        <f>PROPER(TRIM(G85))</f>
        <v>Aditi Sen</v>
      </c>
      <c r="I85" t="s">
        <v>115</v>
      </c>
      <c r="J85" t="str">
        <f>PROPER(TRIM(I85))</f>
        <v>Home Office</v>
      </c>
      <c r="K85" t="s">
        <v>73</v>
      </c>
      <c r="L85" t="s">
        <v>74</v>
      </c>
      <c r="M85" t="s">
        <v>75</v>
      </c>
      <c r="N85" t="s">
        <v>45</v>
      </c>
      <c r="O85" t="str">
        <f>TRIM(N85)</f>
        <v>Furniture</v>
      </c>
      <c r="P85" t="s">
        <v>46</v>
      </c>
      <c r="Q85" t="s">
        <v>522</v>
      </c>
      <c r="R85" t="s">
        <v>33</v>
      </c>
      <c r="S85" t="s">
        <v>33</v>
      </c>
      <c r="T85">
        <v>9</v>
      </c>
      <c r="U85">
        <v>131.74</v>
      </c>
      <c r="V85">
        <v>0.2</v>
      </c>
      <c r="W85">
        <v>948.53</v>
      </c>
      <c r="X85">
        <v>674.62</v>
      </c>
      <c r="Y85">
        <v>273.91000000000003</v>
      </c>
      <c r="Z85" t="s">
        <v>34</v>
      </c>
      <c r="AA85" t="s">
        <v>35</v>
      </c>
    </row>
    <row r="86" spans="1:27">
      <c r="A86" t="s">
        <v>523</v>
      </c>
      <c r="B86" t="s">
        <v>524</v>
      </c>
      <c r="C86" t="s">
        <v>525</v>
      </c>
      <c r="D86">
        <f>IFERROR(C86-B86,"Invalid")</f>
        <v>2</v>
      </c>
      <c r="E86" s="7">
        <f>IF(OR(D86="Invalid",D86&lt;0),"",D86)</f>
        <v>2</v>
      </c>
      <c r="F86" t="s">
        <v>526</v>
      </c>
      <c r="G86" t="s">
        <v>180</v>
      </c>
      <c r="H86" t="str">
        <f>PROPER(TRIM(G86))</f>
        <v>Rohan Mehta</v>
      </c>
      <c r="I86" t="s">
        <v>108</v>
      </c>
      <c r="J86" t="str">
        <f>PROPER(TRIM(I86))</f>
        <v>Corporate</v>
      </c>
      <c r="K86" t="s">
        <v>62</v>
      </c>
      <c r="L86" t="s">
        <v>339</v>
      </c>
      <c r="M86" t="s">
        <v>340</v>
      </c>
      <c r="N86" t="s">
        <v>86</v>
      </c>
      <c r="O86" t="str">
        <f>TRIM(N86)</f>
        <v>Technology</v>
      </c>
      <c r="P86" t="s">
        <v>223</v>
      </c>
      <c r="Q86" t="s">
        <v>527</v>
      </c>
      <c r="R86" t="s">
        <v>33</v>
      </c>
      <c r="S86" t="s">
        <v>33</v>
      </c>
      <c r="T86">
        <v>6</v>
      </c>
      <c r="U86">
        <v>570.28</v>
      </c>
      <c r="V86">
        <v>0.2</v>
      </c>
      <c r="W86">
        <v>2737.34</v>
      </c>
      <c r="X86">
        <v>2085.44</v>
      </c>
      <c r="Y86">
        <v>651.9</v>
      </c>
      <c r="Z86" t="s">
        <v>34</v>
      </c>
      <c r="AA86" t="s">
        <v>35</v>
      </c>
    </row>
    <row r="87" spans="1:27">
      <c r="A87" t="s">
        <v>528</v>
      </c>
      <c r="B87" t="s">
        <v>529</v>
      </c>
      <c r="C87" t="s">
        <v>530</v>
      </c>
      <c r="D87">
        <f>IFERROR(C87-B87,"Invalid")</f>
        <v>-83</v>
      </c>
      <c r="E87" s="7" t="str">
        <f>IF(OR(D87="Invalid",D87&lt;0),"",D87)</f>
        <v/>
      </c>
      <c r="F87" t="s">
        <v>531</v>
      </c>
      <c r="G87" t="s">
        <v>366</v>
      </c>
      <c r="H87" t="str">
        <f>PROPER(TRIM(G87))</f>
        <v>Kabir Singh</v>
      </c>
      <c r="I87" t="s">
        <v>108</v>
      </c>
      <c r="J87" t="str">
        <f>PROPER(TRIM(I87))</f>
        <v>Corporate</v>
      </c>
      <c r="K87" t="s">
        <v>27</v>
      </c>
      <c r="L87" t="s">
        <v>506</v>
      </c>
      <c r="M87" t="s">
        <v>507</v>
      </c>
      <c r="N87" t="s">
        <v>30</v>
      </c>
      <c r="O87" t="str">
        <f>TRIM(N87)</f>
        <v>Office Supplies</v>
      </c>
      <c r="P87" t="s">
        <v>198</v>
      </c>
      <c r="Q87" t="s">
        <v>532</v>
      </c>
      <c r="R87" t="s">
        <v>67</v>
      </c>
      <c r="S87" t="s">
        <v>67</v>
      </c>
      <c r="T87">
        <v>1</v>
      </c>
      <c r="U87">
        <v>608.64</v>
      </c>
      <c r="V87">
        <v>0</v>
      </c>
      <c r="W87">
        <v>608.64</v>
      </c>
      <c r="X87">
        <v>343.99</v>
      </c>
      <c r="Y87">
        <v>264.64999999999998</v>
      </c>
      <c r="Z87" t="s">
        <v>34</v>
      </c>
      <c r="AA87" t="s">
        <v>78</v>
      </c>
    </row>
    <row r="88" spans="1:27">
      <c r="A88" t="s">
        <v>533</v>
      </c>
      <c r="B88" t="s">
        <v>534</v>
      </c>
      <c r="C88" t="s">
        <v>534</v>
      </c>
      <c r="D88">
        <f>IFERROR(C88-B88,"Invalid")</f>
        <v>0</v>
      </c>
      <c r="E88" s="7">
        <f>IF(OR(D88="Invalid",D88&lt;0),"",D88)</f>
        <v>0</v>
      </c>
      <c r="F88" t="s">
        <v>535</v>
      </c>
      <c r="G88" t="s">
        <v>72</v>
      </c>
      <c r="H88" t="str">
        <f>PROPER(TRIM(G88))</f>
        <v>Ananya Rao</v>
      </c>
      <c r="I88" t="s">
        <v>41</v>
      </c>
      <c r="J88" t="str">
        <f>PROPER(TRIM(I88))</f>
        <v>Small Business</v>
      </c>
      <c r="K88" t="s">
        <v>27</v>
      </c>
      <c r="L88" t="s">
        <v>506</v>
      </c>
      <c r="M88" t="s">
        <v>507</v>
      </c>
      <c r="N88" t="s">
        <v>86</v>
      </c>
      <c r="O88" t="str">
        <f>TRIM(N88)</f>
        <v>Technology</v>
      </c>
      <c r="P88" t="s">
        <v>94</v>
      </c>
      <c r="Q88" t="s">
        <v>536</v>
      </c>
      <c r="R88" t="s">
        <v>33</v>
      </c>
      <c r="S88" t="s">
        <v>33</v>
      </c>
      <c r="T88">
        <v>3</v>
      </c>
      <c r="U88">
        <v>885.28</v>
      </c>
      <c r="V88">
        <v>0.1</v>
      </c>
      <c r="W88">
        <v>2390.2600000000002</v>
      </c>
      <c r="X88">
        <v>1495.94</v>
      </c>
      <c r="Y88">
        <v>894.32</v>
      </c>
      <c r="Z88" t="s">
        <v>124</v>
      </c>
      <c r="AA88" t="s">
        <v>78</v>
      </c>
    </row>
    <row r="89" spans="1:27">
      <c r="A89" t="s">
        <v>537</v>
      </c>
      <c r="B89" t="s">
        <v>538</v>
      </c>
      <c r="C89" t="s">
        <v>515</v>
      </c>
      <c r="D89">
        <f>IFERROR(C89-B89,"Invalid")</f>
        <v>1</v>
      </c>
      <c r="E89" s="7">
        <f>IF(OR(D89="Invalid",D89&lt;0),"",D89)</f>
        <v>1</v>
      </c>
      <c r="F89" t="s">
        <v>539</v>
      </c>
      <c r="G89" t="s">
        <v>83</v>
      </c>
      <c r="H89" t="str">
        <f>PROPER(TRIM(G89))</f>
        <v>Vikram Iyer</v>
      </c>
      <c r="I89" t="s">
        <v>26</v>
      </c>
      <c r="J89" t="str">
        <f>PROPER(TRIM(I89))</f>
        <v>Consumer</v>
      </c>
      <c r="K89" t="s">
        <v>42</v>
      </c>
      <c r="L89" t="s">
        <v>216</v>
      </c>
      <c r="M89" t="s">
        <v>217</v>
      </c>
      <c r="N89" t="s">
        <v>30</v>
      </c>
      <c r="O89" t="str">
        <f>TRIM(N89)</f>
        <v>Office Supplies</v>
      </c>
      <c r="P89" t="s">
        <v>198</v>
      </c>
      <c r="Q89" t="s">
        <v>540</v>
      </c>
      <c r="R89" t="s">
        <v>67</v>
      </c>
      <c r="S89" t="s">
        <v>67</v>
      </c>
      <c r="T89">
        <v>7</v>
      </c>
      <c r="U89">
        <v>3345.22</v>
      </c>
      <c r="V89">
        <v>0</v>
      </c>
      <c r="W89">
        <v>23416.54</v>
      </c>
      <c r="X89">
        <v>15490.89</v>
      </c>
      <c r="Y89">
        <v>7925.65</v>
      </c>
      <c r="Z89" t="s">
        <v>34</v>
      </c>
      <c r="AA89" t="s">
        <v>35</v>
      </c>
    </row>
    <row r="90" spans="1:27">
      <c r="A90" t="s">
        <v>541</v>
      </c>
      <c r="B90" t="s">
        <v>542</v>
      </c>
      <c r="C90" t="s">
        <v>543</v>
      </c>
      <c r="D90" t="str">
        <f>IFERROR(C90-B90,"Invalid")</f>
        <v>Invalid</v>
      </c>
      <c r="E90" s="7" t="str">
        <f>IF(OR(D90="Invalid",D90&lt;0),"",D90)</f>
        <v/>
      </c>
      <c r="F90" t="s">
        <v>544</v>
      </c>
      <c r="G90" t="s">
        <v>180</v>
      </c>
      <c r="H90" t="str">
        <f>PROPER(TRIM(G90))</f>
        <v>Rohan Mehta</v>
      </c>
      <c r="I90" t="s">
        <v>41</v>
      </c>
      <c r="J90" t="str">
        <f>PROPER(TRIM(I90))</f>
        <v>Small Business</v>
      </c>
      <c r="K90" t="s">
        <v>73</v>
      </c>
      <c r="L90" t="s">
        <v>74</v>
      </c>
      <c r="M90" t="s">
        <v>75</v>
      </c>
      <c r="N90" t="s">
        <v>45</v>
      </c>
      <c r="O90" t="str">
        <f>TRIM(N90)</f>
        <v>Furniture</v>
      </c>
      <c r="P90" t="s">
        <v>204</v>
      </c>
      <c r="Q90" t="s">
        <v>545</v>
      </c>
      <c r="R90" t="s">
        <v>67</v>
      </c>
      <c r="S90" t="s">
        <v>67</v>
      </c>
      <c r="T90">
        <v>2</v>
      </c>
      <c r="U90">
        <v>3284.75</v>
      </c>
      <c r="V90">
        <v>0.05</v>
      </c>
      <c r="W90">
        <v>6241.02</v>
      </c>
      <c r="X90">
        <v>5345.88</v>
      </c>
      <c r="Y90">
        <v>895.14</v>
      </c>
      <c r="Z90" t="s">
        <v>34</v>
      </c>
      <c r="AA90" t="s">
        <v>35</v>
      </c>
    </row>
    <row r="91" spans="1:27">
      <c r="A91" t="s">
        <v>546</v>
      </c>
      <c r="B91" t="s">
        <v>38</v>
      </c>
      <c r="C91" t="s">
        <v>38</v>
      </c>
      <c r="D91">
        <f>IFERROR(C91-B91,"Invalid")</f>
        <v>0</v>
      </c>
      <c r="E91" s="7">
        <f>IF(OR(D91="Invalid",D91&lt;0),"",D91)</f>
        <v>0</v>
      </c>
      <c r="F91" t="s">
        <v>547</v>
      </c>
      <c r="G91" t="s">
        <v>366</v>
      </c>
      <c r="H91" t="str">
        <f>PROPER(TRIM(G91))</f>
        <v>Kabir Singh</v>
      </c>
      <c r="I91" t="s">
        <v>26</v>
      </c>
      <c r="J91" t="str">
        <f>PROPER(TRIM(I91))</f>
        <v>Consumer</v>
      </c>
      <c r="K91" t="s">
        <v>62</v>
      </c>
      <c r="L91" t="s">
        <v>100</v>
      </c>
      <c r="M91" t="s">
        <v>101</v>
      </c>
      <c r="N91" t="s">
        <v>45</v>
      </c>
      <c r="O91" t="str">
        <f>TRIM(N91)</f>
        <v>Furniture</v>
      </c>
      <c r="P91" t="s">
        <v>204</v>
      </c>
      <c r="Q91" t="s">
        <v>548</v>
      </c>
      <c r="R91" t="s">
        <v>67</v>
      </c>
      <c r="S91" t="s">
        <v>67</v>
      </c>
      <c r="T91">
        <v>7</v>
      </c>
      <c r="U91">
        <v>3761.09</v>
      </c>
      <c r="V91">
        <v>0.2</v>
      </c>
      <c r="W91">
        <v>21062.1</v>
      </c>
      <c r="X91">
        <v>12057.13</v>
      </c>
      <c r="Y91">
        <v>9004.9699999999993</v>
      </c>
      <c r="Z91" t="s">
        <v>137</v>
      </c>
      <c r="AA91" t="s">
        <v>78</v>
      </c>
    </row>
    <row r="92" spans="1:27">
      <c r="A92" t="s">
        <v>549</v>
      </c>
      <c r="B92" t="s">
        <v>550</v>
      </c>
      <c r="C92" t="s">
        <v>69</v>
      </c>
      <c r="D92" t="str">
        <f>IFERROR(C92-B92,"Invalid")</f>
        <v>Invalid</v>
      </c>
      <c r="E92" s="7" t="str">
        <f>IF(OR(D92="Invalid",D92&lt;0),"",D92)</f>
        <v/>
      </c>
      <c r="F92" t="s">
        <v>551</v>
      </c>
      <c r="G92" t="s">
        <v>162</v>
      </c>
      <c r="H92" t="str">
        <f>PROPER(TRIM(G92))</f>
        <v>Aarav Sharma</v>
      </c>
      <c r="I92" t="s">
        <v>41</v>
      </c>
      <c r="J92" t="str">
        <f>PROPER(TRIM(I92))</f>
        <v>Small Business</v>
      </c>
      <c r="K92" t="s">
        <v>42</v>
      </c>
      <c r="L92" t="s">
        <v>186</v>
      </c>
      <c r="M92" t="s">
        <v>187</v>
      </c>
      <c r="N92" t="s">
        <v>86</v>
      </c>
      <c r="O92" t="str">
        <f>TRIM(N92)</f>
        <v>Technology</v>
      </c>
      <c r="P92" t="s">
        <v>94</v>
      </c>
      <c r="Q92" t="s">
        <v>552</v>
      </c>
      <c r="R92" t="s">
        <v>56</v>
      </c>
      <c r="S92" t="s">
        <v>56</v>
      </c>
      <c r="T92">
        <v>3</v>
      </c>
      <c r="U92">
        <v>3703.96</v>
      </c>
      <c r="V92">
        <v>0.15</v>
      </c>
      <c r="W92">
        <v>9445.1</v>
      </c>
      <c r="X92">
        <v>5586.28</v>
      </c>
      <c r="Y92">
        <v>3858.82</v>
      </c>
      <c r="Z92" t="s">
        <v>34</v>
      </c>
      <c r="AA92" t="s">
        <v>35</v>
      </c>
    </row>
    <row r="93" spans="1:27">
      <c r="A93" t="s">
        <v>553</v>
      </c>
      <c r="B93" t="s">
        <v>554</v>
      </c>
      <c r="C93" t="s">
        <v>555</v>
      </c>
      <c r="D93">
        <f>IFERROR(C93-B93,"Invalid")</f>
        <v>154</v>
      </c>
      <c r="E93" s="7">
        <f>IF(OR(D93="Invalid",D93&lt;0),"",D93)</f>
        <v>154</v>
      </c>
      <c r="F93" t="s">
        <v>556</v>
      </c>
      <c r="G93" t="s">
        <v>168</v>
      </c>
      <c r="H93" t="str">
        <f>PROPER(TRIM(G93))</f>
        <v>Sneha Kapoor</v>
      </c>
      <c r="I93" t="s">
        <v>108</v>
      </c>
      <c r="J93" t="str">
        <f>PROPER(TRIM(I93))</f>
        <v>Corporate</v>
      </c>
      <c r="K93" t="s">
        <v>73</v>
      </c>
      <c r="L93" t="s">
        <v>84</v>
      </c>
      <c r="M93" t="s">
        <v>85</v>
      </c>
      <c r="N93" t="s">
        <v>86</v>
      </c>
      <c r="O93" t="str">
        <f>TRIM(N93)</f>
        <v>Technology</v>
      </c>
      <c r="P93" t="s">
        <v>94</v>
      </c>
      <c r="Q93" t="s">
        <v>557</v>
      </c>
      <c r="R93" t="s">
        <v>33</v>
      </c>
      <c r="S93" t="s">
        <v>33</v>
      </c>
      <c r="T93">
        <v>9</v>
      </c>
      <c r="U93">
        <v>269.68</v>
      </c>
      <c r="V93">
        <v>0</v>
      </c>
      <c r="W93">
        <v>2427.12</v>
      </c>
      <c r="X93">
        <v>1538.35</v>
      </c>
      <c r="Y93">
        <v>804.53</v>
      </c>
      <c r="Z93" t="s">
        <v>34</v>
      </c>
      <c r="AA93" t="s">
        <v>35</v>
      </c>
    </row>
    <row r="94" spans="1:27">
      <c r="A94" t="s">
        <v>558</v>
      </c>
      <c r="B94" t="s">
        <v>184</v>
      </c>
      <c r="C94" t="s">
        <v>559</v>
      </c>
      <c r="D94" t="str">
        <f>IFERROR(C94-B94,"Invalid")</f>
        <v>Invalid</v>
      </c>
      <c r="E94" s="7" t="str">
        <f>IF(OR(D94="Invalid",D94&lt;0),"",D94)</f>
        <v/>
      </c>
      <c r="F94" t="s">
        <v>560</v>
      </c>
      <c r="G94" t="s">
        <v>162</v>
      </c>
      <c r="H94" t="str">
        <f>PROPER(TRIM(G94))</f>
        <v>Aarav Sharma</v>
      </c>
      <c r="I94" t="s">
        <v>26</v>
      </c>
      <c r="J94" t="str">
        <f>PROPER(TRIM(I94))</f>
        <v>Consumer</v>
      </c>
      <c r="K94" t="s">
        <v>73</v>
      </c>
      <c r="L94" t="s">
        <v>84</v>
      </c>
      <c r="M94" t="s">
        <v>85</v>
      </c>
      <c r="N94" t="s">
        <v>30</v>
      </c>
      <c r="O94" t="str">
        <f>TRIM(N94)</f>
        <v>Office Supplies</v>
      </c>
      <c r="P94" t="s">
        <v>31</v>
      </c>
      <c r="Q94" t="s">
        <v>561</v>
      </c>
      <c r="R94" t="s">
        <v>67</v>
      </c>
      <c r="S94" t="s">
        <v>67</v>
      </c>
      <c r="T94">
        <v>9</v>
      </c>
      <c r="U94">
        <v>4458.26</v>
      </c>
      <c r="V94">
        <v>0.1</v>
      </c>
      <c r="W94">
        <v>36111.910000000003</v>
      </c>
      <c r="X94">
        <v>29194.5</v>
      </c>
      <c r="Y94">
        <v>6917.41</v>
      </c>
      <c r="Z94" t="s">
        <v>34</v>
      </c>
      <c r="AA94" t="s">
        <v>35</v>
      </c>
    </row>
    <row r="95" spans="1:27">
      <c r="A95" t="s">
        <v>562</v>
      </c>
      <c r="B95" t="s">
        <v>165</v>
      </c>
      <c r="C95" t="s">
        <v>563</v>
      </c>
      <c r="D95">
        <f>IFERROR(C95-B95,"Invalid")</f>
        <v>-170</v>
      </c>
      <c r="E95" s="7" t="str">
        <f>IF(OR(D95="Invalid",D95&lt;0),"",D95)</f>
        <v/>
      </c>
      <c r="F95" t="s">
        <v>564</v>
      </c>
      <c r="G95" t="s">
        <v>180</v>
      </c>
      <c r="H95" t="str">
        <f>PROPER(TRIM(G95))</f>
        <v>Rohan Mehta</v>
      </c>
      <c r="I95" t="s">
        <v>108</v>
      </c>
      <c r="J95" t="str">
        <f>PROPER(TRIM(I95))</f>
        <v>Corporate</v>
      </c>
      <c r="K95" t="s">
        <v>27</v>
      </c>
      <c r="L95" t="s">
        <v>174</v>
      </c>
      <c r="M95" t="s">
        <v>175</v>
      </c>
      <c r="N95" t="s">
        <v>30</v>
      </c>
      <c r="O95" t="str">
        <f>TRIM(N95)</f>
        <v>Office Supplies</v>
      </c>
      <c r="P95" t="s">
        <v>198</v>
      </c>
      <c r="Q95" t="s">
        <v>565</v>
      </c>
      <c r="R95" t="s">
        <v>67</v>
      </c>
      <c r="S95" t="s">
        <v>67</v>
      </c>
      <c r="T95">
        <v>7</v>
      </c>
      <c r="U95">
        <v>2788.97</v>
      </c>
      <c r="V95">
        <v>-0.09</v>
      </c>
      <c r="W95">
        <v>19522.79</v>
      </c>
      <c r="X95">
        <v>12455.78</v>
      </c>
      <c r="Y95">
        <v>7067.01</v>
      </c>
      <c r="Z95" t="s">
        <v>34</v>
      </c>
      <c r="AA95" t="s">
        <v>35</v>
      </c>
    </row>
    <row r="96" spans="1:27">
      <c r="A96" t="s">
        <v>566</v>
      </c>
      <c r="B96" t="s">
        <v>567</v>
      </c>
      <c r="C96" t="s">
        <v>568</v>
      </c>
      <c r="D96">
        <f>IFERROR(C96-B96,"Invalid")</f>
        <v>92</v>
      </c>
      <c r="E96" s="7">
        <f>IF(OR(D96="Invalid",D96&lt;0),"",D96)</f>
        <v>92</v>
      </c>
      <c r="F96" t="s">
        <v>569</v>
      </c>
      <c r="G96" t="s">
        <v>210</v>
      </c>
      <c r="H96" t="str">
        <f>PROPER(TRIM(G96))</f>
        <v>Diya Patel</v>
      </c>
      <c r="I96" t="s">
        <v>26</v>
      </c>
      <c r="J96" t="str">
        <f>PROPER(TRIM(I96))</f>
        <v>Consumer</v>
      </c>
      <c r="K96" t="s">
        <v>27</v>
      </c>
      <c r="L96" t="s">
        <v>323</v>
      </c>
      <c r="M96" t="s">
        <v>324</v>
      </c>
      <c r="N96" t="s">
        <v>86</v>
      </c>
      <c r="O96" t="str">
        <f>TRIM(N96)</f>
        <v>Technology</v>
      </c>
      <c r="P96" t="s">
        <v>223</v>
      </c>
      <c r="Q96" t="s">
        <v>570</v>
      </c>
      <c r="R96" t="s">
        <v>33</v>
      </c>
      <c r="S96" t="s">
        <v>33</v>
      </c>
      <c r="T96">
        <v>7</v>
      </c>
      <c r="U96">
        <v>3781.53</v>
      </c>
      <c r="V96">
        <v>0</v>
      </c>
      <c r="W96">
        <v>26470.71</v>
      </c>
      <c r="X96">
        <v>21367.599999999999</v>
      </c>
      <c r="Y96">
        <v>5103.1099999999997</v>
      </c>
      <c r="Z96" t="s">
        <v>137</v>
      </c>
      <c r="AA96" t="s">
        <v>78</v>
      </c>
    </row>
    <row r="97" spans="1:27">
      <c r="A97" t="s">
        <v>571</v>
      </c>
      <c r="B97" t="s">
        <v>572</v>
      </c>
      <c r="C97" t="s">
        <v>573</v>
      </c>
      <c r="D97">
        <f>IFERROR(C97-B97,"Invalid")</f>
        <v>34</v>
      </c>
      <c r="E97" s="7">
        <f>IF(OR(D97="Invalid",D97&lt;0),"",D97)</f>
        <v>34</v>
      </c>
      <c r="F97" t="s">
        <v>574</v>
      </c>
      <c r="G97" t="s">
        <v>168</v>
      </c>
      <c r="H97" t="str">
        <f>PROPER(TRIM(G97))</f>
        <v>Sneha Kapoor</v>
      </c>
      <c r="I97" t="s">
        <v>108</v>
      </c>
      <c r="J97" t="str">
        <f>PROPER(TRIM(I97))</f>
        <v>Corporate</v>
      </c>
      <c r="K97" t="s">
        <v>73</v>
      </c>
      <c r="L97" t="s">
        <v>249</v>
      </c>
      <c r="M97" t="s">
        <v>250</v>
      </c>
      <c r="N97" t="s">
        <v>45</v>
      </c>
      <c r="O97" t="str">
        <f>TRIM(N97)</f>
        <v>Furniture</v>
      </c>
      <c r="P97" t="s">
        <v>204</v>
      </c>
      <c r="Q97" t="s">
        <v>575</v>
      </c>
      <c r="R97" t="s">
        <v>48</v>
      </c>
      <c r="S97" t="s">
        <v>48</v>
      </c>
      <c r="T97">
        <v>6</v>
      </c>
      <c r="U97">
        <v>1754.13</v>
      </c>
      <c r="V97">
        <v>0</v>
      </c>
      <c r="W97">
        <v>10524.78</v>
      </c>
      <c r="X97">
        <v>8841.0499999999993</v>
      </c>
      <c r="Y97">
        <v>1683.73</v>
      </c>
      <c r="Z97" t="s">
        <v>34</v>
      </c>
      <c r="AA97" t="s">
        <v>35</v>
      </c>
    </row>
    <row r="98" spans="1:27">
      <c r="A98" t="s">
        <v>576</v>
      </c>
      <c r="B98" t="s">
        <v>577</v>
      </c>
      <c r="C98" t="s">
        <v>578</v>
      </c>
      <c r="D98">
        <f>IFERROR(C98-B98,"Invalid")</f>
        <v>2</v>
      </c>
      <c r="E98" s="7">
        <f>IF(OR(D98="Invalid",D98&lt;0),"",D98)</f>
        <v>2</v>
      </c>
      <c r="F98" t="s">
        <v>579</v>
      </c>
      <c r="G98" t="s">
        <v>148</v>
      </c>
      <c r="H98" t="str">
        <f>PROPER(TRIM(G98))</f>
        <v>Rahul Verma</v>
      </c>
      <c r="I98" t="s">
        <v>115</v>
      </c>
      <c r="J98" t="str">
        <f>PROPER(TRIM(I98))</f>
        <v>Home Office</v>
      </c>
      <c r="K98" t="s">
        <v>42</v>
      </c>
      <c r="L98" t="s">
        <v>43</v>
      </c>
      <c r="M98" t="s">
        <v>44</v>
      </c>
      <c r="N98" t="s">
        <v>86</v>
      </c>
      <c r="O98" t="str">
        <f>TRIM(N98)</f>
        <v>Technology</v>
      </c>
      <c r="P98" t="s">
        <v>94</v>
      </c>
      <c r="Q98" t="s">
        <v>580</v>
      </c>
      <c r="R98" t="s">
        <v>33</v>
      </c>
      <c r="S98" t="s">
        <v>33</v>
      </c>
      <c r="T98">
        <v>2</v>
      </c>
      <c r="U98">
        <v>2259.2399999999998</v>
      </c>
      <c r="V98">
        <v>0.15</v>
      </c>
      <c r="W98">
        <v>3840.71</v>
      </c>
      <c r="X98">
        <v>2516.29</v>
      </c>
      <c r="Y98">
        <v>1324.42</v>
      </c>
      <c r="Z98" t="s">
        <v>34</v>
      </c>
      <c r="AA98" t="s">
        <v>35</v>
      </c>
    </row>
    <row r="99" spans="1:27">
      <c r="A99" t="s">
        <v>581</v>
      </c>
      <c r="B99" t="s">
        <v>582</v>
      </c>
      <c r="C99" t="s">
        <v>583</v>
      </c>
      <c r="D99">
        <f>IFERROR(C99-B99,"Invalid")</f>
        <v>3</v>
      </c>
      <c r="E99" s="7">
        <f>IF(OR(D99="Invalid",D99&lt;0),"",D99)</f>
        <v>3</v>
      </c>
      <c r="F99" t="s">
        <v>584</v>
      </c>
      <c r="G99" t="s">
        <v>210</v>
      </c>
      <c r="H99" t="str">
        <f>PROPER(TRIM(G99))</f>
        <v>Diya Patel</v>
      </c>
      <c r="I99" t="s">
        <v>41</v>
      </c>
      <c r="J99" t="str">
        <f>PROPER(TRIM(I99))</f>
        <v>Small Business</v>
      </c>
      <c r="K99" t="s">
        <v>73</v>
      </c>
      <c r="L99" t="s">
        <v>235</v>
      </c>
      <c r="M99" t="s">
        <v>236</v>
      </c>
      <c r="N99" t="s">
        <v>30</v>
      </c>
      <c r="O99" t="str">
        <f>TRIM(N99)</f>
        <v>Office Supplies</v>
      </c>
      <c r="P99" t="s">
        <v>156</v>
      </c>
      <c r="Q99" t="s">
        <v>585</v>
      </c>
      <c r="R99" t="s">
        <v>48</v>
      </c>
      <c r="S99" t="s">
        <v>48</v>
      </c>
      <c r="T99">
        <v>5</v>
      </c>
      <c r="U99">
        <v>3602.36</v>
      </c>
      <c r="V99">
        <v>0.2</v>
      </c>
      <c r="W99">
        <v>14409.44</v>
      </c>
      <c r="X99">
        <v>8809.9699999999993</v>
      </c>
      <c r="Y99">
        <v>5599.47</v>
      </c>
      <c r="Z99" t="s">
        <v>137</v>
      </c>
      <c r="AA99" t="s">
        <v>125</v>
      </c>
    </row>
    <row r="100" spans="1:27">
      <c r="A100" t="s">
        <v>586</v>
      </c>
      <c r="B100" t="s">
        <v>587</v>
      </c>
      <c r="C100" t="s">
        <v>588</v>
      </c>
      <c r="D100">
        <f>IFERROR(C100-B100,"Invalid")</f>
        <v>-24</v>
      </c>
      <c r="E100" s="7" t="str">
        <f>IF(OR(D100="Invalid",D100&lt;0),"",D100)</f>
        <v/>
      </c>
      <c r="F100" t="s">
        <v>589</v>
      </c>
      <c r="G100" t="s">
        <v>180</v>
      </c>
      <c r="H100" t="str">
        <f>PROPER(TRIM(G100))</f>
        <v>Rohan Mehta</v>
      </c>
      <c r="I100" t="s">
        <v>115</v>
      </c>
      <c r="J100" t="str">
        <f>PROPER(TRIM(I100))</f>
        <v>Home Office</v>
      </c>
      <c r="K100" t="s">
        <v>62</v>
      </c>
      <c r="L100" t="s">
        <v>242</v>
      </c>
      <c r="M100" t="s">
        <v>243</v>
      </c>
      <c r="N100" t="s">
        <v>86</v>
      </c>
      <c r="O100" t="str">
        <f>TRIM(N100)</f>
        <v>Technology</v>
      </c>
      <c r="P100" t="s">
        <v>94</v>
      </c>
      <c r="Q100" t="s">
        <v>590</v>
      </c>
      <c r="R100" t="s">
        <v>4124</v>
      </c>
      <c r="S100" t="s">
        <v>4111</v>
      </c>
      <c r="T100">
        <v>8</v>
      </c>
      <c r="U100">
        <v>2108.9299999999998</v>
      </c>
      <c r="V100">
        <v>0.1</v>
      </c>
      <c r="W100">
        <v>15184.3</v>
      </c>
      <c r="X100">
        <v>11270.74</v>
      </c>
      <c r="Y100">
        <v>3913.56</v>
      </c>
      <c r="Z100" t="s">
        <v>34</v>
      </c>
      <c r="AA100" t="s">
        <v>35</v>
      </c>
    </row>
    <row r="101" spans="1:27">
      <c r="A101" t="s">
        <v>591</v>
      </c>
      <c r="B101" t="s">
        <v>592</v>
      </c>
      <c r="C101" t="s">
        <v>592</v>
      </c>
      <c r="D101">
        <f>IFERROR(C101-B101,"Invalid")</f>
        <v>0</v>
      </c>
      <c r="E101" s="7">
        <f>IF(OR(D101="Invalid",D101&lt;0),"",D101)</f>
        <v>0</v>
      </c>
      <c r="F101" t="s">
        <v>593</v>
      </c>
      <c r="G101" t="s">
        <v>107</v>
      </c>
      <c r="H101" t="str">
        <f>PROPER(TRIM(G101))</f>
        <v>Aditi Sen</v>
      </c>
      <c r="I101" t="s">
        <v>41</v>
      </c>
      <c r="J101" t="str">
        <f>PROPER(TRIM(I101))</f>
        <v>Small Business</v>
      </c>
      <c r="K101" t="s">
        <v>73</v>
      </c>
      <c r="L101" t="s">
        <v>28</v>
      </c>
      <c r="M101" t="s">
        <v>135</v>
      </c>
      <c r="N101" t="s">
        <v>86</v>
      </c>
      <c r="O101" t="str">
        <f>TRIM(N101)</f>
        <v>Technology</v>
      </c>
      <c r="P101" t="s">
        <v>87</v>
      </c>
      <c r="Q101" t="s">
        <v>594</v>
      </c>
      <c r="R101" t="s">
        <v>48</v>
      </c>
      <c r="S101" t="s">
        <v>48</v>
      </c>
      <c r="T101">
        <v>3</v>
      </c>
      <c r="U101">
        <v>2165.29</v>
      </c>
      <c r="V101">
        <v>0</v>
      </c>
      <c r="W101">
        <v>6495.87</v>
      </c>
      <c r="X101">
        <v>4700.8900000000003</v>
      </c>
      <c r="Y101">
        <v>1794.98</v>
      </c>
      <c r="Z101" t="s">
        <v>34</v>
      </c>
      <c r="AA101" t="s">
        <v>35</v>
      </c>
    </row>
    <row r="102" spans="1:27">
      <c r="A102" t="s">
        <v>595</v>
      </c>
      <c r="B102" t="s">
        <v>596</v>
      </c>
      <c r="C102" t="s">
        <v>597</v>
      </c>
      <c r="D102">
        <f>IFERROR(C102-B102,"Invalid")</f>
        <v>6</v>
      </c>
      <c r="E102" s="7">
        <f>IF(OR(D102="Invalid",D102&lt;0),"",D102)</f>
        <v>6</v>
      </c>
      <c r="F102" t="s">
        <v>598</v>
      </c>
      <c r="G102" t="s">
        <v>162</v>
      </c>
      <c r="H102" t="str">
        <f>PROPER(TRIM(G102))</f>
        <v>Aarav Sharma</v>
      </c>
      <c r="I102" t="s">
        <v>115</v>
      </c>
      <c r="J102" t="str">
        <f>PROPER(TRIM(I102))</f>
        <v>Home Office</v>
      </c>
      <c r="K102" t="s">
        <v>62</v>
      </c>
      <c r="L102" t="s">
        <v>242</v>
      </c>
      <c r="M102" t="s">
        <v>243</v>
      </c>
      <c r="N102" t="s">
        <v>30</v>
      </c>
      <c r="O102" t="str">
        <f>TRIM(N102)</f>
        <v>Office Supplies</v>
      </c>
      <c r="P102" t="s">
        <v>156</v>
      </c>
      <c r="Q102" t="s">
        <v>599</v>
      </c>
      <c r="R102" t="s">
        <v>67</v>
      </c>
      <c r="S102" t="s">
        <v>67</v>
      </c>
      <c r="T102">
        <v>6</v>
      </c>
      <c r="U102">
        <v>1673.8</v>
      </c>
      <c r="V102">
        <v>0.05</v>
      </c>
      <c r="W102">
        <v>9540.66</v>
      </c>
      <c r="X102">
        <v>5561.49</v>
      </c>
      <c r="Y102">
        <v>3979.17</v>
      </c>
      <c r="Z102" t="s">
        <v>34</v>
      </c>
      <c r="AA102" t="s">
        <v>35</v>
      </c>
    </row>
    <row r="103" spans="1:27">
      <c r="A103" t="s">
        <v>600</v>
      </c>
      <c r="B103" t="s">
        <v>320</v>
      </c>
      <c r="C103" t="s">
        <v>601</v>
      </c>
      <c r="D103" t="str">
        <f>IFERROR(C103-B103,"Invalid")</f>
        <v>Invalid</v>
      </c>
      <c r="E103" s="7" t="str">
        <f>IF(OR(D103="Invalid",D103&lt;0),"",D103)</f>
        <v/>
      </c>
      <c r="F103" t="s">
        <v>602</v>
      </c>
      <c r="G103" t="s">
        <v>180</v>
      </c>
      <c r="H103" t="str">
        <f>PROPER(TRIM(G103))</f>
        <v>Rohan Mehta</v>
      </c>
      <c r="I103" t="s">
        <v>115</v>
      </c>
      <c r="J103" t="str">
        <f>PROPER(TRIM(I103))</f>
        <v>Home Office</v>
      </c>
      <c r="K103" t="s">
        <v>42</v>
      </c>
      <c r="L103" t="s">
        <v>186</v>
      </c>
      <c r="M103" t="s">
        <v>187</v>
      </c>
      <c r="N103" t="s">
        <v>45</v>
      </c>
      <c r="O103" t="str">
        <f>TRIM(N103)</f>
        <v>Furniture</v>
      </c>
      <c r="P103" t="s">
        <v>65</v>
      </c>
      <c r="Q103" t="s">
        <v>603</v>
      </c>
      <c r="R103" t="s">
        <v>56</v>
      </c>
      <c r="S103" t="s">
        <v>56</v>
      </c>
      <c r="T103">
        <v>5</v>
      </c>
      <c r="U103">
        <v>4396.5200000000004</v>
      </c>
      <c r="V103">
        <v>0.25</v>
      </c>
      <c r="W103">
        <v>16486.95</v>
      </c>
      <c r="X103">
        <v>12054.14</v>
      </c>
      <c r="Y103">
        <v>4432.8100000000004</v>
      </c>
      <c r="Z103" t="s">
        <v>34</v>
      </c>
      <c r="AA103" t="s">
        <v>35</v>
      </c>
    </row>
    <row r="104" spans="1:27">
      <c r="A104" t="s">
        <v>604</v>
      </c>
      <c r="B104" t="s">
        <v>605</v>
      </c>
      <c r="C104" t="s">
        <v>606</v>
      </c>
      <c r="D104">
        <f>IFERROR(C104-B104,"Invalid")</f>
        <v>4</v>
      </c>
      <c r="E104" s="7">
        <f>IF(OR(D104="Invalid",D104&lt;0),"",D104)</f>
        <v>4</v>
      </c>
      <c r="F104" t="s">
        <v>607</v>
      </c>
      <c r="G104" t="s">
        <v>83</v>
      </c>
      <c r="H104" t="str">
        <f>PROPER(TRIM(G104))</f>
        <v>Vikram Iyer</v>
      </c>
      <c r="I104" t="s">
        <v>26</v>
      </c>
      <c r="J104" t="str">
        <f>PROPER(TRIM(I104))</f>
        <v>Consumer</v>
      </c>
      <c r="K104" t="s">
        <v>62</v>
      </c>
      <c r="L104" t="s">
        <v>229</v>
      </c>
      <c r="M104" t="s">
        <v>230</v>
      </c>
      <c r="N104" t="s">
        <v>45</v>
      </c>
      <c r="O104" t="str">
        <f>TRIM(N104)</f>
        <v>Furniture</v>
      </c>
      <c r="P104" t="s">
        <v>76</v>
      </c>
      <c r="Q104" t="s">
        <v>608</v>
      </c>
      <c r="R104" t="s">
        <v>56</v>
      </c>
      <c r="S104" t="s">
        <v>56</v>
      </c>
      <c r="T104">
        <v>4</v>
      </c>
      <c r="U104">
        <v>2865.71</v>
      </c>
      <c r="V104">
        <v>0</v>
      </c>
      <c r="W104">
        <v>11462.84</v>
      </c>
      <c r="X104">
        <v>8979.7800000000007</v>
      </c>
      <c r="Y104">
        <v>2483.06</v>
      </c>
      <c r="Z104" t="s">
        <v>124</v>
      </c>
      <c r="AA104" t="s">
        <v>78</v>
      </c>
    </row>
    <row r="105" spans="1:27">
      <c r="A105" t="s">
        <v>609</v>
      </c>
      <c r="B105" t="s">
        <v>610</v>
      </c>
      <c r="C105" t="s">
        <v>611</v>
      </c>
      <c r="D105">
        <f>IFERROR(C105-B105,"Invalid")</f>
        <v>242</v>
      </c>
      <c r="E105" s="7">
        <f>IF(OR(D105="Invalid",D105&lt;0),"",D105)</f>
        <v>242</v>
      </c>
      <c r="F105" t="s">
        <v>612</v>
      </c>
      <c r="G105" t="s">
        <v>366</v>
      </c>
      <c r="H105" t="str">
        <f>PROPER(TRIM(G105))</f>
        <v>Kabir Singh</v>
      </c>
      <c r="I105" t="s">
        <v>108</v>
      </c>
      <c r="J105" t="str">
        <f>PROPER(TRIM(I105))</f>
        <v>Corporate</v>
      </c>
      <c r="K105" t="s">
        <v>73</v>
      </c>
      <c r="L105" t="s">
        <v>74</v>
      </c>
      <c r="M105" t="s">
        <v>75</v>
      </c>
      <c r="N105" t="s">
        <v>45</v>
      </c>
      <c r="O105" t="str">
        <f>TRIM(N105)</f>
        <v>Furniture</v>
      </c>
      <c r="P105" t="s">
        <v>46</v>
      </c>
      <c r="Q105" t="s">
        <v>613</v>
      </c>
      <c r="R105" t="s">
        <v>56</v>
      </c>
      <c r="S105" t="s">
        <v>56</v>
      </c>
      <c r="T105">
        <v>4</v>
      </c>
      <c r="U105">
        <v>2440.34</v>
      </c>
      <c r="V105">
        <v>0.2</v>
      </c>
      <c r="W105">
        <v>7809.09</v>
      </c>
      <c r="X105">
        <v>6657.75</v>
      </c>
      <c r="Y105">
        <v>1151.3399999999999</v>
      </c>
      <c r="Z105" t="s">
        <v>34</v>
      </c>
      <c r="AA105" t="s">
        <v>35</v>
      </c>
    </row>
    <row r="106" spans="1:27">
      <c r="A106" t="s">
        <v>614</v>
      </c>
      <c r="B106" t="s">
        <v>615</v>
      </c>
      <c r="C106" t="s">
        <v>616</v>
      </c>
      <c r="D106">
        <f>IFERROR(C106-B106,"Invalid")</f>
        <v>182</v>
      </c>
      <c r="E106" s="7">
        <f>IF(OR(D106="Invalid",D106&lt;0),"",D106)</f>
        <v>182</v>
      </c>
      <c r="F106" t="s">
        <v>617</v>
      </c>
      <c r="G106" t="s">
        <v>72</v>
      </c>
      <c r="H106" t="str">
        <f>PROPER(TRIM(G106))</f>
        <v>Ananya Rao</v>
      </c>
      <c r="I106" t="s">
        <v>26</v>
      </c>
      <c r="J106" t="str">
        <f>PROPER(TRIM(I106))</f>
        <v>Consumer</v>
      </c>
      <c r="K106" t="s">
        <v>62</v>
      </c>
      <c r="L106" t="s">
        <v>229</v>
      </c>
      <c r="M106" t="s">
        <v>230</v>
      </c>
      <c r="N106" t="s">
        <v>30</v>
      </c>
      <c r="O106" t="str">
        <f>TRIM(N106)</f>
        <v>Office Supplies</v>
      </c>
      <c r="P106" t="s">
        <v>109</v>
      </c>
      <c r="Q106" t="s">
        <v>618</v>
      </c>
      <c r="R106" t="s">
        <v>48</v>
      </c>
      <c r="S106" t="s">
        <v>48</v>
      </c>
      <c r="T106">
        <v>5</v>
      </c>
      <c r="U106">
        <v>2112.54</v>
      </c>
      <c r="V106">
        <v>0.25</v>
      </c>
      <c r="W106">
        <v>8260.4599999999991</v>
      </c>
      <c r="X106">
        <v>5619.95</v>
      </c>
      <c r="Y106">
        <v>2302.08</v>
      </c>
      <c r="Z106" t="s">
        <v>34</v>
      </c>
      <c r="AA106" t="s">
        <v>78</v>
      </c>
    </row>
    <row r="107" spans="1:27">
      <c r="A107" t="s">
        <v>619</v>
      </c>
      <c r="B107" t="s">
        <v>620</v>
      </c>
      <c r="C107" t="s">
        <v>621</v>
      </c>
      <c r="D107" t="str">
        <f>IFERROR(C107-B107,"Invalid")</f>
        <v>Invalid</v>
      </c>
      <c r="E107" s="7" t="str">
        <f>IF(OR(D107="Invalid",D107&lt;0),"",D107)</f>
        <v/>
      </c>
      <c r="F107" t="s">
        <v>622</v>
      </c>
      <c r="G107" t="s">
        <v>40</v>
      </c>
      <c r="H107" t="str">
        <f>PROPER(TRIM(G107))</f>
        <v>Mira Das</v>
      </c>
      <c r="I107" t="s">
        <v>115</v>
      </c>
      <c r="J107" t="str">
        <f>PROPER(TRIM(I107))</f>
        <v>Home Office</v>
      </c>
      <c r="K107" t="s">
        <v>42</v>
      </c>
      <c r="L107" t="s">
        <v>121</v>
      </c>
      <c r="M107" t="s">
        <v>122</v>
      </c>
      <c r="N107" t="s">
        <v>45</v>
      </c>
      <c r="O107" t="str">
        <f>TRIM(N107)</f>
        <v>Furniture</v>
      </c>
      <c r="P107" t="s">
        <v>46</v>
      </c>
      <c r="Q107" t="s">
        <v>623</v>
      </c>
      <c r="R107" t="s">
        <v>33</v>
      </c>
      <c r="S107" t="s">
        <v>33</v>
      </c>
      <c r="T107">
        <v>2</v>
      </c>
      <c r="U107">
        <v>685</v>
      </c>
      <c r="V107">
        <v>0.1</v>
      </c>
      <c r="W107">
        <v>1233</v>
      </c>
      <c r="X107">
        <v>1006.9</v>
      </c>
      <c r="Y107">
        <v>226.1</v>
      </c>
      <c r="Z107" t="s">
        <v>34</v>
      </c>
      <c r="AA107" t="s">
        <v>35</v>
      </c>
    </row>
    <row r="108" spans="1:27">
      <c r="A108" t="s">
        <v>624</v>
      </c>
      <c r="B108" t="s">
        <v>625</v>
      </c>
      <c r="C108" t="s">
        <v>626</v>
      </c>
      <c r="D108">
        <f>IFERROR(C108-B108,"Invalid")</f>
        <v>8</v>
      </c>
      <c r="E108" s="7">
        <f>IF(OR(D108="Invalid",D108&lt;0),"",D108)</f>
        <v>8</v>
      </c>
      <c r="F108" t="s">
        <v>627</v>
      </c>
      <c r="G108" t="s">
        <v>61</v>
      </c>
      <c r="H108" t="str">
        <f>PROPER(TRIM(G108))</f>
        <v>Arjun Bose</v>
      </c>
      <c r="I108" t="s">
        <v>115</v>
      </c>
      <c r="J108" t="str">
        <f>PROPER(TRIM(I108))</f>
        <v>Home Office</v>
      </c>
      <c r="K108" t="s">
        <v>42</v>
      </c>
      <c r="L108" t="s">
        <v>121</v>
      </c>
      <c r="M108" t="s">
        <v>122</v>
      </c>
      <c r="N108" t="s">
        <v>30</v>
      </c>
      <c r="O108" t="str">
        <f>TRIM(N108)</f>
        <v>Office Supplies</v>
      </c>
      <c r="P108" t="s">
        <v>31</v>
      </c>
      <c r="Q108" t="s">
        <v>628</v>
      </c>
      <c r="R108" t="s">
        <v>67</v>
      </c>
      <c r="S108" t="s">
        <v>67</v>
      </c>
      <c r="T108">
        <v>2</v>
      </c>
      <c r="U108">
        <v>4004.04</v>
      </c>
      <c r="W108">
        <v>7207.27</v>
      </c>
      <c r="X108">
        <v>5709.39</v>
      </c>
      <c r="Y108">
        <v>1497.88</v>
      </c>
      <c r="Z108" t="s">
        <v>34</v>
      </c>
      <c r="AA108" t="s">
        <v>78</v>
      </c>
    </row>
    <row r="109" spans="1:27">
      <c r="A109" t="s">
        <v>629</v>
      </c>
      <c r="B109" t="s">
        <v>630</v>
      </c>
      <c r="C109" t="s">
        <v>631</v>
      </c>
      <c r="D109">
        <f>IFERROR(C109-B109,"Invalid")</f>
        <v>6</v>
      </c>
      <c r="E109" s="7">
        <f>IF(OR(D109="Invalid",D109&lt;0),"",D109)</f>
        <v>6</v>
      </c>
      <c r="F109" t="s">
        <v>632</v>
      </c>
      <c r="G109" t="s">
        <v>180</v>
      </c>
      <c r="H109" t="str">
        <f>PROPER(TRIM(G109))</f>
        <v>Rohan Mehta</v>
      </c>
      <c r="I109" t="s">
        <v>115</v>
      </c>
      <c r="J109" t="str">
        <f>PROPER(TRIM(I109))</f>
        <v>Home Office</v>
      </c>
      <c r="K109" t="s">
        <v>42</v>
      </c>
      <c r="L109" t="s">
        <v>121</v>
      </c>
      <c r="M109" t="s">
        <v>122</v>
      </c>
      <c r="N109" t="s">
        <v>45</v>
      </c>
      <c r="O109" t="str">
        <f>TRIM(N109)</f>
        <v>Furniture</v>
      </c>
      <c r="P109" t="s">
        <v>65</v>
      </c>
      <c r="Q109" t="s">
        <v>633</v>
      </c>
      <c r="R109" t="s">
        <v>56</v>
      </c>
      <c r="S109" t="s">
        <v>56</v>
      </c>
      <c r="T109">
        <v>3</v>
      </c>
      <c r="U109">
        <v>4302.8900000000003</v>
      </c>
      <c r="V109">
        <v>0.05</v>
      </c>
      <c r="W109">
        <v>12263.24</v>
      </c>
      <c r="X109">
        <v>8925.57</v>
      </c>
      <c r="Y109">
        <v>3337.67</v>
      </c>
      <c r="Z109" t="s">
        <v>34</v>
      </c>
      <c r="AA109" t="s">
        <v>35</v>
      </c>
    </row>
    <row r="110" spans="1:27">
      <c r="A110" t="s">
        <v>634</v>
      </c>
      <c r="B110" t="s">
        <v>635</v>
      </c>
      <c r="C110" t="s">
        <v>636</v>
      </c>
      <c r="D110" t="str">
        <f>IFERROR(C110-B110,"Invalid")</f>
        <v>Invalid</v>
      </c>
      <c r="E110" s="7" t="str">
        <f>IF(OR(D110="Invalid",D110&lt;0),"",D110)</f>
        <v/>
      </c>
      <c r="F110" t="s">
        <v>637</v>
      </c>
      <c r="G110" t="s">
        <v>107</v>
      </c>
      <c r="H110" t="str">
        <f>PROPER(TRIM(G110))</f>
        <v>Aditi Sen</v>
      </c>
      <c r="I110" t="s">
        <v>41</v>
      </c>
      <c r="J110" t="str">
        <f>PROPER(TRIM(I110))</f>
        <v>Small Business</v>
      </c>
      <c r="K110" t="s">
        <v>42</v>
      </c>
      <c r="L110" t="s">
        <v>43</v>
      </c>
      <c r="M110" t="s">
        <v>44</v>
      </c>
      <c r="N110" t="s">
        <v>45</v>
      </c>
      <c r="O110" t="str">
        <f>TRIM(N110)</f>
        <v>Furniture</v>
      </c>
      <c r="P110" t="s">
        <v>204</v>
      </c>
      <c r="Q110" t="s">
        <v>638</v>
      </c>
      <c r="R110" t="s">
        <v>48</v>
      </c>
      <c r="S110" t="s">
        <v>48</v>
      </c>
      <c r="T110">
        <v>2</v>
      </c>
      <c r="U110">
        <v>537.54</v>
      </c>
      <c r="V110">
        <v>0.25</v>
      </c>
      <c r="W110">
        <v>806.31</v>
      </c>
      <c r="X110">
        <v>498.5</v>
      </c>
      <c r="Y110">
        <v>307.81</v>
      </c>
      <c r="Z110" t="s">
        <v>34</v>
      </c>
      <c r="AA110" t="s">
        <v>35</v>
      </c>
    </row>
    <row r="111" spans="1:27">
      <c r="A111" t="s">
        <v>639</v>
      </c>
      <c r="B111" t="s">
        <v>640</v>
      </c>
      <c r="C111" t="s">
        <v>479</v>
      </c>
      <c r="D111" t="str">
        <f>IFERROR(C111-B111,"Invalid")</f>
        <v>Invalid</v>
      </c>
      <c r="E111" s="7" t="str">
        <f>IF(OR(D111="Invalid",D111&lt;0),"",D111)</f>
        <v/>
      </c>
      <c r="F111" t="s">
        <v>641</v>
      </c>
      <c r="G111" t="s">
        <v>168</v>
      </c>
      <c r="H111" t="str">
        <f>PROPER(TRIM(G111))</f>
        <v>Sneha Kapoor</v>
      </c>
      <c r="I111" t="s">
        <v>26</v>
      </c>
      <c r="J111" t="str">
        <f>PROPER(TRIM(I111))</f>
        <v>Consumer</v>
      </c>
      <c r="K111" t="s">
        <v>27</v>
      </c>
      <c r="L111" t="s">
        <v>506</v>
      </c>
      <c r="M111" t="s">
        <v>507</v>
      </c>
      <c r="N111" t="s">
        <v>30</v>
      </c>
      <c r="O111" t="str">
        <f>TRIM(N111)</f>
        <v>Office Supplies</v>
      </c>
      <c r="P111" t="s">
        <v>198</v>
      </c>
      <c r="Q111" t="s">
        <v>642</v>
      </c>
      <c r="R111" t="s">
        <v>33</v>
      </c>
      <c r="S111" t="s">
        <v>33</v>
      </c>
      <c r="T111">
        <v>1</v>
      </c>
      <c r="U111">
        <v>2788.62</v>
      </c>
      <c r="V111">
        <v>0.25</v>
      </c>
      <c r="W111">
        <v>2091.4699999999998</v>
      </c>
      <c r="X111">
        <v>1317.22</v>
      </c>
      <c r="Y111">
        <v>774.25</v>
      </c>
      <c r="Z111" t="s">
        <v>34</v>
      </c>
      <c r="AA111" t="s">
        <v>35</v>
      </c>
    </row>
    <row r="112" spans="1:27">
      <c r="A112" t="s">
        <v>643</v>
      </c>
      <c r="B112" t="s">
        <v>644</v>
      </c>
      <c r="C112" t="s">
        <v>645</v>
      </c>
      <c r="D112" t="str">
        <f>IFERROR(C112-B112,"Invalid")</f>
        <v>Invalid</v>
      </c>
      <c r="E112" s="7" t="str">
        <f>IF(OR(D112="Invalid",D112&lt;0),"",D112)</f>
        <v/>
      </c>
      <c r="F112" t="s">
        <v>646</v>
      </c>
      <c r="G112" t="s">
        <v>83</v>
      </c>
      <c r="H112" t="str">
        <f>PROPER(TRIM(G112))</f>
        <v>Vikram Iyer</v>
      </c>
      <c r="I112" t="s">
        <v>108</v>
      </c>
      <c r="J112" t="str">
        <f>PROPER(TRIM(I112))</f>
        <v>Corporate</v>
      </c>
      <c r="K112" t="s">
        <v>62</v>
      </c>
      <c r="L112" t="s">
        <v>242</v>
      </c>
      <c r="M112" t="s">
        <v>243</v>
      </c>
      <c r="N112" t="s">
        <v>30</v>
      </c>
      <c r="O112" t="str">
        <f>TRIM(N112)</f>
        <v>Office Supplies</v>
      </c>
      <c r="P112" t="s">
        <v>109</v>
      </c>
      <c r="Q112" t="s">
        <v>647</v>
      </c>
      <c r="R112" t="s">
        <v>56</v>
      </c>
      <c r="S112" t="s">
        <v>56</v>
      </c>
      <c r="T112">
        <v>2</v>
      </c>
      <c r="U112">
        <v>2250.4699999999998</v>
      </c>
      <c r="V112">
        <v>0</v>
      </c>
      <c r="W112">
        <v>4500.9399999999996</v>
      </c>
      <c r="X112">
        <v>2607.73</v>
      </c>
      <c r="Y112">
        <v>1893.21</v>
      </c>
      <c r="Z112" t="s">
        <v>124</v>
      </c>
      <c r="AA112" t="s">
        <v>78</v>
      </c>
    </row>
    <row r="113" spans="1:27">
      <c r="A113" t="s">
        <v>648</v>
      </c>
      <c r="B113" t="s">
        <v>649</v>
      </c>
      <c r="C113" t="s">
        <v>650</v>
      </c>
      <c r="D113" t="str">
        <f>IFERROR(C113-B113,"Invalid")</f>
        <v>Invalid</v>
      </c>
      <c r="E113" s="7" t="str">
        <f>IF(OR(D113="Invalid",D113&lt;0),"",D113)</f>
        <v/>
      </c>
      <c r="F113" t="s">
        <v>651</v>
      </c>
      <c r="G113" t="s">
        <v>93</v>
      </c>
      <c r="H113" t="str">
        <f>PROPER(TRIM(G113))</f>
        <v>Neha Gupta</v>
      </c>
      <c r="I113" t="s">
        <v>108</v>
      </c>
      <c r="J113" t="str">
        <f>PROPER(TRIM(I113))</f>
        <v>Corporate</v>
      </c>
      <c r="K113" t="s">
        <v>42</v>
      </c>
      <c r="L113" t="s">
        <v>186</v>
      </c>
      <c r="M113" t="s">
        <v>187</v>
      </c>
      <c r="N113" t="s">
        <v>86</v>
      </c>
      <c r="O113" t="str">
        <f>TRIM(N113)</f>
        <v>Technology</v>
      </c>
      <c r="P113" t="s">
        <v>87</v>
      </c>
      <c r="Q113" t="s">
        <v>652</v>
      </c>
      <c r="R113" t="s">
        <v>56</v>
      </c>
      <c r="S113" t="s">
        <v>56</v>
      </c>
      <c r="T113">
        <v>1</v>
      </c>
      <c r="U113">
        <v>1708.44</v>
      </c>
      <c r="V113">
        <v>0.05</v>
      </c>
      <c r="W113">
        <v>1623.02</v>
      </c>
      <c r="X113">
        <v>1077.46</v>
      </c>
      <c r="Y113">
        <v>545.55999999999995</v>
      </c>
      <c r="Z113" t="s">
        <v>137</v>
      </c>
      <c r="AA113" t="s">
        <v>78</v>
      </c>
    </row>
    <row r="114" spans="1:27">
      <c r="A114" t="s">
        <v>653</v>
      </c>
      <c r="B114" s="4" t="s">
        <v>654</v>
      </c>
      <c r="C114" s="4" t="s">
        <v>655</v>
      </c>
      <c r="D114" s="4" t="str">
        <f>IF(C2&lt;B2,"Invalid","OK")</f>
        <v>OK</v>
      </c>
      <c r="E114" s="7" t="str">
        <f>IF(OR(D114="Invalid",D114&lt;0),"",D114)</f>
        <v>OK</v>
      </c>
      <c r="F114" t="s">
        <v>656</v>
      </c>
      <c r="G114" t="s">
        <v>168</v>
      </c>
      <c r="H114" t="str">
        <f>PROPER(TRIM(G114))</f>
        <v>Sneha Kapoor</v>
      </c>
      <c r="I114" t="s">
        <v>26</v>
      </c>
      <c r="J114" t="str">
        <f>PROPER(TRIM(I114))</f>
        <v>Consumer</v>
      </c>
      <c r="K114" t="s">
        <v>73</v>
      </c>
      <c r="L114" t="s">
        <v>235</v>
      </c>
      <c r="M114" t="s">
        <v>236</v>
      </c>
      <c r="N114" t="s">
        <v>86</v>
      </c>
      <c r="O114" t="str">
        <f>TRIM(N114)</f>
        <v>Technology</v>
      </c>
      <c r="P114" t="s">
        <v>87</v>
      </c>
      <c r="Q114" t="s">
        <v>657</v>
      </c>
      <c r="R114" t="s">
        <v>67</v>
      </c>
      <c r="S114" t="s">
        <v>67</v>
      </c>
      <c r="T114">
        <v>3</v>
      </c>
      <c r="U114">
        <v>3829.48</v>
      </c>
      <c r="V114">
        <v>0.05</v>
      </c>
      <c r="W114">
        <v>10914.02</v>
      </c>
      <c r="X114">
        <v>6548.74</v>
      </c>
      <c r="Y114">
        <v>4365.28</v>
      </c>
      <c r="Z114" t="s">
        <v>34</v>
      </c>
      <c r="AA114" t="s">
        <v>35</v>
      </c>
    </row>
    <row r="115" spans="1:27">
      <c r="A115" t="s">
        <v>658</v>
      </c>
      <c r="B115" t="s">
        <v>659</v>
      </c>
      <c r="C115" t="s">
        <v>659</v>
      </c>
      <c r="D115"/>
      <c r="E115" s="7">
        <f>IF(OR(D115="Invalid",D115&lt;0),"",D115)</f>
        <v>0</v>
      </c>
      <c r="F115" t="s">
        <v>521</v>
      </c>
      <c r="G115" t="s">
        <v>53</v>
      </c>
      <c r="H115" t="str">
        <f>PROPER(TRIM(G115))</f>
        <v>Isha Nair</v>
      </c>
      <c r="I115" t="s">
        <v>115</v>
      </c>
      <c r="J115" t="str">
        <f>PROPER(TRIM(I115))</f>
        <v>Home Office</v>
      </c>
      <c r="K115" t="s">
        <v>62</v>
      </c>
      <c r="L115" t="s">
        <v>339</v>
      </c>
      <c r="M115" t="s">
        <v>340</v>
      </c>
      <c r="N115" t="s">
        <v>45</v>
      </c>
      <c r="O115" t="str">
        <f>TRIM(N115)</f>
        <v>Furniture</v>
      </c>
      <c r="P115" t="s">
        <v>46</v>
      </c>
      <c r="Q115" t="s">
        <v>660</v>
      </c>
      <c r="R115" t="s">
        <v>67</v>
      </c>
      <c r="S115" t="s">
        <v>67</v>
      </c>
      <c r="T115">
        <v>3</v>
      </c>
      <c r="U115">
        <v>1089.1500000000001</v>
      </c>
      <c r="V115">
        <v>0.25</v>
      </c>
      <c r="W115">
        <v>2450.59</v>
      </c>
      <c r="X115">
        <v>1639.89</v>
      </c>
      <c r="Y115">
        <v>810.7</v>
      </c>
      <c r="Z115" t="s">
        <v>34</v>
      </c>
      <c r="AA115" t="s">
        <v>35</v>
      </c>
    </row>
    <row r="116" spans="1:27">
      <c r="A116" t="s">
        <v>661</v>
      </c>
      <c r="B116" t="s">
        <v>662</v>
      </c>
      <c r="C116" t="s">
        <v>663</v>
      </c>
      <c r="D116"/>
      <c r="E116" s="7">
        <f>IF(OR(D116="Invalid",D116&lt;0),"",D116)</f>
        <v>0</v>
      </c>
      <c r="F116" t="s">
        <v>664</v>
      </c>
      <c r="G116" t="s">
        <v>93</v>
      </c>
      <c r="H116" t="str">
        <f>PROPER(TRIM(G116))</f>
        <v>Neha Gupta</v>
      </c>
      <c r="I116" t="s">
        <v>41</v>
      </c>
      <c r="J116" t="str">
        <f>PROPER(TRIM(I116))</f>
        <v>Small Business</v>
      </c>
      <c r="K116" t="s">
        <v>27</v>
      </c>
      <c r="L116" t="s">
        <v>28</v>
      </c>
      <c r="M116" t="s">
        <v>29</v>
      </c>
      <c r="N116" t="s">
        <v>86</v>
      </c>
      <c r="O116" t="str">
        <f>TRIM(N116)</f>
        <v>Technology</v>
      </c>
      <c r="P116" t="s">
        <v>87</v>
      </c>
      <c r="Q116" t="s">
        <v>665</v>
      </c>
      <c r="R116" t="s">
        <v>33</v>
      </c>
      <c r="S116" t="s">
        <v>33</v>
      </c>
      <c r="T116">
        <v>1</v>
      </c>
      <c r="U116">
        <v>4388.3999999999996</v>
      </c>
      <c r="V116">
        <v>0.1</v>
      </c>
      <c r="W116">
        <v>3949.56</v>
      </c>
      <c r="X116">
        <v>3186.73</v>
      </c>
      <c r="Y116">
        <v>762.83</v>
      </c>
      <c r="Z116" t="s">
        <v>137</v>
      </c>
      <c r="AA116" t="s">
        <v>78</v>
      </c>
    </row>
    <row r="117" spans="1:27">
      <c r="A117" t="s">
        <v>666</v>
      </c>
      <c r="B117" t="s">
        <v>667</v>
      </c>
      <c r="C117" t="s">
        <v>668</v>
      </c>
      <c r="D117"/>
      <c r="E117" s="7">
        <f>IF(OR(D117="Invalid",D117&lt;0),"",D117)</f>
        <v>0</v>
      </c>
      <c r="F117" t="s">
        <v>669</v>
      </c>
      <c r="G117" t="s">
        <v>366</v>
      </c>
      <c r="H117" t="str">
        <f>PROPER(TRIM(G117))</f>
        <v>Kabir Singh</v>
      </c>
      <c r="I117" t="s">
        <v>108</v>
      </c>
      <c r="J117" t="str">
        <f>PROPER(TRIM(I117))</f>
        <v>Corporate</v>
      </c>
      <c r="K117" t="s">
        <v>62</v>
      </c>
      <c r="L117" t="s">
        <v>339</v>
      </c>
      <c r="M117" t="s">
        <v>340</v>
      </c>
      <c r="N117" t="s">
        <v>30</v>
      </c>
      <c r="O117" t="str">
        <f>TRIM(N117)</f>
        <v>Office Supplies</v>
      </c>
      <c r="P117" t="s">
        <v>198</v>
      </c>
      <c r="Q117" t="s">
        <v>670</v>
      </c>
      <c r="R117" t="s">
        <v>48</v>
      </c>
      <c r="S117" t="s">
        <v>48</v>
      </c>
      <c r="T117">
        <v>2</v>
      </c>
      <c r="U117">
        <v>446.34</v>
      </c>
      <c r="V117">
        <v>0.15</v>
      </c>
      <c r="W117">
        <v>758.78</v>
      </c>
      <c r="X117">
        <v>490.74</v>
      </c>
      <c r="Y117">
        <v>268.04000000000002</v>
      </c>
      <c r="Z117" t="s">
        <v>34</v>
      </c>
      <c r="AA117" t="s">
        <v>78</v>
      </c>
    </row>
    <row r="118" spans="1:27">
      <c r="A118" t="s">
        <v>671</v>
      </c>
      <c r="B118" s="4" t="s">
        <v>672</v>
      </c>
      <c r="C118" s="4" t="s">
        <v>673</v>
      </c>
      <c r="D118" s="4" t="str">
        <f>IF(C6&lt;B6,"Invalid","OK")</f>
        <v>Invalid</v>
      </c>
      <c r="E118" s="7" t="str">
        <f>IF(OR(D118="Invalid",D118&lt;0),"",D118)</f>
        <v/>
      </c>
      <c r="F118" t="s">
        <v>674</v>
      </c>
      <c r="G118" t="s">
        <v>72</v>
      </c>
      <c r="H118" t="str">
        <f>PROPER(TRIM(G118))</f>
        <v>Ananya Rao</v>
      </c>
      <c r="I118" t="s">
        <v>41</v>
      </c>
      <c r="J118" t="str">
        <f>PROPER(TRIM(I118))</f>
        <v>Small Business</v>
      </c>
      <c r="K118" t="s">
        <v>73</v>
      </c>
      <c r="L118" t="s">
        <v>84</v>
      </c>
      <c r="M118" t="s">
        <v>85</v>
      </c>
      <c r="N118" t="s">
        <v>30</v>
      </c>
      <c r="O118" t="str">
        <f>TRIM(N118)</f>
        <v>Office Supplies</v>
      </c>
      <c r="P118" t="s">
        <v>198</v>
      </c>
      <c r="Q118" t="s">
        <v>675</v>
      </c>
      <c r="R118" t="s">
        <v>56</v>
      </c>
      <c r="S118" t="s">
        <v>56</v>
      </c>
      <c r="T118">
        <v>9</v>
      </c>
      <c r="U118">
        <v>531.99</v>
      </c>
      <c r="V118">
        <v>0.25</v>
      </c>
      <c r="W118">
        <v>3590.93</v>
      </c>
      <c r="X118">
        <v>3061.39</v>
      </c>
      <c r="Y118">
        <v>529.54</v>
      </c>
      <c r="Z118" t="s">
        <v>200</v>
      </c>
      <c r="AA118" t="s">
        <v>78</v>
      </c>
    </row>
    <row r="119" spans="1:27">
      <c r="A119" t="s">
        <v>676</v>
      </c>
      <c r="B119" t="s">
        <v>677</v>
      </c>
      <c r="C119" t="s">
        <v>678</v>
      </c>
      <c r="D119"/>
      <c r="E119" s="7">
        <f>IF(OR(D119="Invalid",D119&lt;0),"",D119)</f>
        <v>0</v>
      </c>
      <c r="F119" t="s">
        <v>679</v>
      </c>
      <c r="G119" t="s">
        <v>40</v>
      </c>
      <c r="H119" t="str">
        <f>PROPER(TRIM(G119))</f>
        <v>Mira Das</v>
      </c>
      <c r="I119" t="s">
        <v>115</v>
      </c>
      <c r="J119" t="str">
        <f>PROPER(TRIM(I119))</f>
        <v>Home Office</v>
      </c>
      <c r="K119" t="s">
        <v>62</v>
      </c>
      <c r="L119" t="s">
        <v>339</v>
      </c>
      <c r="M119" t="s">
        <v>340</v>
      </c>
      <c r="N119" t="s">
        <v>86</v>
      </c>
      <c r="O119" t="str">
        <f>TRIM(N119)</f>
        <v>Technology</v>
      </c>
      <c r="P119" t="s">
        <v>382</v>
      </c>
      <c r="Q119" t="s">
        <v>680</v>
      </c>
      <c r="R119" t="s">
        <v>67</v>
      </c>
      <c r="S119" t="s">
        <v>67</v>
      </c>
      <c r="T119">
        <v>9</v>
      </c>
      <c r="U119">
        <v>3324.55</v>
      </c>
      <c r="V119" t="s">
        <v>681</v>
      </c>
      <c r="W119">
        <v>25432.81</v>
      </c>
      <c r="X119">
        <v>20370.16</v>
      </c>
      <c r="Y119">
        <v>5062.6499999999996</v>
      </c>
      <c r="Z119" t="s">
        <v>34</v>
      </c>
      <c r="AA119" t="s">
        <v>35</v>
      </c>
    </row>
    <row r="120" spans="1:27">
      <c r="A120" t="s">
        <v>682</v>
      </c>
      <c r="B120" t="s">
        <v>683</v>
      </c>
      <c r="C120" t="s">
        <v>684</v>
      </c>
      <c r="D120"/>
      <c r="E120" s="7">
        <f>IF(OR(D120="Invalid",D120&lt;0),"",D120)</f>
        <v>0</v>
      </c>
      <c r="F120" t="s">
        <v>685</v>
      </c>
      <c r="G120" t="s">
        <v>686</v>
      </c>
      <c r="H120" t="str">
        <f>PROPER(TRIM(G120))</f>
        <v>Vikram Iyer</v>
      </c>
      <c r="I120" t="s">
        <v>115</v>
      </c>
      <c r="J120" t="str">
        <f>PROPER(TRIM(I120))</f>
        <v>Home Office</v>
      </c>
      <c r="K120" t="s">
        <v>62</v>
      </c>
      <c r="L120" t="s">
        <v>100</v>
      </c>
      <c r="M120" t="s">
        <v>101</v>
      </c>
      <c r="N120" t="s">
        <v>86</v>
      </c>
      <c r="O120" t="str">
        <f>TRIM(N120)</f>
        <v>Technology</v>
      </c>
      <c r="P120" t="s">
        <v>94</v>
      </c>
      <c r="Q120" t="s">
        <v>687</v>
      </c>
      <c r="R120" t="s">
        <v>48</v>
      </c>
      <c r="S120" t="s">
        <v>48</v>
      </c>
      <c r="T120">
        <v>5</v>
      </c>
      <c r="U120">
        <v>1580.27</v>
      </c>
      <c r="V120">
        <v>0.2</v>
      </c>
      <c r="W120">
        <v>6321.08</v>
      </c>
      <c r="X120">
        <v>4407.22</v>
      </c>
      <c r="Y120">
        <v>1913.86</v>
      </c>
      <c r="Z120" t="s">
        <v>34</v>
      </c>
      <c r="AA120" t="s">
        <v>35</v>
      </c>
    </row>
    <row r="121" spans="1:27">
      <c r="A121" t="s">
        <v>688</v>
      </c>
      <c r="B121" t="s">
        <v>689</v>
      </c>
      <c r="C121" t="s">
        <v>690</v>
      </c>
      <c r="D121"/>
      <c r="E121" s="7">
        <f>IF(OR(D121="Invalid",D121&lt;0),"",D121)</f>
        <v>0</v>
      </c>
      <c r="F121" t="s">
        <v>691</v>
      </c>
      <c r="G121" t="s">
        <v>107</v>
      </c>
      <c r="H121" t="str">
        <f>PROPER(TRIM(G121))</f>
        <v>Aditi Sen</v>
      </c>
      <c r="I121" t="s">
        <v>41</v>
      </c>
      <c r="J121" t="str">
        <f>PROPER(TRIM(I121))</f>
        <v>Small Business</v>
      </c>
      <c r="K121" t="s">
        <v>62</v>
      </c>
      <c r="L121" t="s">
        <v>242</v>
      </c>
      <c r="M121" t="s">
        <v>243</v>
      </c>
      <c r="N121" t="s">
        <v>45</v>
      </c>
      <c r="O121" t="str">
        <f>TRIM(N121)</f>
        <v>Furniture</v>
      </c>
      <c r="P121" t="s">
        <v>76</v>
      </c>
      <c r="Q121" t="s">
        <v>692</v>
      </c>
      <c r="R121" t="s">
        <v>67</v>
      </c>
      <c r="S121" t="s">
        <v>67</v>
      </c>
      <c r="T121">
        <v>8</v>
      </c>
      <c r="U121">
        <v>314.05</v>
      </c>
      <c r="V121">
        <v>0.25</v>
      </c>
      <c r="W121">
        <v>1884.3</v>
      </c>
      <c r="X121">
        <v>1517.69</v>
      </c>
      <c r="Y121">
        <v>366.61</v>
      </c>
      <c r="Z121" t="s">
        <v>124</v>
      </c>
      <c r="AA121" t="s">
        <v>125</v>
      </c>
    </row>
    <row r="122" spans="1:27">
      <c r="A122" t="s">
        <v>693</v>
      </c>
      <c r="B122" t="s">
        <v>503</v>
      </c>
      <c r="C122" t="s">
        <v>694</v>
      </c>
      <c r="D122"/>
      <c r="E122" s="7">
        <f>IF(OR(D122="Invalid",D122&lt;0),"",D122)</f>
        <v>0</v>
      </c>
      <c r="F122" t="s">
        <v>695</v>
      </c>
      <c r="G122" t="s">
        <v>168</v>
      </c>
      <c r="H122" t="str">
        <f>PROPER(TRIM(G122))</f>
        <v>Sneha Kapoor</v>
      </c>
      <c r="I122" t="s">
        <v>41</v>
      </c>
      <c r="J122" t="str">
        <f>PROPER(TRIM(I122))</f>
        <v>Small Business</v>
      </c>
      <c r="K122" t="s">
        <v>42</v>
      </c>
      <c r="L122" t="s">
        <v>186</v>
      </c>
      <c r="M122" t="s">
        <v>187</v>
      </c>
      <c r="N122" t="s">
        <v>86</v>
      </c>
      <c r="O122" t="str">
        <f>TRIM(N122)</f>
        <v>Technology</v>
      </c>
      <c r="P122" t="s">
        <v>223</v>
      </c>
      <c r="Q122" t="s">
        <v>696</v>
      </c>
      <c r="R122" t="s">
        <v>67</v>
      </c>
      <c r="S122" t="s">
        <v>67</v>
      </c>
      <c r="T122">
        <v>1</v>
      </c>
      <c r="U122">
        <v>1823.67</v>
      </c>
      <c r="V122">
        <v>0.2</v>
      </c>
      <c r="W122">
        <v>1458.94</v>
      </c>
      <c r="X122">
        <v>893.2</v>
      </c>
      <c r="Y122">
        <v>565.74</v>
      </c>
      <c r="Z122" t="s">
        <v>34</v>
      </c>
      <c r="AA122" t="s">
        <v>125</v>
      </c>
    </row>
    <row r="123" spans="1:27">
      <c r="A123" t="s">
        <v>697</v>
      </c>
      <c r="B123" t="s">
        <v>698</v>
      </c>
      <c r="C123" t="s">
        <v>699</v>
      </c>
      <c r="D123"/>
      <c r="E123" s="7">
        <f>IF(OR(D123="Invalid",D123&lt;0),"",D123)</f>
        <v>0</v>
      </c>
      <c r="F123" t="s">
        <v>700</v>
      </c>
      <c r="G123" t="s">
        <v>366</v>
      </c>
      <c r="H123" t="str">
        <f>PROPER(TRIM(G123))</f>
        <v>Kabir Singh</v>
      </c>
      <c r="I123" t="s">
        <v>701</v>
      </c>
      <c r="J123" t="str">
        <f>PROPER(TRIM(I123))</f>
        <v>Small Business</v>
      </c>
      <c r="K123" t="s">
        <v>62</v>
      </c>
      <c r="L123" t="s">
        <v>100</v>
      </c>
      <c r="M123" t="s">
        <v>101</v>
      </c>
      <c r="N123" t="s">
        <v>86</v>
      </c>
      <c r="O123" t="str">
        <f>TRIM(N123)</f>
        <v>Technology</v>
      </c>
      <c r="P123" t="s">
        <v>382</v>
      </c>
      <c r="Q123" t="s">
        <v>702</v>
      </c>
      <c r="R123" t="s">
        <v>33</v>
      </c>
      <c r="S123" t="s">
        <v>33</v>
      </c>
      <c r="T123">
        <v>5</v>
      </c>
      <c r="U123">
        <v>3482.92</v>
      </c>
      <c r="V123">
        <v>0</v>
      </c>
      <c r="W123">
        <v>17414.599999999999</v>
      </c>
      <c r="X123">
        <v>11760.91</v>
      </c>
      <c r="Y123">
        <v>5653.69</v>
      </c>
      <c r="Z123" t="s">
        <v>124</v>
      </c>
      <c r="AA123" t="s">
        <v>78</v>
      </c>
    </row>
    <row r="124" spans="1:27">
      <c r="A124" t="s">
        <v>703</v>
      </c>
      <c r="B124" t="s">
        <v>704</v>
      </c>
      <c r="C124" t="s">
        <v>705</v>
      </c>
      <c r="D124"/>
      <c r="E124" s="7">
        <f>IF(OR(D124="Invalid",D124&lt;0),"",D124)</f>
        <v>0</v>
      </c>
      <c r="F124" t="s">
        <v>706</v>
      </c>
      <c r="G124" t="s">
        <v>72</v>
      </c>
      <c r="H124" t="str">
        <f>PROPER(TRIM(G124))</f>
        <v>Ananya Rao</v>
      </c>
      <c r="I124" t="s">
        <v>41</v>
      </c>
      <c r="J124" t="str">
        <f>PROPER(TRIM(I124))</f>
        <v>Small Business</v>
      </c>
      <c r="K124" t="s">
        <v>42</v>
      </c>
      <c r="L124" t="s">
        <v>216</v>
      </c>
      <c r="M124" t="s">
        <v>217</v>
      </c>
      <c r="N124" t="s">
        <v>45</v>
      </c>
      <c r="O124" t="str">
        <f>TRIM(N124)</f>
        <v>Furniture</v>
      </c>
      <c r="P124" t="s">
        <v>76</v>
      </c>
      <c r="Q124" t="s">
        <v>707</v>
      </c>
      <c r="R124" t="s">
        <v>33</v>
      </c>
      <c r="S124" t="s">
        <v>33</v>
      </c>
      <c r="T124">
        <v>3</v>
      </c>
      <c r="U124">
        <v>170.35</v>
      </c>
      <c r="V124">
        <v>0</v>
      </c>
      <c r="W124">
        <v>511.05</v>
      </c>
      <c r="X124">
        <v>367.18</v>
      </c>
      <c r="Y124">
        <v>143.87</v>
      </c>
      <c r="Z124" t="s">
        <v>34</v>
      </c>
      <c r="AA124" t="s">
        <v>35</v>
      </c>
    </row>
    <row r="125" spans="1:27">
      <c r="A125" t="s">
        <v>708</v>
      </c>
      <c r="B125" t="s">
        <v>709</v>
      </c>
      <c r="C125" t="s">
        <v>710</v>
      </c>
      <c r="D125"/>
      <c r="E125" s="7">
        <f>IF(OR(D125="Invalid",D125&lt;0),"",D125)</f>
        <v>0</v>
      </c>
      <c r="F125" t="s">
        <v>711</v>
      </c>
      <c r="G125" t="s">
        <v>168</v>
      </c>
      <c r="H125" t="str">
        <f>PROPER(TRIM(G125))</f>
        <v>Sneha Kapoor</v>
      </c>
      <c r="I125" t="s">
        <v>41</v>
      </c>
      <c r="J125" t="str">
        <f>PROPER(TRIM(I125))</f>
        <v>Small Business</v>
      </c>
      <c r="K125" t="s">
        <v>712</v>
      </c>
      <c r="L125" t="s">
        <v>154</v>
      </c>
      <c r="M125" t="s">
        <v>155</v>
      </c>
      <c r="N125" t="s">
        <v>86</v>
      </c>
      <c r="O125" t="str">
        <f>TRIM(N125)</f>
        <v>Technology</v>
      </c>
      <c r="P125" t="s">
        <v>94</v>
      </c>
      <c r="Q125" t="s">
        <v>713</v>
      </c>
      <c r="R125" t="s">
        <v>48</v>
      </c>
      <c r="S125" t="s">
        <v>48</v>
      </c>
      <c r="T125">
        <v>1</v>
      </c>
      <c r="U125">
        <v>634.13</v>
      </c>
      <c r="V125">
        <v>0</v>
      </c>
      <c r="W125">
        <v>634.13</v>
      </c>
      <c r="X125">
        <v>453.35</v>
      </c>
      <c r="Y125">
        <v>180.78</v>
      </c>
      <c r="Z125" t="s">
        <v>124</v>
      </c>
      <c r="AA125" t="s">
        <v>78</v>
      </c>
    </row>
    <row r="126" spans="1:27">
      <c r="A126" t="s">
        <v>714</v>
      </c>
      <c r="B126" t="s">
        <v>22</v>
      </c>
      <c r="C126" t="s">
        <v>715</v>
      </c>
      <c r="D126"/>
      <c r="E126" s="7">
        <f>IF(OR(D126="Invalid",D126&lt;0),"",D126)</f>
        <v>0</v>
      </c>
      <c r="F126" t="s">
        <v>716</v>
      </c>
      <c r="G126" t="s">
        <v>53</v>
      </c>
      <c r="H126" t="str">
        <f>PROPER(TRIM(G126))</f>
        <v>Isha Nair</v>
      </c>
      <c r="I126" t="s">
        <v>108</v>
      </c>
      <c r="J126" t="str">
        <f>PROPER(TRIM(I126))</f>
        <v>Corporate</v>
      </c>
      <c r="K126" t="s">
        <v>62</v>
      </c>
      <c r="L126" t="s">
        <v>229</v>
      </c>
      <c r="M126" t="s">
        <v>230</v>
      </c>
      <c r="N126" t="s">
        <v>86</v>
      </c>
      <c r="O126" t="str">
        <f>TRIM(N126)</f>
        <v>Technology</v>
      </c>
      <c r="P126" t="s">
        <v>94</v>
      </c>
      <c r="Q126" t="s">
        <v>717</v>
      </c>
      <c r="R126" t="s">
        <v>67</v>
      </c>
      <c r="S126" t="s">
        <v>67</v>
      </c>
      <c r="T126">
        <v>9</v>
      </c>
      <c r="U126">
        <v>465.06</v>
      </c>
      <c r="V126">
        <v>-0.15</v>
      </c>
      <c r="W126">
        <v>4185.54</v>
      </c>
      <c r="X126">
        <v>3443.74</v>
      </c>
      <c r="Y126">
        <v>741.8</v>
      </c>
      <c r="Z126" t="s">
        <v>34</v>
      </c>
      <c r="AA126" t="s">
        <v>35</v>
      </c>
    </row>
    <row r="127" spans="1:27">
      <c r="A127" t="s">
        <v>718</v>
      </c>
      <c r="B127" t="s">
        <v>719</v>
      </c>
      <c r="C127" t="s">
        <v>720</v>
      </c>
      <c r="D127"/>
      <c r="E127" s="7">
        <f>IF(OR(D127="Invalid",D127&lt;0),"",D127)</f>
        <v>0</v>
      </c>
      <c r="F127" t="s">
        <v>721</v>
      </c>
      <c r="G127" t="s">
        <v>93</v>
      </c>
      <c r="H127" t="str">
        <f>PROPER(TRIM(G127))</f>
        <v>Neha Gupta</v>
      </c>
      <c r="I127" t="s">
        <v>41</v>
      </c>
      <c r="J127" t="str">
        <f>PROPER(TRIM(I127))</f>
        <v>Small Business</v>
      </c>
      <c r="K127" t="s">
        <v>73</v>
      </c>
      <c r="L127" t="s">
        <v>28</v>
      </c>
      <c r="M127" t="s">
        <v>135</v>
      </c>
      <c r="N127" t="s">
        <v>45</v>
      </c>
      <c r="O127" t="str">
        <f>TRIM(N127)</f>
        <v>Furniture</v>
      </c>
      <c r="P127" t="s">
        <v>46</v>
      </c>
      <c r="Q127" t="s">
        <v>722</v>
      </c>
      <c r="R127" t="s">
        <v>48</v>
      </c>
      <c r="S127" t="s">
        <v>48</v>
      </c>
      <c r="T127">
        <v>6</v>
      </c>
      <c r="U127">
        <v>3235.27</v>
      </c>
      <c r="V127">
        <v>0.25</v>
      </c>
      <c r="W127">
        <v>14558.72</v>
      </c>
      <c r="X127">
        <v>9591.48</v>
      </c>
      <c r="Y127">
        <v>4967.24</v>
      </c>
      <c r="Z127" t="s">
        <v>124</v>
      </c>
      <c r="AA127" t="s">
        <v>125</v>
      </c>
    </row>
    <row r="128" spans="1:27">
      <c r="A128" t="s">
        <v>723</v>
      </c>
      <c r="B128" t="s">
        <v>724</v>
      </c>
      <c r="C128" t="s">
        <v>725</v>
      </c>
      <c r="D128"/>
      <c r="E128" s="7">
        <f>IF(OR(D128="Invalid",D128&lt;0),"",D128)</f>
        <v>0</v>
      </c>
      <c r="F128" t="s">
        <v>726</v>
      </c>
      <c r="G128" t="s">
        <v>142</v>
      </c>
      <c r="H128" t="str">
        <f>PROPER(TRIM(G128))</f>
        <v>Priya Menon</v>
      </c>
      <c r="I128" t="s">
        <v>108</v>
      </c>
      <c r="J128" t="str">
        <f>PROPER(TRIM(I128))</f>
        <v>Corporate</v>
      </c>
      <c r="K128" t="s">
        <v>27</v>
      </c>
      <c r="L128" t="s">
        <v>506</v>
      </c>
      <c r="M128" t="s">
        <v>507</v>
      </c>
      <c r="N128" t="s">
        <v>86</v>
      </c>
      <c r="O128" t="str">
        <f>TRIM(N128)</f>
        <v>Technology</v>
      </c>
      <c r="P128" t="s">
        <v>94</v>
      </c>
      <c r="Q128" t="s">
        <v>727</v>
      </c>
      <c r="R128" t="s">
        <v>67</v>
      </c>
      <c r="S128" t="s">
        <v>67</v>
      </c>
      <c r="T128">
        <v>3</v>
      </c>
      <c r="U128">
        <v>1593.86</v>
      </c>
      <c r="V128">
        <v>0.1</v>
      </c>
      <c r="W128">
        <v>4303.42</v>
      </c>
      <c r="X128">
        <v>2568.5700000000002</v>
      </c>
      <c r="Y128">
        <v>1734.85</v>
      </c>
      <c r="Z128" t="s">
        <v>34</v>
      </c>
      <c r="AA128" t="s">
        <v>35</v>
      </c>
    </row>
    <row r="129" spans="1:27">
      <c r="A129" t="s">
        <v>728</v>
      </c>
      <c r="B129" t="s">
        <v>191</v>
      </c>
      <c r="C129" t="s">
        <v>729</v>
      </c>
      <c r="D129"/>
      <c r="E129" s="7">
        <f>IF(OR(D129="Invalid",D129&lt;0),"",D129)</f>
        <v>0</v>
      </c>
      <c r="F129" t="s">
        <v>730</v>
      </c>
      <c r="G129" t="s">
        <v>142</v>
      </c>
      <c r="H129" t="str">
        <f>PROPER(TRIM(G129))</f>
        <v>Priya Menon</v>
      </c>
      <c r="I129" t="s">
        <v>108</v>
      </c>
      <c r="J129" t="str">
        <f>PROPER(TRIM(I129))</f>
        <v>Corporate</v>
      </c>
      <c r="K129" t="s">
        <v>73</v>
      </c>
      <c r="L129" t="s">
        <v>84</v>
      </c>
      <c r="M129" t="s">
        <v>85</v>
      </c>
      <c r="N129" t="s">
        <v>30</v>
      </c>
      <c r="O129" t="str">
        <f>TRIM(N129)</f>
        <v>Office Supplies</v>
      </c>
      <c r="P129" t="s">
        <v>156</v>
      </c>
      <c r="Q129" t="s">
        <v>731</v>
      </c>
      <c r="R129" t="s">
        <v>33</v>
      </c>
      <c r="S129" t="s">
        <v>33</v>
      </c>
      <c r="T129">
        <v>2</v>
      </c>
      <c r="U129">
        <v>3039.3</v>
      </c>
      <c r="V129">
        <v>0.05</v>
      </c>
      <c r="W129">
        <v>5774.67</v>
      </c>
      <c r="X129">
        <v>3518.36</v>
      </c>
      <c r="Y129">
        <v>2256.31</v>
      </c>
      <c r="Z129" t="s">
        <v>34</v>
      </c>
      <c r="AA129" t="s">
        <v>35</v>
      </c>
    </row>
    <row r="130" spans="1:27">
      <c r="A130" t="s">
        <v>732</v>
      </c>
      <c r="B130" t="s">
        <v>733</v>
      </c>
      <c r="C130" t="s">
        <v>734</v>
      </c>
      <c r="D130"/>
      <c r="E130" s="7">
        <f>IF(OR(D130="Invalid",D130&lt;0),"",D130)</f>
        <v>0</v>
      </c>
      <c r="F130" t="s">
        <v>735</v>
      </c>
      <c r="G130" t="s">
        <v>93</v>
      </c>
      <c r="H130" t="str">
        <f>PROPER(TRIM(G130))</f>
        <v>Neha Gupta</v>
      </c>
      <c r="I130" t="s">
        <v>41</v>
      </c>
      <c r="J130" t="str">
        <f>PROPER(TRIM(I130))</f>
        <v>Small Business</v>
      </c>
      <c r="K130" t="s">
        <v>42</v>
      </c>
      <c r="L130" t="s">
        <v>43</v>
      </c>
      <c r="M130" t="s">
        <v>44</v>
      </c>
      <c r="N130" t="s">
        <v>45</v>
      </c>
      <c r="O130" t="str">
        <f>TRIM(N130)</f>
        <v>Furniture</v>
      </c>
      <c r="P130" t="s">
        <v>65</v>
      </c>
      <c r="Q130" t="s">
        <v>736</v>
      </c>
      <c r="R130" t="s">
        <v>67</v>
      </c>
      <c r="S130" t="s">
        <v>67</v>
      </c>
      <c r="T130">
        <v>5</v>
      </c>
      <c r="U130">
        <v>923.45</v>
      </c>
      <c r="V130">
        <v>0.05</v>
      </c>
      <c r="W130">
        <v>4386.3900000000003</v>
      </c>
      <c r="X130">
        <v>3366.88</v>
      </c>
      <c r="Y130">
        <v>1019.51</v>
      </c>
      <c r="Z130" t="s">
        <v>34</v>
      </c>
      <c r="AA130" t="s">
        <v>125</v>
      </c>
    </row>
    <row r="131" spans="1:27">
      <c r="A131" t="s">
        <v>737</v>
      </c>
      <c r="B131" t="s">
        <v>406</v>
      </c>
      <c r="C131" t="s">
        <v>738</v>
      </c>
      <c r="D131"/>
      <c r="E131" s="7">
        <f>IF(OR(D131="Invalid",D131&lt;0),"",D131)</f>
        <v>0</v>
      </c>
      <c r="F131" t="s">
        <v>739</v>
      </c>
      <c r="G131" t="s">
        <v>53</v>
      </c>
      <c r="H131" t="str">
        <f>PROPER(TRIM(G131))</f>
        <v>Isha Nair</v>
      </c>
      <c r="I131" t="s">
        <v>41</v>
      </c>
      <c r="J131" t="str">
        <f>PROPER(TRIM(I131))</f>
        <v>Small Business</v>
      </c>
      <c r="K131" t="s">
        <v>73</v>
      </c>
      <c r="L131" t="s">
        <v>249</v>
      </c>
      <c r="M131" t="s">
        <v>250</v>
      </c>
      <c r="N131" t="s">
        <v>30</v>
      </c>
      <c r="O131" t="str">
        <f>TRIM(N131)</f>
        <v>Office Supplies</v>
      </c>
      <c r="P131" t="s">
        <v>198</v>
      </c>
      <c r="Q131" t="s">
        <v>740</v>
      </c>
      <c r="R131" t="s">
        <v>67</v>
      </c>
      <c r="S131" t="s">
        <v>67</v>
      </c>
      <c r="T131">
        <v>7</v>
      </c>
      <c r="U131">
        <v>2741.29</v>
      </c>
      <c r="V131">
        <v>0.05</v>
      </c>
      <c r="W131">
        <v>18229.580000000002</v>
      </c>
      <c r="X131">
        <v>15139.15</v>
      </c>
      <c r="Y131">
        <v>3090.43</v>
      </c>
      <c r="Z131" t="s">
        <v>34</v>
      </c>
      <c r="AA131" t="s">
        <v>35</v>
      </c>
    </row>
    <row r="132" spans="1:27">
      <c r="A132" t="s">
        <v>741</v>
      </c>
      <c r="B132" t="s">
        <v>742</v>
      </c>
      <c r="C132" t="s">
        <v>743</v>
      </c>
      <c r="D132"/>
      <c r="E132" s="7">
        <f>IF(OR(D132="Invalid",D132&lt;0),"",D132)</f>
        <v>0</v>
      </c>
      <c r="F132" t="s">
        <v>744</v>
      </c>
      <c r="G132" t="s">
        <v>61</v>
      </c>
      <c r="H132" t="str">
        <f>PROPER(TRIM(G132))</f>
        <v>Arjun Bose</v>
      </c>
      <c r="I132" t="s">
        <v>26</v>
      </c>
      <c r="J132" t="str">
        <f>PROPER(TRIM(I132))</f>
        <v>Consumer</v>
      </c>
      <c r="K132" t="s">
        <v>73</v>
      </c>
      <c r="L132" t="s">
        <v>235</v>
      </c>
      <c r="M132" t="s">
        <v>236</v>
      </c>
      <c r="N132" t="s">
        <v>30</v>
      </c>
      <c r="O132" t="str">
        <f>TRIM(N132)</f>
        <v>Office Supplies</v>
      </c>
      <c r="P132" t="s">
        <v>109</v>
      </c>
      <c r="Q132" t="s">
        <v>745</v>
      </c>
      <c r="R132" t="s">
        <v>48</v>
      </c>
      <c r="S132" t="s">
        <v>48</v>
      </c>
      <c r="T132">
        <v>5</v>
      </c>
      <c r="U132">
        <v>218.42</v>
      </c>
      <c r="V132">
        <v>0.2</v>
      </c>
      <c r="W132">
        <v>873.68</v>
      </c>
      <c r="X132">
        <v>661.72</v>
      </c>
      <c r="Y132">
        <v>211.96</v>
      </c>
      <c r="Z132" t="s">
        <v>137</v>
      </c>
      <c r="AA132" t="s">
        <v>78</v>
      </c>
    </row>
    <row r="133" spans="1:27">
      <c r="A133" t="s">
        <v>746</v>
      </c>
      <c r="B133" t="s">
        <v>747</v>
      </c>
      <c r="C133" t="s">
        <v>748</v>
      </c>
      <c r="D133"/>
      <c r="E133" s="7">
        <f>IF(OR(D133="Invalid",D133&lt;0),"",D133)</f>
        <v>0</v>
      </c>
      <c r="F133" t="s">
        <v>749</v>
      </c>
      <c r="G133" t="s">
        <v>72</v>
      </c>
      <c r="H133" t="str">
        <f>PROPER(TRIM(G133))</f>
        <v>Ananya Rao</v>
      </c>
      <c r="I133" t="s">
        <v>115</v>
      </c>
      <c r="J133" t="str">
        <f>PROPER(TRIM(I133))</f>
        <v>Home Office</v>
      </c>
      <c r="K133" t="s">
        <v>42</v>
      </c>
      <c r="L133" t="s">
        <v>311</v>
      </c>
      <c r="M133" t="s">
        <v>312</v>
      </c>
      <c r="N133" t="s">
        <v>30</v>
      </c>
      <c r="O133" t="str">
        <f>TRIM(N133)</f>
        <v>Office Supplies</v>
      </c>
      <c r="P133" t="s">
        <v>31</v>
      </c>
      <c r="Q133" t="s">
        <v>750</v>
      </c>
      <c r="R133" t="s">
        <v>48</v>
      </c>
      <c r="S133" t="s">
        <v>48</v>
      </c>
      <c r="T133">
        <v>9</v>
      </c>
      <c r="U133">
        <v>373.91</v>
      </c>
      <c r="V133">
        <v>0.2</v>
      </c>
      <c r="W133">
        <v>2692.15</v>
      </c>
      <c r="X133">
        <v>2044.49</v>
      </c>
      <c r="Y133">
        <v>647.66</v>
      </c>
      <c r="Z133" t="s">
        <v>34</v>
      </c>
      <c r="AA133" t="s">
        <v>35</v>
      </c>
    </row>
    <row r="134" spans="1:27">
      <c r="A134" t="s">
        <v>751</v>
      </c>
      <c r="B134" t="s">
        <v>752</v>
      </c>
      <c r="C134" t="s">
        <v>752</v>
      </c>
      <c r="D134"/>
      <c r="E134" s="7">
        <f>IF(OR(D134="Invalid",D134&lt;0),"",D134)</f>
        <v>0</v>
      </c>
      <c r="F134" t="s">
        <v>753</v>
      </c>
      <c r="G134" t="s">
        <v>366</v>
      </c>
      <c r="H134" t="str">
        <f>PROPER(TRIM(G134))</f>
        <v>Kabir Singh</v>
      </c>
      <c r="I134" t="s">
        <v>108</v>
      </c>
      <c r="J134" t="str">
        <f>PROPER(TRIM(I134))</f>
        <v>Corporate</v>
      </c>
      <c r="K134" t="s">
        <v>42</v>
      </c>
      <c r="L134" t="s">
        <v>216</v>
      </c>
      <c r="M134" t="s">
        <v>217</v>
      </c>
      <c r="N134" t="s">
        <v>86</v>
      </c>
      <c r="O134" t="str">
        <f>TRIM(N134)</f>
        <v>Technology</v>
      </c>
      <c r="P134" t="s">
        <v>382</v>
      </c>
      <c r="Q134" t="s">
        <v>754</v>
      </c>
      <c r="R134" t="s">
        <v>56</v>
      </c>
      <c r="S134" t="s">
        <v>56</v>
      </c>
      <c r="T134">
        <v>2</v>
      </c>
      <c r="U134">
        <v>533.08000000000004</v>
      </c>
      <c r="V134">
        <v>0</v>
      </c>
      <c r="W134">
        <v>1066.1600000000001</v>
      </c>
      <c r="X134">
        <v>656.3</v>
      </c>
      <c r="Y134">
        <v>409.86</v>
      </c>
      <c r="Z134" t="s">
        <v>200</v>
      </c>
      <c r="AA134" t="s">
        <v>78</v>
      </c>
    </row>
    <row r="135" spans="1:27">
      <c r="A135" t="s">
        <v>755</v>
      </c>
      <c r="B135" t="s">
        <v>756</v>
      </c>
      <c r="C135" t="s">
        <v>757</v>
      </c>
      <c r="D135"/>
      <c r="E135" s="7">
        <f>IF(OR(D135="Invalid",D135&lt;0),"",D135)</f>
        <v>0</v>
      </c>
      <c r="F135" t="s">
        <v>758</v>
      </c>
      <c r="G135" t="s">
        <v>25</v>
      </c>
      <c r="H135" t="str">
        <f>PROPER(TRIM(G135))</f>
        <v>Karan Malhotra</v>
      </c>
      <c r="I135" t="s">
        <v>26</v>
      </c>
      <c r="J135" t="str">
        <f>PROPER(TRIM(I135))</f>
        <v>Consumer</v>
      </c>
      <c r="K135" t="s">
        <v>73</v>
      </c>
      <c r="L135" t="s">
        <v>249</v>
      </c>
      <c r="M135" t="s">
        <v>250</v>
      </c>
      <c r="N135" t="s">
        <v>86</v>
      </c>
      <c r="O135" t="str">
        <f>TRIM(N135)</f>
        <v>Technology</v>
      </c>
      <c r="P135" t="s">
        <v>223</v>
      </c>
      <c r="Q135" t="s">
        <v>759</v>
      </c>
      <c r="R135" t="s">
        <v>33</v>
      </c>
      <c r="S135" t="s">
        <v>33</v>
      </c>
      <c r="T135">
        <v>8</v>
      </c>
      <c r="U135">
        <v>3372.15</v>
      </c>
      <c r="V135">
        <v>0.15</v>
      </c>
      <c r="W135">
        <v>22930.62</v>
      </c>
      <c r="X135">
        <v>16875.55</v>
      </c>
      <c r="Y135">
        <v>6055.07</v>
      </c>
      <c r="Z135" t="s">
        <v>34</v>
      </c>
      <c r="AA135" t="s">
        <v>35</v>
      </c>
    </row>
    <row r="136" spans="1:27">
      <c r="A136" t="s">
        <v>760</v>
      </c>
      <c r="B136" t="s">
        <v>761</v>
      </c>
      <c r="C136" t="s">
        <v>762</v>
      </c>
      <c r="D136"/>
      <c r="E136" s="7">
        <f>IF(OR(D136="Invalid",D136&lt;0),"",D136)</f>
        <v>0</v>
      </c>
      <c r="F136" t="s">
        <v>763</v>
      </c>
      <c r="G136" t="s">
        <v>83</v>
      </c>
      <c r="H136" t="str">
        <f>PROPER(TRIM(G136))</f>
        <v>Vikram Iyer</v>
      </c>
      <c r="I136" t="s">
        <v>115</v>
      </c>
      <c r="J136" t="str">
        <f>PROPER(TRIM(I136))</f>
        <v>Home Office</v>
      </c>
      <c r="K136" t="s">
        <v>42</v>
      </c>
      <c r="L136" t="s">
        <v>121</v>
      </c>
      <c r="M136" t="s">
        <v>122</v>
      </c>
      <c r="N136" t="s">
        <v>45</v>
      </c>
      <c r="O136" t="str">
        <f>TRIM(N136)</f>
        <v>Furniture</v>
      </c>
      <c r="P136" t="s">
        <v>204</v>
      </c>
      <c r="Q136" t="s">
        <v>764</v>
      </c>
      <c r="R136" t="s">
        <v>4124</v>
      </c>
      <c r="S136" t="s">
        <v>4111</v>
      </c>
      <c r="T136">
        <v>5</v>
      </c>
      <c r="U136">
        <v>383.1</v>
      </c>
      <c r="V136">
        <v>0.25</v>
      </c>
      <c r="W136">
        <v>1436.62</v>
      </c>
      <c r="X136">
        <v>912.52</v>
      </c>
      <c r="Y136">
        <v>524.1</v>
      </c>
      <c r="Z136" t="s">
        <v>137</v>
      </c>
      <c r="AA136" t="s">
        <v>78</v>
      </c>
    </row>
    <row r="137" spans="1:27">
      <c r="A137" t="s">
        <v>765</v>
      </c>
      <c r="B137" t="s">
        <v>766</v>
      </c>
      <c r="C137" t="s">
        <v>766</v>
      </c>
      <c r="D137"/>
      <c r="E137" s="7">
        <f>IF(OR(D137="Invalid",D137&lt;0),"",D137)</f>
        <v>0</v>
      </c>
      <c r="F137" t="s">
        <v>767</v>
      </c>
      <c r="G137" t="s">
        <v>210</v>
      </c>
      <c r="H137" t="str">
        <f>PROPER(TRIM(G137))</f>
        <v>Diya Patel</v>
      </c>
      <c r="I137" t="s">
        <v>41</v>
      </c>
      <c r="J137" t="str">
        <f>PROPER(TRIM(I137))</f>
        <v>Small Business</v>
      </c>
      <c r="K137" t="s">
        <v>62</v>
      </c>
      <c r="L137" t="s">
        <v>242</v>
      </c>
      <c r="M137" t="s">
        <v>243</v>
      </c>
      <c r="N137" t="s">
        <v>45</v>
      </c>
      <c r="O137" t="str">
        <f>TRIM(N137)</f>
        <v>Furniture</v>
      </c>
      <c r="P137" t="s">
        <v>204</v>
      </c>
      <c r="Q137" t="s">
        <v>768</v>
      </c>
      <c r="R137" t="s">
        <v>67</v>
      </c>
      <c r="S137" t="s">
        <v>67</v>
      </c>
      <c r="T137">
        <v>1</v>
      </c>
      <c r="U137">
        <v>3424.78</v>
      </c>
      <c r="V137">
        <v>0</v>
      </c>
      <c r="W137">
        <v>3424.78</v>
      </c>
      <c r="X137">
        <v>1951.45</v>
      </c>
      <c r="Y137">
        <v>1473.33</v>
      </c>
      <c r="Z137" t="s">
        <v>34</v>
      </c>
      <c r="AA137" t="s">
        <v>35</v>
      </c>
    </row>
    <row r="138" spans="1:27">
      <c r="A138" t="s">
        <v>769</v>
      </c>
      <c r="B138" t="s">
        <v>770</v>
      </c>
      <c r="C138" t="s">
        <v>771</v>
      </c>
      <c r="D138"/>
      <c r="E138" s="7">
        <f>IF(OR(D138="Invalid",D138&lt;0),"",D138)</f>
        <v>0</v>
      </c>
      <c r="F138" t="s">
        <v>772</v>
      </c>
      <c r="G138" t="s">
        <v>40</v>
      </c>
      <c r="H138" t="str">
        <f>PROPER(TRIM(G138))</f>
        <v>Mira Das</v>
      </c>
      <c r="I138" t="s">
        <v>115</v>
      </c>
      <c r="J138" t="str">
        <f>PROPER(TRIM(I138))</f>
        <v>Home Office</v>
      </c>
      <c r="K138" t="s">
        <v>42</v>
      </c>
      <c r="L138" t="s">
        <v>311</v>
      </c>
      <c r="M138" t="s">
        <v>312</v>
      </c>
      <c r="N138" t="s">
        <v>30</v>
      </c>
      <c r="O138" t="str">
        <f>TRIM(N138)</f>
        <v>Office Supplies</v>
      </c>
      <c r="P138" t="s">
        <v>198</v>
      </c>
      <c r="Q138" t="s">
        <v>773</v>
      </c>
      <c r="R138" t="s">
        <v>774</v>
      </c>
      <c r="S138" t="s">
        <v>67</v>
      </c>
      <c r="T138">
        <v>9</v>
      </c>
      <c r="U138">
        <v>4330.33</v>
      </c>
      <c r="V138">
        <v>0.2</v>
      </c>
      <c r="W138">
        <v>31178.38</v>
      </c>
      <c r="X138">
        <v>21421.09</v>
      </c>
      <c r="Y138">
        <v>9757.2900000000009</v>
      </c>
      <c r="Z138" t="s">
        <v>34</v>
      </c>
      <c r="AA138" t="s">
        <v>35</v>
      </c>
    </row>
    <row r="139" spans="1:27">
      <c r="A139" t="s">
        <v>775</v>
      </c>
      <c r="B139" t="s">
        <v>776</v>
      </c>
      <c r="C139" t="s">
        <v>777</v>
      </c>
      <c r="D139"/>
      <c r="E139" s="7">
        <f>IF(OR(D139="Invalid",D139&lt;0),"",D139)</f>
        <v>0</v>
      </c>
      <c r="F139" t="s">
        <v>778</v>
      </c>
      <c r="G139" t="s">
        <v>168</v>
      </c>
      <c r="H139" t="str">
        <f>PROPER(TRIM(G139))</f>
        <v>Sneha Kapoor</v>
      </c>
      <c r="I139" t="s">
        <v>41</v>
      </c>
      <c r="J139" t="str">
        <f>PROPER(TRIM(I139))</f>
        <v>Small Business</v>
      </c>
      <c r="K139" t="s">
        <v>27</v>
      </c>
      <c r="L139" t="s">
        <v>28</v>
      </c>
      <c r="M139" t="s">
        <v>29</v>
      </c>
      <c r="N139" t="s">
        <v>45</v>
      </c>
      <c r="O139" t="str">
        <f>TRIM(N139)</f>
        <v>Furniture</v>
      </c>
      <c r="P139" t="s">
        <v>76</v>
      </c>
      <c r="Q139" t="s">
        <v>779</v>
      </c>
      <c r="R139" t="s">
        <v>48</v>
      </c>
      <c r="S139" t="s">
        <v>48</v>
      </c>
      <c r="T139">
        <v>8</v>
      </c>
      <c r="U139">
        <v>2667.07</v>
      </c>
      <c r="V139">
        <v>0.1</v>
      </c>
      <c r="W139">
        <v>19202.900000000001</v>
      </c>
      <c r="X139">
        <v>15526.62</v>
      </c>
      <c r="Y139">
        <v>3676.28</v>
      </c>
      <c r="Z139" t="s">
        <v>34</v>
      </c>
      <c r="AA139" t="s">
        <v>35</v>
      </c>
    </row>
    <row r="140" spans="1:27">
      <c r="A140" t="s">
        <v>780</v>
      </c>
      <c r="B140" t="s">
        <v>781</v>
      </c>
      <c r="C140" t="s">
        <v>782</v>
      </c>
      <c r="D140"/>
      <c r="E140" s="7">
        <f>IF(OR(D140="Invalid",D140&lt;0),"",D140)</f>
        <v>0</v>
      </c>
      <c r="F140" t="s">
        <v>783</v>
      </c>
      <c r="G140" t="s">
        <v>210</v>
      </c>
      <c r="H140" t="str">
        <f>PROPER(TRIM(G140))</f>
        <v>Diya Patel</v>
      </c>
      <c r="I140" t="s">
        <v>115</v>
      </c>
      <c r="J140" t="str">
        <f>PROPER(TRIM(I140))</f>
        <v>Home Office</v>
      </c>
      <c r="K140" t="s">
        <v>42</v>
      </c>
      <c r="L140" t="s">
        <v>311</v>
      </c>
      <c r="M140" t="s">
        <v>312</v>
      </c>
      <c r="N140" t="s">
        <v>86</v>
      </c>
      <c r="O140" t="str">
        <f>TRIM(N140)</f>
        <v>Technology</v>
      </c>
      <c r="P140" t="s">
        <v>382</v>
      </c>
      <c r="Q140" t="s">
        <v>784</v>
      </c>
      <c r="R140" t="s">
        <v>67</v>
      </c>
      <c r="S140" t="s">
        <v>67</v>
      </c>
      <c r="T140">
        <v>8</v>
      </c>
      <c r="U140">
        <v>4003.05</v>
      </c>
      <c r="V140">
        <v>0.25</v>
      </c>
      <c r="W140">
        <v>24018.3</v>
      </c>
      <c r="X140">
        <v>14070.78</v>
      </c>
      <c r="Y140">
        <v>9947.52</v>
      </c>
      <c r="Z140" t="s">
        <v>34</v>
      </c>
      <c r="AA140" t="s">
        <v>35</v>
      </c>
    </row>
    <row r="141" spans="1:27">
      <c r="A141" t="s">
        <v>785</v>
      </c>
      <c r="B141" t="s">
        <v>786</v>
      </c>
      <c r="C141" t="s">
        <v>787</v>
      </c>
      <c r="D141"/>
      <c r="E141" s="7">
        <f>IF(OR(D141="Invalid",D141&lt;0),"",D141)</f>
        <v>0</v>
      </c>
      <c r="F141" t="s">
        <v>788</v>
      </c>
      <c r="G141" t="s">
        <v>93</v>
      </c>
      <c r="H141" t="str">
        <f>PROPER(TRIM(G141))</f>
        <v>Neha Gupta</v>
      </c>
      <c r="I141" t="s">
        <v>115</v>
      </c>
      <c r="J141" t="str">
        <f>PROPER(TRIM(I141))</f>
        <v>Home Office</v>
      </c>
      <c r="K141" t="s">
        <v>62</v>
      </c>
      <c r="L141" t="s">
        <v>229</v>
      </c>
      <c r="M141" t="s">
        <v>230</v>
      </c>
      <c r="N141" t="s">
        <v>30</v>
      </c>
      <c r="O141" t="str">
        <f>TRIM(N141)</f>
        <v>Office Supplies</v>
      </c>
      <c r="P141" t="s">
        <v>109</v>
      </c>
      <c r="Q141" t="s">
        <v>789</v>
      </c>
      <c r="R141" t="s">
        <v>67</v>
      </c>
      <c r="S141" t="s">
        <v>67</v>
      </c>
      <c r="T141">
        <v>8</v>
      </c>
      <c r="U141">
        <v>1287.6300000000001</v>
      </c>
      <c r="V141">
        <v>0</v>
      </c>
      <c r="W141">
        <v>10301.040000000001</v>
      </c>
      <c r="X141">
        <v>6564.06</v>
      </c>
      <c r="Y141">
        <v>3736.98</v>
      </c>
      <c r="Z141" t="s">
        <v>34</v>
      </c>
      <c r="AA141" t="s">
        <v>35</v>
      </c>
    </row>
    <row r="142" spans="1:27">
      <c r="A142" t="s">
        <v>790</v>
      </c>
      <c r="B142" t="s">
        <v>791</v>
      </c>
      <c r="C142" t="s">
        <v>792</v>
      </c>
      <c r="D142"/>
      <c r="E142" s="7">
        <f>IF(OR(D142="Invalid",D142&lt;0),"",D142)</f>
        <v>0</v>
      </c>
      <c r="F142" t="s">
        <v>793</v>
      </c>
      <c r="G142" t="s">
        <v>40</v>
      </c>
      <c r="H142" t="str">
        <f>PROPER(TRIM(G142))</f>
        <v>Mira Das</v>
      </c>
      <c r="I142" t="s">
        <v>108</v>
      </c>
      <c r="J142" t="str">
        <f>PROPER(TRIM(I142))</f>
        <v>Corporate</v>
      </c>
      <c r="K142" t="s">
        <v>62</v>
      </c>
      <c r="L142" t="s">
        <v>229</v>
      </c>
      <c r="M142" t="s">
        <v>230</v>
      </c>
      <c r="N142" t="s">
        <v>45</v>
      </c>
      <c r="O142" t="str">
        <f>TRIM(N142)</f>
        <v>Furniture</v>
      </c>
      <c r="P142" t="s">
        <v>204</v>
      </c>
      <c r="Q142" t="s">
        <v>794</v>
      </c>
      <c r="R142" t="s">
        <v>48</v>
      </c>
      <c r="S142" t="s">
        <v>48</v>
      </c>
      <c r="T142">
        <v>3</v>
      </c>
      <c r="U142">
        <v>2914.55</v>
      </c>
      <c r="V142">
        <v>0</v>
      </c>
      <c r="W142">
        <v>8743.65</v>
      </c>
      <c r="X142">
        <v>6603.76</v>
      </c>
      <c r="Y142">
        <v>2139.89</v>
      </c>
      <c r="Z142" t="s">
        <v>34</v>
      </c>
      <c r="AA142" t="s">
        <v>35</v>
      </c>
    </row>
    <row r="143" spans="1:27">
      <c r="A143" t="s">
        <v>795</v>
      </c>
      <c r="B143" t="s">
        <v>796</v>
      </c>
      <c r="C143" t="s">
        <v>797</v>
      </c>
      <c r="D143"/>
      <c r="E143" s="7">
        <f>IF(OR(D143="Invalid",D143&lt;0),"",D143)</f>
        <v>0</v>
      </c>
      <c r="F143" t="s">
        <v>798</v>
      </c>
      <c r="G143" t="s">
        <v>142</v>
      </c>
      <c r="H143" t="str">
        <f>PROPER(TRIM(G143))</f>
        <v>Priya Menon</v>
      </c>
      <c r="I143" t="s">
        <v>108</v>
      </c>
      <c r="J143" t="str">
        <f>PROPER(TRIM(I143))</f>
        <v>Corporate</v>
      </c>
      <c r="K143" t="s">
        <v>27</v>
      </c>
      <c r="L143" t="s">
        <v>506</v>
      </c>
      <c r="M143" t="s">
        <v>507</v>
      </c>
      <c r="N143" t="s">
        <v>45</v>
      </c>
      <c r="O143" t="str">
        <f>TRIM(N143)</f>
        <v>Furniture</v>
      </c>
      <c r="P143" t="s">
        <v>204</v>
      </c>
      <c r="Q143" t="s">
        <v>799</v>
      </c>
      <c r="R143" t="s">
        <v>48</v>
      </c>
      <c r="S143" t="s">
        <v>48</v>
      </c>
      <c r="T143">
        <v>7</v>
      </c>
      <c r="U143">
        <v>634.29</v>
      </c>
      <c r="V143">
        <v>0.1</v>
      </c>
      <c r="W143">
        <v>3996.03</v>
      </c>
      <c r="X143">
        <v>2859.51</v>
      </c>
      <c r="Y143">
        <v>1136.52</v>
      </c>
      <c r="Z143" t="s">
        <v>34</v>
      </c>
      <c r="AA143" t="s">
        <v>125</v>
      </c>
    </row>
    <row r="144" spans="1:27">
      <c r="A144" t="s">
        <v>800</v>
      </c>
      <c r="B144" t="s">
        <v>801</v>
      </c>
      <c r="C144" t="s">
        <v>802</v>
      </c>
      <c r="D144"/>
      <c r="E144" s="7">
        <f>IF(OR(D144="Invalid",D144&lt;0),"",D144)</f>
        <v>0</v>
      </c>
      <c r="F144" t="s">
        <v>803</v>
      </c>
      <c r="G144" t="s">
        <v>107</v>
      </c>
      <c r="H144" t="str">
        <f>PROPER(TRIM(G144))</f>
        <v>Aditi Sen</v>
      </c>
      <c r="I144" t="s">
        <v>115</v>
      </c>
      <c r="J144" t="str">
        <f>PROPER(TRIM(I144))</f>
        <v>Home Office</v>
      </c>
      <c r="K144" t="s">
        <v>27</v>
      </c>
      <c r="L144" t="s">
        <v>28</v>
      </c>
      <c r="M144" t="s">
        <v>29</v>
      </c>
      <c r="N144" t="s">
        <v>86</v>
      </c>
      <c r="O144" t="str">
        <f>TRIM(N144)</f>
        <v>Technology</v>
      </c>
      <c r="P144" t="s">
        <v>223</v>
      </c>
      <c r="Q144" t="s">
        <v>804</v>
      </c>
      <c r="R144" t="s">
        <v>33</v>
      </c>
      <c r="S144" t="s">
        <v>33</v>
      </c>
      <c r="T144">
        <v>5</v>
      </c>
      <c r="U144">
        <v>907.54</v>
      </c>
      <c r="V144">
        <v>0.15</v>
      </c>
      <c r="W144">
        <v>3857.04</v>
      </c>
      <c r="X144">
        <v>2769.26</v>
      </c>
      <c r="Y144">
        <v>1087.78</v>
      </c>
      <c r="Z144" t="s">
        <v>34</v>
      </c>
      <c r="AA144" t="s">
        <v>35</v>
      </c>
    </row>
    <row r="145" spans="1:27">
      <c r="A145" t="s">
        <v>805</v>
      </c>
      <c r="B145" t="s">
        <v>542</v>
      </c>
      <c r="C145" t="s">
        <v>806</v>
      </c>
      <c r="D145"/>
      <c r="E145" s="7">
        <f>IF(OR(D145="Invalid",D145&lt;0),"",D145)</f>
        <v>0</v>
      </c>
      <c r="F145" t="s">
        <v>807</v>
      </c>
      <c r="G145" t="s">
        <v>142</v>
      </c>
      <c r="H145" t="str">
        <f>PROPER(TRIM(G145))</f>
        <v>Priya Menon</v>
      </c>
      <c r="I145" t="s">
        <v>26</v>
      </c>
      <c r="J145" t="str">
        <f>PROPER(TRIM(I145))</f>
        <v>Consumer</v>
      </c>
      <c r="K145" t="s">
        <v>73</v>
      </c>
      <c r="L145" t="s">
        <v>235</v>
      </c>
      <c r="M145" t="s">
        <v>236</v>
      </c>
      <c r="N145" t="s">
        <v>30</v>
      </c>
      <c r="O145" t="str">
        <f>TRIM(N145)</f>
        <v>Office Supplies</v>
      </c>
      <c r="P145" t="s">
        <v>31</v>
      </c>
      <c r="Q145" t="s">
        <v>808</v>
      </c>
      <c r="R145" t="s">
        <v>33</v>
      </c>
      <c r="S145" t="s">
        <v>33</v>
      </c>
      <c r="T145">
        <v>1</v>
      </c>
      <c r="U145">
        <v>3409.5</v>
      </c>
      <c r="V145">
        <v>0.1</v>
      </c>
      <c r="W145">
        <v>3068.55</v>
      </c>
      <c r="X145">
        <v>1916.16</v>
      </c>
      <c r="Y145">
        <v>1152.3900000000001</v>
      </c>
      <c r="Z145" t="s">
        <v>34</v>
      </c>
      <c r="AA145" t="s">
        <v>125</v>
      </c>
    </row>
    <row r="146" spans="1:27">
      <c r="A146" t="s">
        <v>809</v>
      </c>
      <c r="B146" t="s">
        <v>578</v>
      </c>
      <c r="C146" t="s">
        <v>810</v>
      </c>
      <c r="D146"/>
      <c r="E146" s="7">
        <f>IF(OR(D146="Invalid",D146&lt;0),"",D146)</f>
        <v>0</v>
      </c>
      <c r="F146" t="s">
        <v>811</v>
      </c>
      <c r="G146" t="s">
        <v>366</v>
      </c>
      <c r="H146" t="str">
        <f>PROPER(TRIM(G146))</f>
        <v>Kabir Singh</v>
      </c>
      <c r="I146" t="s">
        <v>41</v>
      </c>
      <c r="J146" t="str">
        <f>PROPER(TRIM(I146))</f>
        <v>Small Business</v>
      </c>
      <c r="K146" t="s">
        <v>62</v>
      </c>
      <c r="L146" t="s">
        <v>63</v>
      </c>
      <c r="M146" t="s">
        <v>64</v>
      </c>
      <c r="N146" t="s">
        <v>86</v>
      </c>
      <c r="O146" t="str">
        <f>TRIM(N146)</f>
        <v>Technology</v>
      </c>
      <c r="P146" t="s">
        <v>87</v>
      </c>
      <c r="Q146" t="s">
        <v>812</v>
      </c>
      <c r="R146" t="s">
        <v>56</v>
      </c>
      <c r="S146" t="s">
        <v>56</v>
      </c>
      <c r="T146">
        <v>7</v>
      </c>
      <c r="U146">
        <v>2147.9899999999998</v>
      </c>
      <c r="V146">
        <v>0.25</v>
      </c>
      <c r="W146">
        <v>11276.95</v>
      </c>
      <c r="X146">
        <v>6908.76</v>
      </c>
      <c r="Y146">
        <v>4368.1899999999996</v>
      </c>
      <c r="Z146" t="s">
        <v>124</v>
      </c>
      <c r="AA146" t="s">
        <v>125</v>
      </c>
    </row>
    <row r="147" spans="1:27">
      <c r="A147" t="s">
        <v>813</v>
      </c>
      <c r="B147" t="s">
        <v>814</v>
      </c>
      <c r="C147" t="s">
        <v>815</v>
      </c>
      <c r="D147"/>
      <c r="E147" s="7">
        <f>IF(OR(D147="Invalid",D147&lt;0),"",D147)</f>
        <v>0</v>
      </c>
      <c r="F147" t="s">
        <v>816</v>
      </c>
      <c r="G147" t="s">
        <v>40</v>
      </c>
      <c r="H147" t="str">
        <f>PROPER(TRIM(G147))</f>
        <v>Mira Das</v>
      </c>
      <c r="I147" t="s">
        <v>41</v>
      </c>
      <c r="J147" t="str">
        <f>PROPER(TRIM(I147))</f>
        <v>Small Business</v>
      </c>
      <c r="K147" t="s">
        <v>73</v>
      </c>
      <c r="L147" t="s">
        <v>249</v>
      </c>
      <c r="M147" t="s">
        <v>250</v>
      </c>
      <c r="N147" t="s">
        <v>30</v>
      </c>
      <c r="O147" t="str">
        <f>TRIM(N147)</f>
        <v>Office Supplies</v>
      </c>
      <c r="P147" t="s">
        <v>31</v>
      </c>
      <c r="Q147" t="s">
        <v>817</v>
      </c>
      <c r="R147" t="s">
        <v>67</v>
      </c>
      <c r="S147" t="s">
        <v>67</v>
      </c>
      <c r="T147">
        <v>4</v>
      </c>
      <c r="U147">
        <v>4182.1499999999996</v>
      </c>
      <c r="V147">
        <v>0.1</v>
      </c>
      <c r="W147">
        <v>15055.74</v>
      </c>
      <c r="X147">
        <v>9808.83</v>
      </c>
      <c r="Y147">
        <v>5246.91</v>
      </c>
      <c r="Z147" t="s">
        <v>34</v>
      </c>
      <c r="AA147" t="s">
        <v>35</v>
      </c>
    </row>
    <row r="148" spans="1:27">
      <c r="A148" t="s">
        <v>818</v>
      </c>
      <c r="B148" t="s">
        <v>819</v>
      </c>
      <c r="C148" t="s">
        <v>820</v>
      </c>
      <c r="D148"/>
      <c r="E148" s="7">
        <f>IF(OR(D148="Invalid",D148&lt;0),"",D148)</f>
        <v>0</v>
      </c>
      <c r="F148" t="s">
        <v>821</v>
      </c>
      <c r="G148" t="s">
        <v>168</v>
      </c>
      <c r="H148" t="str">
        <f>PROPER(TRIM(G148))</f>
        <v>Sneha Kapoor</v>
      </c>
      <c r="I148" t="s">
        <v>41</v>
      </c>
      <c r="J148" t="str">
        <f>PROPER(TRIM(I148))</f>
        <v>Small Business</v>
      </c>
      <c r="K148" t="s">
        <v>62</v>
      </c>
      <c r="L148" t="s">
        <v>339</v>
      </c>
      <c r="M148" t="s">
        <v>340</v>
      </c>
      <c r="N148" t="s">
        <v>30</v>
      </c>
      <c r="O148" t="str">
        <f>TRIM(N148)</f>
        <v>Office Supplies</v>
      </c>
      <c r="P148" t="s">
        <v>156</v>
      </c>
      <c r="Q148" t="s">
        <v>822</v>
      </c>
      <c r="R148" t="s">
        <v>48</v>
      </c>
      <c r="S148" t="s">
        <v>48</v>
      </c>
      <c r="T148">
        <v>9</v>
      </c>
      <c r="U148">
        <v>3165.43</v>
      </c>
      <c r="V148">
        <v>0.1</v>
      </c>
      <c r="W148">
        <v>25639.98</v>
      </c>
      <c r="X148">
        <v>21635.08</v>
      </c>
      <c r="Y148">
        <v>4004.9</v>
      </c>
      <c r="Z148" t="s">
        <v>34</v>
      </c>
      <c r="AA148" t="s">
        <v>35</v>
      </c>
    </row>
    <row r="149" spans="1:27">
      <c r="A149" t="s">
        <v>823</v>
      </c>
      <c r="B149" t="s">
        <v>824</v>
      </c>
      <c r="C149" t="s">
        <v>825</v>
      </c>
      <c r="D149"/>
      <c r="E149" s="7">
        <f>IF(OR(D149="Invalid",D149&lt;0),"",D149)</f>
        <v>0</v>
      </c>
      <c r="F149" t="s">
        <v>826</v>
      </c>
      <c r="G149" t="s">
        <v>142</v>
      </c>
      <c r="H149" t="str">
        <f>PROPER(TRIM(G149))</f>
        <v>Priya Menon</v>
      </c>
      <c r="I149" t="s">
        <v>115</v>
      </c>
      <c r="J149" t="str">
        <f>PROPER(TRIM(I149))</f>
        <v>Home Office</v>
      </c>
      <c r="K149" t="s">
        <v>73</v>
      </c>
      <c r="L149" t="s">
        <v>249</v>
      </c>
      <c r="M149" t="s">
        <v>250</v>
      </c>
      <c r="N149" t="s">
        <v>45</v>
      </c>
      <c r="O149" t="str">
        <f>TRIM(N149)</f>
        <v>Furniture</v>
      </c>
      <c r="P149" t="s">
        <v>65</v>
      </c>
      <c r="Q149" t="s">
        <v>827</v>
      </c>
      <c r="R149" t="s">
        <v>56</v>
      </c>
      <c r="S149" t="s">
        <v>56</v>
      </c>
      <c r="T149">
        <v>8</v>
      </c>
      <c r="U149">
        <v>386.1</v>
      </c>
      <c r="V149">
        <v>0.1</v>
      </c>
      <c r="W149">
        <v>2779.92</v>
      </c>
      <c r="X149">
        <v>1744.05</v>
      </c>
      <c r="Y149">
        <v>1035.8699999999999</v>
      </c>
      <c r="Z149" t="s">
        <v>34</v>
      </c>
      <c r="AA149" t="s">
        <v>35</v>
      </c>
    </row>
    <row r="150" spans="1:27">
      <c r="A150" t="s">
        <v>828</v>
      </c>
      <c r="B150" t="s">
        <v>829</v>
      </c>
      <c r="C150" t="s">
        <v>830</v>
      </c>
      <c r="D150"/>
      <c r="E150" s="7">
        <f>IF(OR(D150="Invalid",D150&lt;0),"",D150)</f>
        <v>0</v>
      </c>
      <c r="F150" t="s">
        <v>831</v>
      </c>
      <c r="G150" t="s">
        <v>40</v>
      </c>
      <c r="H150" t="str">
        <f>PROPER(TRIM(G150))</f>
        <v>Mira Das</v>
      </c>
      <c r="I150" t="s">
        <v>115</v>
      </c>
      <c r="J150" t="str">
        <f>PROPER(TRIM(I150))</f>
        <v>Home Office</v>
      </c>
      <c r="K150" t="s">
        <v>73</v>
      </c>
      <c r="L150" t="s">
        <v>84</v>
      </c>
      <c r="M150" t="s">
        <v>85</v>
      </c>
      <c r="N150" t="s">
        <v>86</v>
      </c>
      <c r="O150" t="str">
        <f>TRIM(N150)</f>
        <v>Technology</v>
      </c>
      <c r="P150" t="s">
        <v>223</v>
      </c>
      <c r="Q150" t="s">
        <v>832</v>
      </c>
      <c r="R150" t="s">
        <v>4124</v>
      </c>
      <c r="S150" t="s">
        <v>4111</v>
      </c>
      <c r="T150">
        <v>8</v>
      </c>
      <c r="U150">
        <v>1696.07</v>
      </c>
      <c r="V150">
        <v>0.25</v>
      </c>
      <c r="W150">
        <v>10176.42</v>
      </c>
      <c r="X150">
        <v>7604.47</v>
      </c>
      <c r="Y150">
        <v>2571.9499999999998</v>
      </c>
      <c r="Z150" t="s">
        <v>34</v>
      </c>
      <c r="AA150" t="s">
        <v>35</v>
      </c>
    </row>
    <row r="151" spans="1:27">
      <c r="A151" t="s">
        <v>833</v>
      </c>
      <c r="B151" t="s">
        <v>834</v>
      </c>
      <c r="C151" t="s">
        <v>834</v>
      </c>
      <c r="D151"/>
      <c r="E151" s="7">
        <f>IF(OR(D151="Invalid",D151&lt;0),"",D151)</f>
        <v>0</v>
      </c>
      <c r="F151" t="s">
        <v>835</v>
      </c>
      <c r="G151" t="s">
        <v>162</v>
      </c>
      <c r="H151" t="str">
        <f>PROPER(TRIM(G151))</f>
        <v>Aarav Sharma</v>
      </c>
      <c r="I151" t="s">
        <v>41</v>
      </c>
      <c r="J151" t="str">
        <f>PROPER(TRIM(I151))</f>
        <v>Small Business</v>
      </c>
      <c r="K151" t="s">
        <v>836</v>
      </c>
      <c r="L151" t="s">
        <v>28</v>
      </c>
      <c r="M151" t="s">
        <v>135</v>
      </c>
      <c r="N151" t="s">
        <v>86</v>
      </c>
      <c r="O151" t="str">
        <f>TRIM(N151)</f>
        <v>Technology</v>
      </c>
      <c r="P151" t="s">
        <v>94</v>
      </c>
      <c r="Q151" t="s">
        <v>837</v>
      </c>
      <c r="R151" t="s">
        <v>48</v>
      </c>
      <c r="S151" t="s">
        <v>48</v>
      </c>
      <c r="T151">
        <v>7</v>
      </c>
      <c r="U151">
        <v>2527.61</v>
      </c>
      <c r="V151">
        <v>0.25</v>
      </c>
      <c r="W151">
        <v>13269.95</v>
      </c>
      <c r="X151">
        <v>8977.1</v>
      </c>
      <c r="Y151">
        <v>4292.8500000000004</v>
      </c>
      <c r="Z151" t="s">
        <v>34</v>
      </c>
      <c r="AA151" t="s">
        <v>35</v>
      </c>
    </row>
    <row r="152" spans="1:27">
      <c r="A152" t="s">
        <v>838</v>
      </c>
      <c r="B152" s="4" t="s">
        <v>839</v>
      </c>
      <c r="C152" s="4" t="s">
        <v>840</v>
      </c>
      <c r="D152" s="4" t="str">
        <f>IF(C40&lt;B40,"Invalid","OK")</f>
        <v>OK</v>
      </c>
      <c r="E152" s="7" t="str">
        <f>IF(OR(D152="Invalid",D152&lt;0),"",D152)</f>
        <v>OK</v>
      </c>
      <c r="F152" t="s">
        <v>841</v>
      </c>
      <c r="G152" t="s">
        <v>61</v>
      </c>
      <c r="H152" t="str">
        <f>PROPER(TRIM(G152))</f>
        <v>Arjun Bose</v>
      </c>
      <c r="I152" t="s">
        <v>26</v>
      </c>
      <c r="J152" t="str">
        <f>PROPER(TRIM(I152))</f>
        <v>Consumer</v>
      </c>
      <c r="K152" t="s">
        <v>73</v>
      </c>
      <c r="L152" t="s">
        <v>235</v>
      </c>
      <c r="M152" t="s">
        <v>236</v>
      </c>
      <c r="N152" t="s">
        <v>45</v>
      </c>
      <c r="O152" t="str">
        <f>TRIM(N152)</f>
        <v>Furniture</v>
      </c>
      <c r="P152" t="s">
        <v>204</v>
      </c>
      <c r="Q152" t="s">
        <v>842</v>
      </c>
      <c r="R152" t="s">
        <v>56</v>
      </c>
      <c r="S152" t="s">
        <v>56</v>
      </c>
      <c r="T152">
        <v>1</v>
      </c>
      <c r="U152">
        <v>1554.12</v>
      </c>
      <c r="V152">
        <v>0.1</v>
      </c>
      <c r="W152">
        <v>1398.71</v>
      </c>
      <c r="X152">
        <v>1056.92</v>
      </c>
      <c r="Y152">
        <v>341.79</v>
      </c>
      <c r="Z152" t="s">
        <v>34</v>
      </c>
      <c r="AA152" t="s">
        <v>35</v>
      </c>
    </row>
    <row r="153" spans="1:27">
      <c r="A153" t="s">
        <v>843</v>
      </c>
      <c r="B153" s="4" t="s">
        <v>844</v>
      </c>
      <c r="C153" s="4" t="s">
        <v>845</v>
      </c>
      <c r="D153" s="4" t="str">
        <f>IF(C41&lt;B41,"Invalid","OK")</f>
        <v>OK</v>
      </c>
      <c r="E153" s="7" t="str">
        <f>IF(OR(D153="Invalid",D153&lt;0),"",D153)</f>
        <v>OK</v>
      </c>
      <c r="F153" t="s">
        <v>846</v>
      </c>
      <c r="G153" t="s">
        <v>93</v>
      </c>
      <c r="H153" t="str">
        <f>PROPER(TRIM(G153))</f>
        <v>Neha Gupta</v>
      </c>
      <c r="I153" t="s">
        <v>115</v>
      </c>
      <c r="J153" t="str">
        <f>PROPER(TRIM(I153))</f>
        <v>Home Office</v>
      </c>
      <c r="K153" t="s">
        <v>73</v>
      </c>
      <c r="L153" t="s">
        <v>84</v>
      </c>
      <c r="M153" t="s">
        <v>85</v>
      </c>
      <c r="N153" t="s">
        <v>86</v>
      </c>
      <c r="O153" t="str">
        <f>TRIM(N153)</f>
        <v>Technology</v>
      </c>
      <c r="P153" t="s">
        <v>94</v>
      </c>
      <c r="Q153" t="s">
        <v>847</v>
      </c>
      <c r="R153" t="s">
        <v>67</v>
      </c>
      <c r="S153" t="s">
        <v>67</v>
      </c>
      <c r="T153">
        <v>2</v>
      </c>
      <c r="U153">
        <v>3859.11</v>
      </c>
      <c r="V153">
        <v>0</v>
      </c>
      <c r="W153">
        <v>7718.22</v>
      </c>
      <c r="X153">
        <v>5355.93</v>
      </c>
      <c r="Y153">
        <v>2362.29</v>
      </c>
      <c r="Z153" t="s">
        <v>137</v>
      </c>
      <c r="AA153" t="s">
        <v>125</v>
      </c>
    </row>
    <row r="154" spans="1:27">
      <c r="A154" t="s">
        <v>848</v>
      </c>
      <c r="B154" t="s">
        <v>849</v>
      </c>
      <c r="C154" t="s">
        <v>850</v>
      </c>
      <c r="D154"/>
      <c r="E154" s="7">
        <f>IF(OR(D154="Invalid",D154&lt;0),"",D154)</f>
        <v>0</v>
      </c>
      <c r="F154" t="s">
        <v>851</v>
      </c>
      <c r="G154" t="s">
        <v>366</v>
      </c>
      <c r="H154" t="str">
        <f>PROPER(TRIM(G154))</f>
        <v>Kabir Singh</v>
      </c>
      <c r="I154" t="s">
        <v>41</v>
      </c>
      <c r="J154" t="str">
        <f>PROPER(TRIM(I154))</f>
        <v>Small Business</v>
      </c>
      <c r="K154" t="s">
        <v>62</v>
      </c>
      <c r="L154" t="s">
        <v>242</v>
      </c>
      <c r="M154" t="s">
        <v>243</v>
      </c>
      <c r="N154" t="s">
        <v>45</v>
      </c>
      <c r="O154" t="str">
        <f>TRIM(N154)</f>
        <v>Furniture</v>
      </c>
      <c r="P154" t="s">
        <v>46</v>
      </c>
      <c r="Q154" t="s">
        <v>852</v>
      </c>
      <c r="R154" t="s">
        <v>33</v>
      </c>
      <c r="S154" t="s">
        <v>33</v>
      </c>
      <c r="T154">
        <v>6</v>
      </c>
      <c r="U154">
        <v>1088.04</v>
      </c>
      <c r="V154">
        <v>0.1</v>
      </c>
      <c r="W154">
        <v>5875.42</v>
      </c>
      <c r="X154">
        <v>4380.55</v>
      </c>
      <c r="Y154">
        <v>1494.87</v>
      </c>
      <c r="Z154" t="s">
        <v>137</v>
      </c>
      <c r="AA154" t="s">
        <v>125</v>
      </c>
    </row>
    <row r="155" spans="1:27">
      <c r="A155" t="s">
        <v>853</v>
      </c>
      <c r="B155" t="s">
        <v>854</v>
      </c>
      <c r="C155" t="s">
        <v>855</v>
      </c>
      <c r="D155"/>
      <c r="E155" s="7">
        <f>IF(OR(D155="Invalid",D155&lt;0),"",D155)</f>
        <v>0</v>
      </c>
      <c r="F155" t="s">
        <v>856</v>
      </c>
      <c r="G155" t="s">
        <v>107</v>
      </c>
      <c r="H155" t="str">
        <f>PROPER(TRIM(G155))</f>
        <v>Aditi Sen</v>
      </c>
      <c r="I155" t="s">
        <v>26</v>
      </c>
      <c r="J155" t="str">
        <f>PROPER(TRIM(I155))</f>
        <v>Consumer</v>
      </c>
      <c r="K155" t="s">
        <v>42</v>
      </c>
      <c r="L155" t="s">
        <v>43</v>
      </c>
      <c r="M155" t="s">
        <v>44</v>
      </c>
      <c r="N155" t="s">
        <v>30</v>
      </c>
      <c r="O155" t="str">
        <f>TRIM(N155)</f>
        <v>Office Supplies</v>
      </c>
      <c r="P155" t="s">
        <v>109</v>
      </c>
      <c r="Q155" t="s">
        <v>857</v>
      </c>
      <c r="R155" t="s">
        <v>67</v>
      </c>
      <c r="S155" t="s">
        <v>67</v>
      </c>
      <c r="T155">
        <v>7</v>
      </c>
      <c r="U155">
        <v>3280.31</v>
      </c>
      <c r="V155">
        <v>0</v>
      </c>
      <c r="W155">
        <v>22962.17</v>
      </c>
      <c r="X155">
        <v>15716.5</v>
      </c>
      <c r="Y155">
        <v>7245.67</v>
      </c>
      <c r="Z155" t="s">
        <v>124</v>
      </c>
      <c r="AA155" t="s">
        <v>125</v>
      </c>
    </row>
    <row r="156" spans="1:27">
      <c r="A156" t="s">
        <v>858</v>
      </c>
      <c r="B156" t="s">
        <v>859</v>
      </c>
      <c r="C156" t="s">
        <v>860</v>
      </c>
      <c r="D156"/>
      <c r="E156" s="7">
        <f>IF(OR(D156="Invalid",D156&lt;0),"",D156)</f>
        <v>0</v>
      </c>
      <c r="F156" t="s">
        <v>669</v>
      </c>
      <c r="G156" t="s">
        <v>142</v>
      </c>
      <c r="H156" t="str">
        <f>PROPER(TRIM(G156))</f>
        <v>Priya Menon</v>
      </c>
      <c r="I156" t="s">
        <v>26</v>
      </c>
      <c r="J156" t="str">
        <f>PROPER(TRIM(I156))</f>
        <v>Consumer</v>
      </c>
      <c r="K156" t="s">
        <v>62</v>
      </c>
      <c r="L156" t="s">
        <v>339</v>
      </c>
      <c r="M156" t="s">
        <v>340</v>
      </c>
      <c r="N156" t="s">
        <v>45</v>
      </c>
      <c r="O156" t="str">
        <f>TRIM(N156)</f>
        <v>Furniture</v>
      </c>
      <c r="P156" t="s">
        <v>204</v>
      </c>
      <c r="Q156" t="s">
        <v>861</v>
      </c>
      <c r="R156" t="s">
        <v>48</v>
      </c>
      <c r="S156" t="s">
        <v>48</v>
      </c>
      <c r="T156">
        <v>1</v>
      </c>
      <c r="U156">
        <v>2599.12</v>
      </c>
      <c r="V156">
        <v>0.15</v>
      </c>
      <c r="W156">
        <v>2209.25</v>
      </c>
      <c r="X156">
        <v>1523.78</v>
      </c>
      <c r="Y156">
        <v>685.47</v>
      </c>
      <c r="Z156" t="s">
        <v>34</v>
      </c>
      <c r="AA156" t="s">
        <v>35</v>
      </c>
    </row>
    <row r="157" spans="1:27">
      <c r="A157" t="s">
        <v>862</v>
      </c>
      <c r="B157" t="s">
        <v>559</v>
      </c>
      <c r="C157" t="s">
        <v>440</v>
      </c>
      <c r="D157"/>
      <c r="E157" s="7">
        <f>IF(OR(D157="Invalid",D157&lt;0),"",D157)</f>
        <v>0</v>
      </c>
      <c r="F157" t="s">
        <v>863</v>
      </c>
      <c r="G157" t="s">
        <v>25</v>
      </c>
      <c r="H157" t="str">
        <f>PROPER(TRIM(G157))</f>
        <v>Karan Malhotra</v>
      </c>
      <c r="I157" t="s">
        <v>108</v>
      </c>
      <c r="J157" t="str">
        <f>PROPER(TRIM(I157))</f>
        <v>Corporate</v>
      </c>
      <c r="K157" t="s">
        <v>73</v>
      </c>
      <c r="L157" t="s">
        <v>28</v>
      </c>
      <c r="M157" t="s">
        <v>135</v>
      </c>
      <c r="N157" t="s">
        <v>45</v>
      </c>
      <c r="O157" t="str">
        <f>TRIM(N157)</f>
        <v>Furniture</v>
      </c>
      <c r="P157" t="s">
        <v>65</v>
      </c>
      <c r="Q157" t="s">
        <v>864</v>
      </c>
      <c r="R157" t="s">
        <v>48</v>
      </c>
      <c r="S157" t="s">
        <v>48</v>
      </c>
      <c r="T157">
        <v>3</v>
      </c>
      <c r="U157">
        <v>2859.32</v>
      </c>
      <c r="V157">
        <v>0.1</v>
      </c>
      <c r="W157">
        <v>7720.16</v>
      </c>
      <c r="X157">
        <v>5881</v>
      </c>
      <c r="Y157">
        <v>1839.16</v>
      </c>
      <c r="Z157" t="s">
        <v>124</v>
      </c>
      <c r="AA157" t="s">
        <v>125</v>
      </c>
    </row>
    <row r="158" spans="1:27">
      <c r="A158" t="s">
        <v>865</v>
      </c>
      <c r="B158" t="s">
        <v>866</v>
      </c>
      <c r="C158" t="s">
        <v>867</v>
      </c>
      <c r="D158"/>
      <c r="E158" s="7">
        <f>IF(OR(D158="Invalid",D158&lt;0),"",D158)</f>
        <v>0</v>
      </c>
      <c r="F158" t="s">
        <v>868</v>
      </c>
      <c r="G158" t="s">
        <v>83</v>
      </c>
      <c r="H158" t="str">
        <f>PROPER(TRIM(G158))</f>
        <v>Vikram Iyer</v>
      </c>
      <c r="I158" t="s">
        <v>41</v>
      </c>
      <c r="J158" t="str">
        <f>PROPER(TRIM(I158))</f>
        <v>Small Business</v>
      </c>
      <c r="K158" t="s">
        <v>42</v>
      </c>
      <c r="L158" t="s">
        <v>186</v>
      </c>
      <c r="M158" t="s">
        <v>187</v>
      </c>
      <c r="N158" t="s">
        <v>86</v>
      </c>
      <c r="O158" t="str">
        <f>TRIM(N158)</f>
        <v>Technology</v>
      </c>
      <c r="P158" t="s">
        <v>382</v>
      </c>
      <c r="Q158" t="s">
        <v>869</v>
      </c>
      <c r="R158" t="s">
        <v>33</v>
      </c>
      <c r="S158" t="s">
        <v>33</v>
      </c>
      <c r="T158">
        <v>7</v>
      </c>
      <c r="U158">
        <v>2305.37</v>
      </c>
      <c r="V158">
        <v>0.25</v>
      </c>
      <c r="W158">
        <v>12103.19</v>
      </c>
      <c r="X158">
        <v>6717.87</v>
      </c>
      <c r="Y158">
        <v>5385.32</v>
      </c>
      <c r="Z158" t="s">
        <v>34</v>
      </c>
      <c r="AA158" t="s">
        <v>35</v>
      </c>
    </row>
    <row r="159" spans="1:27">
      <c r="A159" t="s">
        <v>870</v>
      </c>
      <c r="B159" t="s">
        <v>871</v>
      </c>
      <c r="C159" t="s">
        <v>872</v>
      </c>
      <c r="D159"/>
      <c r="E159" s="7">
        <f>IF(OR(D159="Invalid",D159&lt;0),"",D159)</f>
        <v>0</v>
      </c>
      <c r="F159" t="s">
        <v>873</v>
      </c>
      <c r="G159" t="s">
        <v>180</v>
      </c>
      <c r="H159" t="str">
        <f>PROPER(TRIM(G159))</f>
        <v>Rohan Mehta</v>
      </c>
      <c r="I159" t="s">
        <v>41</v>
      </c>
      <c r="J159" t="str">
        <f>PROPER(TRIM(I159))</f>
        <v>Small Business</v>
      </c>
      <c r="K159" t="s">
        <v>62</v>
      </c>
      <c r="L159" t="s">
        <v>100</v>
      </c>
      <c r="M159" t="s">
        <v>101</v>
      </c>
      <c r="N159" t="s">
        <v>45</v>
      </c>
      <c r="O159" t="str">
        <f>TRIM(N159)</f>
        <v>Furniture</v>
      </c>
      <c r="P159" t="s">
        <v>204</v>
      </c>
      <c r="Q159" t="s">
        <v>874</v>
      </c>
      <c r="R159" t="s">
        <v>67</v>
      </c>
      <c r="S159" t="s">
        <v>67</v>
      </c>
      <c r="T159">
        <v>3</v>
      </c>
      <c r="U159">
        <v>915.84</v>
      </c>
      <c r="V159">
        <v>0.15</v>
      </c>
      <c r="W159">
        <v>2335.39</v>
      </c>
      <c r="X159">
        <v>1466.15</v>
      </c>
      <c r="Y159">
        <v>869.24</v>
      </c>
      <c r="Z159" t="s">
        <v>34</v>
      </c>
      <c r="AA159" t="s">
        <v>35</v>
      </c>
    </row>
    <row r="160" spans="1:27">
      <c r="A160" t="s">
        <v>875</v>
      </c>
      <c r="B160" t="s">
        <v>876</v>
      </c>
      <c r="C160" t="s">
        <v>877</v>
      </c>
      <c r="D160"/>
      <c r="E160" s="7">
        <f>IF(OR(D160="Invalid",D160&lt;0),"",D160)</f>
        <v>0</v>
      </c>
      <c r="F160" t="s">
        <v>878</v>
      </c>
      <c r="G160" t="s">
        <v>93</v>
      </c>
      <c r="H160" t="str">
        <f>PROPER(TRIM(G160))</f>
        <v>Neha Gupta</v>
      </c>
      <c r="I160" t="s">
        <v>115</v>
      </c>
      <c r="J160" t="str">
        <f>PROPER(TRIM(I160))</f>
        <v>Home Office</v>
      </c>
      <c r="K160" t="s">
        <v>62</v>
      </c>
      <c r="L160" t="s">
        <v>63</v>
      </c>
      <c r="M160" t="s">
        <v>64</v>
      </c>
      <c r="N160" t="s">
        <v>45</v>
      </c>
      <c r="O160" t="str">
        <f>TRIM(N160)</f>
        <v>Furniture</v>
      </c>
      <c r="P160" t="s">
        <v>204</v>
      </c>
      <c r="Q160" t="s">
        <v>879</v>
      </c>
      <c r="R160" t="s">
        <v>56</v>
      </c>
      <c r="S160" t="s">
        <v>56</v>
      </c>
      <c r="T160">
        <v>1</v>
      </c>
      <c r="U160">
        <v>4199.54</v>
      </c>
      <c r="V160">
        <v>0.05</v>
      </c>
      <c r="W160">
        <v>3989.56</v>
      </c>
      <c r="X160">
        <v>2381.38</v>
      </c>
      <c r="Y160">
        <v>1608.18</v>
      </c>
      <c r="Z160" t="s">
        <v>34</v>
      </c>
      <c r="AA160" t="s">
        <v>35</v>
      </c>
    </row>
    <row r="161" spans="1:27">
      <c r="A161" t="s">
        <v>880</v>
      </c>
      <c r="B161" t="s">
        <v>881</v>
      </c>
      <c r="C161" t="s">
        <v>882</v>
      </c>
      <c r="D161"/>
      <c r="E161" s="7">
        <f>IF(OR(D161="Invalid",D161&lt;0),"",D161)</f>
        <v>0</v>
      </c>
      <c r="F161" t="s">
        <v>883</v>
      </c>
      <c r="G161" t="s">
        <v>142</v>
      </c>
      <c r="H161" t="str">
        <f>PROPER(TRIM(G161))</f>
        <v>Priya Menon</v>
      </c>
      <c r="I161" t="s">
        <v>108</v>
      </c>
      <c r="J161" t="str">
        <f>PROPER(TRIM(I161))</f>
        <v>Corporate</v>
      </c>
      <c r="K161" t="s">
        <v>27</v>
      </c>
      <c r="L161" t="s">
        <v>323</v>
      </c>
      <c r="M161" t="s">
        <v>324</v>
      </c>
      <c r="N161" t="s">
        <v>45</v>
      </c>
      <c r="O161" t="str">
        <f>TRIM(N161)</f>
        <v>Furniture</v>
      </c>
      <c r="P161" t="s">
        <v>76</v>
      </c>
      <c r="Q161" t="s">
        <v>884</v>
      </c>
      <c r="R161" t="s">
        <v>48</v>
      </c>
      <c r="S161" t="s">
        <v>48</v>
      </c>
      <c r="T161">
        <v>9</v>
      </c>
      <c r="U161">
        <v>4430.5</v>
      </c>
      <c r="V161">
        <v>0.15</v>
      </c>
      <c r="W161">
        <v>33893.32</v>
      </c>
      <c r="X161">
        <v>25750.35</v>
      </c>
      <c r="Y161">
        <v>8142.97</v>
      </c>
      <c r="Z161" t="s">
        <v>137</v>
      </c>
      <c r="AA161" t="s">
        <v>78</v>
      </c>
    </row>
    <row r="162" spans="1:27">
      <c r="A162" t="s">
        <v>885</v>
      </c>
      <c r="B162" t="s">
        <v>886</v>
      </c>
      <c r="C162" t="s">
        <v>887</v>
      </c>
      <c r="D162"/>
      <c r="E162" s="7">
        <f>IF(OR(D162="Invalid",D162&lt;0),"",D162)</f>
        <v>0</v>
      </c>
      <c r="F162" t="s">
        <v>888</v>
      </c>
      <c r="G162" t="s">
        <v>83</v>
      </c>
      <c r="H162" t="str">
        <f>PROPER(TRIM(G162))</f>
        <v>Vikram Iyer</v>
      </c>
      <c r="I162" t="s">
        <v>41</v>
      </c>
      <c r="J162" t="str">
        <f>PROPER(TRIM(I162))</f>
        <v>Small Business</v>
      </c>
      <c r="K162" t="s">
        <v>73</v>
      </c>
      <c r="L162" t="s">
        <v>74</v>
      </c>
      <c r="M162" t="s">
        <v>75</v>
      </c>
      <c r="N162" t="s">
        <v>30</v>
      </c>
      <c r="O162" t="str">
        <f>TRIM(N162)</f>
        <v>Office Supplies</v>
      </c>
      <c r="P162" t="s">
        <v>31</v>
      </c>
      <c r="Q162" t="s">
        <v>889</v>
      </c>
      <c r="R162" t="s">
        <v>33</v>
      </c>
      <c r="S162" t="s">
        <v>33</v>
      </c>
      <c r="T162">
        <v>4</v>
      </c>
      <c r="U162">
        <v>1260.42</v>
      </c>
      <c r="V162">
        <v>0.05</v>
      </c>
      <c r="W162">
        <v>4789.6000000000004</v>
      </c>
      <c r="X162">
        <v>4037.64</v>
      </c>
      <c r="Y162">
        <v>751.96</v>
      </c>
      <c r="Z162" t="s">
        <v>137</v>
      </c>
      <c r="AA162" t="s">
        <v>78</v>
      </c>
    </row>
    <row r="163" spans="1:27">
      <c r="A163" t="s">
        <v>890</v>
      </c>
      <c r="B163" t="s">
        <v>891</v>
      </c>
      <c r="C163" t="s">
        <v>892</v>
      </c>
      <c r="D163"/>
      <c r="E163" s="7">
        <f>IF(OR(D163="Invalid",D163&lt;0),"",D163)</f>
        <v>0</v>
      </c>
      <c r="F163" t="s">
        <v>893</v>
      </c>
      <c r="G163" t="s">
        <v>61</v>
      </c>
      <c r="H163" t="str">
        <f>PROPER(TRIM(G163))</f>
        <v>Arjun Bose</v>
      </c>
      <c r="I163" t="s">
        <v>894</v>
      </c>
      <c r="J163" t="str">
        <f>PROPER(TRIM(I163))</f>
        <v>Consumer</v>
      </c>
      <c r="K163" t="s">
        <v>73</v>
      </c>
      <c r="L163" t="s">
        <v>28</v>
      </c>
      <c r="M163" t="s">
        <v>135</v>
      </c>
      <c r="N163" t="s">
        <v>30</v>
      </c>
      <c r="O163" t="str">
        <f>TRIM(N163)</f>
        <v>Office Supplies</v>
      </c>
      <c r="P163" t="s">
        <v>198</v>
      </c>
      <c r="Q163" t="s">
        <v>895</v>
      </c>
      <c r="R163" t="s">
        <v>67</v>
      </c>
      <c r="S163" t="s">
        <v>67</v>
      </c>
      <c r="T163">
        <v>1</v>
      </c>
      <c r="U163">
        <v>1643.41</v>
      </c>
      <c r="V163">
        <v>0</v>
      </c>
      <c r="W163">
        <v>1643.41</v>
      </c>
      <c r="X163">
        <v>907.4</v>
      </c>
      <c r="Y163">
        <v>736.01</v>
      </c>
      <c r="Z163" t="s">
        <v>137</v>
      </c>
      <c r="AA163" t="s">
        <v>78</v>
      </c>
    </row>
    <row r="164" spans="1:27">
      <c r="A164" t="s">
        <v>896</v>
      </c>
      <c r="B164" t="s">
        <v>897</v>
      </c>
      <c r="C164" t="s">
        <v>898</v>
      </c>
      <c r="D164"/>
      <c r="E164" s="7">
        <f>IF(OR(D164="Invalid",D164&lt;0),"",D164)</f>
        <v>0</v>
      </c>
      <c r="F164" t="s">
        <v>899</v>
      </c>
      <c r="G164" t="s">
        <v>93</v>
      </c>
      <c r="H164" t="str">
        <f>PROPER(TRIM(G164))</f>
        <v>Neha Gupta</v>
      </c>
      <c r="I164" t="s">
        <v>41</v>
      </c>
      <c r="J164" t="str">
        <f>PROPER(TRIM(I164))</f>
        <v>Small Business</v>
      </c>
      <c r="K164" t="s">
        <v>73</v>
      </c>
      <c r="L164" t="s">
        <v>249</v>
      </c>
      <c r="M164" t="s">
        <v>250</v>
      </c>
      <c r="N164" t="s">
        <v>45</v>
      </c>
      <c r="O164" t="str">
        <f>TRIM(N164)</f>
        <v>Furniture</v>
      </c>
      <c r="P164" t="s">
        <v>65</v>
      </c>
      <c r="Q164" t="s">
        <v>900</v>
      </c>
      <c r="R164" t="s">
        <v>33</v>
      </c>
      <c r="S164" t="s">
        <v>33</v>
      </c>
      <c r="T164">
        <v>8</v>
      </c>
      <c r="U164">
        <v>4472.84</v>
      </c>
      <c r="V164">
        <v>0</v>
      </c>
      <c r="W164">
        <v>35997.620000000003</v>
      </c>
      <c r="X164">
        <v>26424.41</v>
      </c>
      <c r="Y164">
        <v>9358.31</v>
      </c>
      <c r="Z164" t="s">
        <v>137</v>
      </c>
      <c r="AA164" t="s">
        <v>125</v>
      </c>
    </row>
    <row r="165" spans="1:27">
      <c r="A165" t="s">
        <v>901</v>
      </c>
      <c r="B165" t="s">
        <v>902</v>
      </c>
      <c r="C165" t="s">
        <v>725</v>
      </c>
      <c r="D165"/>
      <c r="E165" s="7">
        <f>IF(OR(D165="Invalid",D165&lt;0),"",D165)</f>
        <v>0</v>
      </c>
      <c r="F165" t="s">
        <v>903</v>
      </c>
      <c r="G165" t="s">
        <v>180</v>
      </c>
      <c r="H165" t="str">
        <f>PROPER(TRIM(G165))</f>
        <v>Rohan Mehta</v>
      </c>
      <c r="I165" t="s">
        <v>115</v>
      </c>
      <c r="J165" t="str">
        <f>PROPER(TRIM(I165))</f>
        <v>Home Office</v>
      </c>
      <c r="K165" t="s">
        <v>73</v>
      </c>
      <c r="L165" t="s">
        <v>235</v>
      </c>
      <c r="M165" t="s">
        <v>236</v>
      </c>
      <c r="N165" t="s">
        <v>45</v>
      </c>
      <c r="O165" t="str">
        <f>TRIM(N165)</f>
        <v>Furniture</v>
      </c>
      <c r="P165" t="s">
        <v>46</v>
      </c>
      <c r="Q165" t="s">
        <v>904</v>
      </c>
      <c r="R165" t="s">
        <v>4124</v>
      </c>
      <c r="S165" t="s">
        <v>4111</v>
      </c>
      <c r="T165">
        <v>6</v>
      </c>
      <c r="U165">
        <v>2903.58</v>
      </c>
      <c r="V165">
        <v>0.1</v>
      </c>
      <c r="W165">
        <v>15679.33</v>
      </c>
      <c r="X165">
        <v>12477.82</v>
      </c>
      <c r="Y165">
        <v>3201.51</v>
      </c>
      <c r="Z165" t="s">
        <v>137</v>
      </c>
      <c r="AA165" t="s">
        <v>125</v>
      </c>
    </row>
    <row r="166" spans="1:27">
      <c r="A166" t="s">
        <v>905</v>
      </c>
      <c r="B166" t="s">
        <v>906</v>
      </c>
      <c r="C166" t="s">
        <v>907</v>
      </c>
      <c r="D166"/>
      <c r="E166" s="7">
        <f>IF(OR(D166="Invalid",D166&lt;0),"",D166)</f>
        <v>0</v>
      </c>
      <c r="F166" t="s">
        <v>908</v>
      </c>
      <c r="G166" t="s">
        <v>148</v>
      </c>
      <c r="H166" t="str">
        <f>PROPER(TRIM(G166))</f>
        <v>Rahul Verma</v>
      </c>
      <c r="I166" t="s">
        <v>41</v>
      </c>
      <c r="J166" t="str">
        <f>PROPER(TRIM(I166))</f>
        <v>Small Business</v>
      </c>
      <c r="K166" t="s">
        <v>42</v>
      </c>
      <c r="L166" t="s">
        <v>121</v>
      </c>
      <c r="M166" t="s">
        <v>122</v>
      </c>
      <c r="N166" t="s">
        <v>45</v>
      </c>
      <c r="O166" t="str">
        <f>TRIM(N166)</f>
        <v>Furniture</v>
      </c>
      <c r="P166" t="s">
        <v>204</v>
      </c>
      <c r="Q166" t="s">
        <v>909</v>
      </c>
      <c r="R166" t="s">
        <v>33</v>
      </c>
      <c r="S166" t="s">
        <v>33</v>
      </c>
      <c r="T166">
        <v>1</v>
      </c>
      <c r="U166">
        <v>3154.42</v>
      </c>
      <c r="V166">
        <v>0.25</v>
      </c>
      <c r="W166">
        <v>2365.8200000000002</v>
      </c>
      <c r="X166">
        <v>1547.99</v>
      </c>
      <c r="Y166">
        <v>817.83</v>
      </c>
      <c r="Z166" t="s">
        <v>34</v>
      </c>
      <c r="AA166" t="s">
        <v>35</v>
      </c>
    </row>
    <row r="167" spans="1:27">
      <c r="A167" t="s">
        <v>910</v>
      </c>
      <c r="B167" t="s">
        <v>911</v>
      </c>
      <c r="C167" t="s">
        <v>912</v>
      </c>
      <c r="D167"/>
      <c r="E167" s="7">
        <f>IF(OR(D167="Invalid",D167&lt;0),"",D167)</f>
        <v>0</v>
      </c>
      <c r="F167" t="s">
        <v>913</v>
      </c>
      <c r="G167" t="s">
        <v>40</v>
      </c>
      <c r="H167" t="str">
        <f>PROPER(TRIM(G167))</f>
        <v>Mira Das</v>
      </c>
      <c r="I167" t="s">
        <v>115</v>
      </c>
      <c r="J167" t="str">
        <f>PROPER(TRIM(I167))</f>
        <v>Home Office</v>
      </c>
      <c r="K167" t="s">
        <v>42</v>
      </c>
      <c r="L167" t="s">
        <v>186</v>
      </c>
      <c r="M167" t="s">
        <v>187</v>
      </c>
      <c r="N167" t="s">
        <v>45</v>
      </c>
      <c r="O167" t="str">
        <f>TRIM(N167)</f>
        <v>Furniture</v>
      </c>
      <c r="P167" t="s">
        <v>76</v>
      </c>
      <c r="Q167" t="s">
        <v>914</v>
      </c>
      <c r="R167" t="s">
        <v>67</v>
      </c>
      <c r="S167" t="s">
        <v>67</v>
      </c>
      <c r="T167">
        <v>4</v>
      </c>
      <c r="U167">
        <v>3422.99</v>
      </c>
      <c r="V167">
        <v>0.25</v>
      </c>
      <c r="W167">
        <v>10268.969999999999</v>
      </c>
      <c r="X167">
        <v>6470.92</v>
      </c>
      <c r="Y167">
        <v>3798.05</v>
      </c>
      <c r="Z167" t="s">
        <v>34</v>
      </c>
      <c r="AA167" t="s">
        <v>35</v>
      </c>
    </row>
    <row r="168" spans="1:27">
      <c r="A168" t="s">
        <v>915</v>
      </c>
      <c r="B168" t="s">
        <v>916</v>
      </c>
      <c r="C168" t="s">
        <v>98</v>
      </c>
      <c r="D168"/>
      <c r="E168" s="7">
        <f>IF(OR(D168="Invalid",D168&lt;0),"",D168)</f>
        <v>0</v>
      </c>
      <c r="F168" t="s">
        <v>917</v>
      </c>
      <c r="G168" t="s">
        <v>25</v>
      </c>
      <c r="H168" t="str">
        <f>PROPER(TRIM(G168))</f>
        <v>Karan Malhotra</v>
      </c>
      <c r="I168" t="s">
        <v>41</v>
      </c>
      <c r="J168" t="str">
        <f>PROPER(TRIM(I168))</f>
        <v>Small Business</v>
      </c>
      <c r="K168" t="s">
        <v>73</v>
      </c>
      <c r="L168" t="s">
        <v>235</v>
      </c>
      <c r="M168" t="s">
        <v>236</v>
      </c>
      <c r="N168" t="s">
        <v>918</v>
      </c>
      <c r="O168" t="str">
        <f>TRIM(N168)</f>
        <v>OFFICE SUPPLIES</v>
      </c>
      <c r="P168" t="s">
        <v>109</v>
      </c>
      <c r="Q168" t="s">
        <v>919</v>
      </c>
      <c r="R168" t="s">
        <v>56</v>
      </c>
      <c r="S168" t="s">
        <v>56</v>
      </c>
      <c r="T168">
        <v>1</v>
      </c>
      <c r="U168">
        <v>2557.85</v>
      </c>
      <c r="V168">
        <v>0.2</v>
      </c>
      <c r="W168">
        <v>2046.28</v>
      </c>
      <c r="X168">
        <v>1449.54</v>
      </c>
      <c r="Y168">
        <v>596.74</v>
      </c>
      <c r="Z168" t="s">
        <v>34</v>
      </c>
      <c r="AA168" t="s">
        <v>35</v>
      </c>
    </row>
    <row r="169" spans="1:27">
      <c r="A169" t="s">
        <v>920</v>
      </c>
      <c r="B169" t="s">
        <v>921</v>
      </c>
      <c r="C169" t="s">
        <v>922</v>
      </c>
      <c r="D169"/>
      <c r="E169" s="7">
        <f>IF(OR(D169="Invalid",D169&lt;0),"",D169)</f>
        <v>0</v>
      </c>
      <c r="F169" t="s">
        <v>923</v>
      </c>
      <c r="G169" t="s">
        <v>61</v>
      </c>
      <c r="H169" t="str">
        <f>PROPER(TRIM(G169))</f>
        <v>Arjun Bose</v>
      </c>
      <c r="I169" t="s">
        <v>115</v>
      </c>
      <c r="J169" t="str">
        <f>PROPER(TRIM(I169))</f>
        <v>Home Office</v>
      </c>
      <c r="K169" t="s">
        <v>62</v>
      </c>
      <c r="L169" t="s">
        <v>229</v>
      </c>
      <c r="M169" t="s">
        <v>230</v>
      </c>
      <c r="N169" t="s">
        <v>30</v>
      </c>
      <c r="O169" t="str">
        <f>TRIM(N169)</f>
        <v>Office Supplies</v>
      </c>
      <c r="P169" t="s">
        <v>156</v>
      </c>
      <c r="Q169" t="s">
        <v>924</v>
      </c>
      <c r="R169" t="s">
        <v>56</v>
      </c>
      <c r="S169" t="s">
        <v>56</v>
      </c>
      <c r="T169">
        <v>9</v>
      </c>
      <c r="U169">
        <v>3030.93</v>
      </c>
      <c r="V169">
        <v>0.15</v>
      </c>
      <c r="W169">
        <v>23186.61</v>
      </c>
      <c r="X169">
        <v>17906.54</v>
      </c>
      <c r="Y169">
        <v>5280.07</v>
      </c>
      <c r="Z169" t="s">
        <v>34</v>
      </c>
      <c r="AA169" t="s">
        <v>125</v>
      </c>
    </row>
    <row r="170" spans="1:27">
      <c r="A170" t="s">
        <v>925</v>
      </c>
      <c r="B170" t="s">
        <v>926</v>
      </c>
      <c r="C170" t="s">
        <v>184</v>
      </c>
      <c r="D170"/>
      <c r="E170" s="7">
        <f>IF(OR(D170="Invalid",D170&lt;0),"",D170)</f>
        <v>0</v>
      </c>
      <c r="F170" t="s">
        <v>927</v>
      </c>
      <c r="G170" t="s">
        <v>366</v>
      </c>
      <c r="H170" t="str">
        <f>PROPER(TRIM(G170))</f>
        <v>Kabir Singh</v>
      </c>
      <c r="I170" t="s">
        <v>26</v>
      </c>
      <c r="J170" t="str">
        <f>PROPER(TRIM(I170))</f>
        <v>Consumer</v>
      </c>
      <c r="K170" t="s">
        <v>73</v>
      </c>
      <c r="L170" t="s">
        <v>74</v>
      </c>
      <c r="M170" t="s">
        <v>75</v>
      </c>
      <c r="N170" t="s">
        <v>86</v>
      </c>
      <c r="O170" t="str">
        <f>TRIM(N170)</f>
        <v>Technology</v>
      </c>
      <c r="P170" t="s">
        <v>87</v>
      </c>
      <c r="Q170" t="s">
        <v>928</v>
      </c>
      <c r="R170" t="s">
        <v>48</v>
      </c>
      <c r="S170" t="s">
        <v>48</v>
      </c>
      <c r="T170">
        <v>5</v>
      </c>
      <c r="U170">
        <v>639.27</v>
      </c>
      <c r="V170">
        <v>0.2</v>
      </c>
      <c r="W170">
        <v>2557.08</v>
      </c>
      <c r="X170">
        <v>2025.69</v>
      </c>
      <c r="Y170">
        <v>531.39</v>
      </c>
      <c r="Z170" t="s">
        <v>34</v>
      </c>
      <c r="AA170" t="s">
        <v>78</v>
      </c>
    </row>
    <row r="171" spans="1:27">
      <c r="A171" t="s">
        <v>929</v>
      </c>
      <c r="B171" t="s">
        <v>930</v>
      </c>
      <c r="C171" t="s">
        <v>931</v>
      </c>
      <c r="D171"/>
      <c r="E171" s="7">
        <f>IF(OR(D171="Invalid",D171&lt;0),"",D171)</f>
        <v>0</v>
      </c>
      <c r="F171" t="s">
        <v>932</v>
      </c>
      <c r="G171" t="s">
        <v>210</v>
      </c>
      <c r="H171" t="str">
        <f>PROPER(TRIM(G171))</f>
        <v>Diya Patel</v>
      </c>
      <c r="I171" t="s">
        <v>26</v>
      </c>
      <c r="J171" t="str">
        <f>PROPER(TRIM(I171))</f>
        <v>Consumer</v>
      </c>
      <c r="K171" t="s">
        <v>42</v>
      </c>
      <c r="L171" t="s">
        <v>216</v>
      </c>
      <c r="M171" t="s">
        <v>217</v>
      </c>
      <c r="N171" t="s">
        <v>30</v>
      </c>
      <c r="O171" t="str">
        <f>TRIM(N171)</f>
        <v>Office Supplies</v>
      </c>
      <c r="P171" t="s">
        <v>54</v>
      </c>
      <c r="Q171" t="s">
        <v>933</v>
      </c>
      <c r="R171" t="s">
        <v>67</v>
      </c>
      <c r="S171" t="s">
        <v>67</v>
      </c>
      <c r="T171">
        <v>8</v>
      </c>
      <c r="U171">
        <v>733.9</v>
      </c>
      <c r="V171">
        <v>0.05</v>
      </c>
      <c r="W171">
        <v>5577.64</v>
      </c>
      <c r="X171">
        <v>3541.29</v>
      </c>
      <c r="Y171">
        <v>2036.35</v>
      </c>
      <c r="Z171" t="s">
        <v>137</v>
      </c>
      <c r="AA171" t="s">
        <v>125</v>
      </c>
    </row>
    <row r="172" spans="1:27">
      <c r="A172" t="s">
        <v>934</v>
      </c>
      <c r="B172" t="s">
        <v>112</v>
      </c>
      <c r="C172" t="s">
        <v>935</v>
      </c>
      <c r="D172"/>
      <c r="E172" s="7">
        <f>IF(OR(D172="Invalid",D172&lt;0),"",D172)</f>
        <v>0</v>
      </c>
      <c r="F172" t="s">
        <v>936</v>
      </c>
      <c r="G172" t="s">
        <v>180</v>
      </c>
      <c r="H172" t="str">
        <f>PROPER(TRIM(G172))</f>
        <v>Rohan Mehta</v>
      </c>
      <c r="I172" t="s">
        <v>108</v>
      </c>
      <c r="J172" t="str">
        <f>PROPER(TRIM(I172))</f>
        <v>Corporate</v>
      </c>
      <c r="K172" t="s">
        <v>42</v>
      </c>
      <c r="L172" t="s">
        <v>186</v>
      </c>
      <c r="M172" t="s">
        <v>187</v>
      </c>
      <c r="N172" t="s">
        <v>86</v>
      </c>
      <c r="O172" t="str">
        <f>TRIM(N172)</f>
        <v>Technology</v>
      </c>
      <c r="P172" t="s">
        <v>94</v>
      </c>
      <c r="Q172" t="s">
        <v>937</v>
      </c>
      <c r="R172" t="s">
        <v>67</v>
      </c>
      <c r="S172" t="s">
        <v>67</v>
      </c>
      <c r="T172">
        <v>3</v>
      </c>
      <c r="U172">
        <v>1711.32</v>
      </c>
      <c r="V172">
        <v>0</v>
      </c>
      <c r="W172">
        <v>5133.96</v>
      </c>
      <c r="X172">
        <v>3930</v>
      </c>
      <c r="Y172">
        <v>1203.96</v>
      </c>
      <c r="Z172" t="s">
        <v>34</v>
      </c>
      <c r="AA172" t="s">
        <v>35</v>
      </c>
    </row>
    <row r="173" spans="1:27">
      <c r="A173" t="s">
        <v>938</v>
      </c>
      <c r="B173" t="s">
        <v>97</v>
      </c>
      <c r="C173" t="s">
        <v>939</v>
      </c>
      <c r="D173"/>
      <c r="E173" s="7">
        <f>IF(OR(D173="Invalid",D173&lt;0),"",D173)</f>
        <v>0</v>
      </c>
      <c r="F173" t="s">
        <v>940</v>
      </c>
      <c r="G173" t="s">
        <v>25</v>
      </c>
      <c r="H173" t="str">
        <f>PROPER(TRIM(G173))</f>
        <v>Karan Malhotra</v>
      </c>
      <c r="I173" t="s">
        <v>108</v>
      </c>
      <c r="J173" t="str">
        <f>PROPER(TRIM(I173))</f>
        <v>Corporate</v>
      </c>
      <c r="K173" t="s">
        <v>42</v>
      </c>
      <c r="L173" t="s">
        <v>186</v>
      </c>
      <c r="M173" t="s">
        <v>187</v>
      </c>
      <c r="N173" t="s">
        <v>30</v>
      </c>
      <c r="O173" t="str">
        <f>TRIM(N173)</f>
        <v>Office Supplies</v>
      </c>
      <c r="P173" t="s">
        <v>109</v>
      </c>
      <c r="Q173" t="s">
        <v>941</v>
      </c>
      <c r="R173" t="s">
        <v>48</v>
      </c>
      <c r="S173" t="s">
        <v>48</v>
      </c>
      <c r="T173">
        <v>5</v>
      </c>
      <c r="U173">
        <v>4246.2700000000004</v>
      </c>
      <c r="V173">
        <v>0.25</v>
      </c>
      <c r="W173">
        <v>15923.51</v>
      </c>
      <c r="X173">
        <v>11291.8</v>
      </c>
      <c r="Y173">
        <v>4631.71</v>
      </c>
      <c r="Z173" t="s">
        <v>34</v>
      </c>
      <c r="AA173" t="s">
        <v>35</v>
      </c>
    </row>
    <row r="174" spans="1:27">
      <c r="A174" t="s">
        <v>942</v>
      </c>
      <c r="B174" t="s">
        <v>943</v>
      </c>
      <c r="C174" t="s">
        <v>944</v>
      </c>
      <c r="D174"/>
      <c r="E174" s="7">
        <f>IF(OR(D174="Invalid",D174&lt;0),"",D174)</f>
        <v>0</v>
      </c>
      <c r="F174" t="s">
        <v>945</v>
      </c>
      <c r="G174" t="s">
        <v>25</v>
      </c>
      <c r="H174" t="str">
        <f>PROPER(TRIM(G174))</f>
        <v>Karan Malhotra</v>
      </c>
      <c r="I174" t="s">
        <v>108</v>
      </c>
      <c r="J174" t="str">
        <f>PROPER(TRIM(I174))</f>
        <v>Corporate</v>
      </c>
      <c r="K174" t="s">
        <v>27</v>
      </c>
      <c r="L174" t="s">
        <v>506</v>
      </c>
      <c r="M174" t="s">
        <v>507</v>
      </c>
      <c r="N174" t="s">
        <v>45</v>
      </c>
      <c r="O174" t="str">
        <f>TRIM(N174)</f>
        <v>Furniture</v>
      </c>
      <c r="P174" t="s">
        <v>65</v>
      </c>
      <c r="Q174" t="s">
        <v>946</v>
      </c>
      <c r="R174" t="s">
        <v>48</v>
      </c>
      <c r="S174" t="s">
        <v>48</v>
      </c>
      <c r="T174">
        <v>9</v>
      </c>
      <c r="U174">
        <v>2962.62</v>
      </c>
      <c r="V174">
        <v>0.1</v>
      </c>
      <c r="W174">
        <v>23997.22</v>
      </c>
      <c r="X174">
        <v>16134.63</v>
      </c>
      <c r="Y174">
        <v>7862.59</v>
      </c>
      <c r="Z174" t="s">
        <v>124</v>
      </c>
      <c r="AA174" t="s">
        <v>125</v>
      </c>
    </row>
    <row r="175" spans="1:27">
      <c r="A175" t="s">
        <v>947</v>
      </c>
      <c r="B175" t="s">
        <v>948</v>
      </c>
      <c r="C175" t="s">
        <v>949</v>
      </c>
      <c r="D175"/>
      <c r="E175" s="7">
        <f>IF(OR(D175="Invalid",D175&lt;0),"",D175)</f>
        <v>0</v>
      </c>
      <c r="F175" t="s">
        <v>950</v>
      </c>
      <c r="G175" t="s">
        <v>951</v>
      </c>
      <c r="H175" t="str">
        <f>PROPER(TRIM(G175))</f>
        <v>Priya Menon</v>
      </c>
      <c r="I175" t="s">
        <v>115</v>
      </c>
      <c r="J175" t="str">
        <f>PROPER(TRIM(I175))</f>
        <v>Home Office</v>
      </c>
      <c r="K175" t="s">
        <v>27</v>
      </c>
      <c r="L175" t="s">
        <v>154</v>
      </c>
      <c r="M175" t="s">
        <v>155</v>
      </c>
      <c r="N175" t="s">
        <v>86</v>
      </c>
      <c r="O175" t="str">
        <f>TRIM(N175)</f>
        <v>Technology</v>
      </c>
      <c r="P175" t="s">
        <v>94</v>
      </c>
      <c r="Q175" t="s">
        <v>952</v>
      </c>
      <c r="R175" t="s">
        <v>33</v>
      </c>
      <c r="S175" t="s">
        <v>33</v>
      </c>
      <c r="T175">
        <v>1</v>
      </c>
      <c r="U175">
        <v>2312.25</v>
      </c>
      <c r="V175">
        <v>0.25</v>
      </c>
      <c r="W175">
        <v>1734.19</v>
      </c>
      <c r="X175">
        <v>1386.07</v>
      </c>
      <c r="Y175">
        <v>348.12</v>
      </c>
      <c r="Z175" t="s">
        <v>34</v>
      </c>
      <c r="AA175" t="s">
        <v>35</v>
      </c>
    </row>
    <row r="176" spans="1:27">
      <c r="A176" t="s">
        <v>953</v>
      </c>
      <c r="B176" t="s">
        <v>954</v>
      </c>
      <c r="C176" t="s">
        <v>955</v>
      </c>
      <c r="D176"/>
      <c r="E176" s="7">
        <f>IF(OR(D176="Invalid",D176&lt;0),"",D176)</f>
        <v>0</v>
      </c>
      <c r="F176" t="s">
        <v>956</v>
      </c>
      <c r="G176" t="s">
        <v>25</v>
      </c>
      <c r="H176" t="str">
        <f>PROPER(TRIM(G176))</f>
        <v>Karan Malhotra</v>
      </c>
      <c r="I176" t="s">
        <v>41</v>
      </c>
      <c r="J176" t="str">
        <f>PROPER(TRIM(I176))</f>
        <v>Small Business</v>
      </c>
      <c r="K176" t="s">
        <v>62</v>
      </c>
      <c r="L176" t="s">
        <v>229</v>
      </c>
      <c r="M176" t="s">
        <v>230</v>
      </c>
      <c r="N176" t="s">
        <v>45</v>
      </c>
      <c r="O176" t="str">
        <f>TRIM(N176)</f>
        <v>Furniture</v>
      </c>
      <c r="P176" t="s">
        <v>204</v>
      </c>
      <c r="Q176" t="s">
        <v>957</v>
      </c>
      <c r="R176" t="s">
        <v>56</v>
      </c>
      <c r="S176" t="s">
        <v>56</v>
      </c>
      <c r="T176">
        <v>6</v>
      </c>
      <c r="U176">
        <v>1620.53</v>
      </c>
      <c r="V176">
        <v>0.15</v>
      </c>
      <c r="W176">
        <v>8264.7000000000007</v>
      </c>
      <c r="X176">
        <v>4768.75</v>
      </c>
      <c r="Y176">
        <v>3495.95</v>
      </c>
      <c r="Z176" t="s">
        <v>137</v>
      </c>
      <c r="AA176" t="s">
        <v>125</v>
      </c>
    </row>
    <row r="177" spans="1:27">
      <c r="A177" t="s">
        <v>958</v>
      </c>
      <c r="B177" t="s">
        <v>742</v>
      </c>
      <c r="C177" t="s">
        <v>959</v>
      </c>
      <c r="D177"/>
      <c r="E177" s="7">
        <f>IF(OR(D177="Invalid",D177&lt;0),"",D177)</f>
        <v>0</v>
      </c>
      <c r="F177" t="s">
        <v>960</v>
      </c>
      <c r="G177" t="s">
        <v>61</v>
      </c>
      <c r="H177" t="str">
        <f>PROPER(TRIM(G177))</f>
        <v>Arjun Bose</v>
      </c>
      <c r="I177" t="s">
        <v>41</v>
      </c>
      <c r="J177" t="str">
        <f>PROPER(TRIM(I177))</f>
        <v>Small Business</v>
      </c>
      <c r="K177" t="s">
        <v>42</v>
      </c>
      <c r="L177" t="s">
        <v>186</v>
      </c>
      <c r="M177" t="s">
        <v>187</v>
      </c>
      <c r="N177" t="s">
        <v>86</v>
      </c>
      <c r="O177" t="str">
        <f>TRIM(N177)</f>
        <v>Technology</v>
      </c>
      <c r="P177" t="s">
        <v>382</v>
      </c>
      <c r="Q177" t="s">
        <v>961</v>
      </c>
      <c r="R177" t="s">
        <v>48</v>
      </c>
      <c r="S177" t="s">
        <v>48</v>
      </c>
      <c r="T177">
        <v>7</v>
      </c>
      <c r="U177">
        <v>2673.42</v>
      </c>
      <c r="V177">
        <v>0.15</v>
      </c>
      <c r="W177">
        <v>15906.85</v>
      </c>
      <c r="X177">
        <v>11014.46</v>
      </c>
      <c r="Y177">
        <v>4892.3900000000003</v>
      </c>
      <c r="Z177" t="s">
        <v>34</v>
      </c>
      <c r="AA177" t="s">
        <v>125</v>
      </c>
    </row>
    <row r="178" spans="1:27">
      <c r="A178" t="s">
        <v>962</v>
      </c>
      <c r="B178" t="s">
        <v>963</v>
      </c>
      <c r="C178" t="s">
        <v>964</v>
      </c>
      <c r="D178"/>
      <c r="E178" s="7">
        <f>IF(OR(D178="Invalid",D178&lt;0),"",D178)</f>
        <v>0</v>
      </c>
      <c r="F178" t="s">
        <v>965</v>
      </c>
      <c r="G178" t="s">
        <v>83</v>
      </c>
      <c r="H178" t="str">
        <f>PROPER(TRIM(G178))</f>
        <v>Vikram Iyer</v>
      </c>
      <c r="I178" t="s">
        <v>108</v>
      </c>
      <c r="J178" t="str">
        <f>PROPER(TRIM(I178))</f>
        <v>Corporate</v>
      </c>
      <c r="K178" t="s">
        <v>42</v>
      </c>
      <c r="L178" t="s">
        <v>311</v>
      </c>
      <c r="M178" t="s">
        <v>312</v>
      </c>
      <c r="N178" t="s">
        <v>45</v>
      </c>
      <c r="O178" t="str">
        <f>TRIM(N178)</f>
        <v>Furniture</v>
      </c>
      <c r="P178" t="s">
        <v>204</v>
      </c>
      <c r="Q178" t="s">
        <v>966</v>
      </c>
      <c r="R178" t="s">
        <v>67</v>
      </c>
      <c r="S178" t="s">
        <v>67</v>
      </c>
      <c r="T178">
        <v>8</v>
      </c>
      <c r="U178">
        <v>3563.09</v>
      </c>
      <c r="V178">
        <v>0.15</v>
      </c>
      <c r="W178">
        <v>24229.01</v>
      </c>
      <c r="X178">
        <v>13910.64</v>
      </c>
      <c r="Y178">
        <v>10318.370000000001</v>
      </c>
      <c r="Z178" t="s">
        <v>34</v>
      </c>
      <c r="AA178" t="s">
        <v>35</v>
      </c>
    </row>
    <row r="179" spans="1:27">
      <c r="A179" t="s">
        <v>967</v>
      </c>
      <c r="B179" s="4" t="s">
        <v>968</v>
      </c>
      <c r="C179" s="4" t="s">
        <v>969</v>
      </c>
      <c r="D179" s="4" t="str">
        <f>IF(C67&lt;B67,"Invalid","OK")</f>
        <v>Invalid</v>
      </c>
      <c r="E179" s="7" t="str">
        <f>IF(OR(D179="Invalid",D179&lt;0),"",D179)</f>
        <v/>
      </c>
      <c r="F179" t="s">
        <v>970</v>
      </c>
      <c r="G179" t="s">
        <v>168</v>
      </c>
      <c r="H179" t="str">
        <f>PROPER(TRIM(G179))</f>
        <v>Sneha Kapoor</v>
      </c>
      <c r="I179" t="s">
        <v>115</v>
      </c>
      <c r="J179" t="str">
        <f>PROPER(TRIM(I179))</f>
        <v>Home Office</v>
      </c>
      <c r="K179" t="s">
        <v>42</v>
      </c>
      <c r="L179" t="s">
        <v>186</v>
      </c>
      <c r="M179" t="s">
        <v>187</v>
      </c>
      <c r="N179" t="s">
        <v>30</v>
      </c>
      <c r="O179" t="str">
        <f>TRIM(N179)</f>
        <v>Office Supplies</v>
      </c>
      <c r="P179" t="s">
        <v>54</v>
      </c>
      <c r="Q179" t="s">
        <v>971</v>
      </c>
      <c r="R179" t="s">
        <v>48</v>
      </c>
      <c r="S179" t="s">
        <v>48</v>
      </c>
      <c r="T179">
        <v>8</v>
      </c>
      <c r="U179">
        <v>3879.95</v>
      </c>
      <c r="V179">
        <v>0</v>
      </c>
      <c r="W179">
        <v>31039.599999999999</v>
      </c>
      <c r="X179">
        <v>20866.72</v>
      </c>
      <c r="Y179">
        <v>10172.879999999999</v>
      </c>
      <c r="Z179" t="s">
        <v>34</v>
      </c>
      <c r="AA179" t="s">
        <v>35</v>
      </c>
    </row>
    <row r="180" spans="1:27">
      <c r="A180" t="s">
        <v>972</v>
      </c>
      <c r="B180" t="s">
        <v>973</v>
      </c>
      <c r="C180" t="s">
        <v>974</v>
      </c>
      <c r="D180"/>
      <c r="E180" s="7">
        <f>IF(OR(D180="Invalid",D180&lt;0),"",D180)</f>
        <v>0</v>
      </c>
      <c r="F180" t="s">
        <v>975</v>
      </c>
      <c r="G180" t="s">
        <v>53</v>
      </c>
      <c r="H180" t="str">
        <f>PROPER(TRIM(G180))</f>
        <v>Isha Nair</v>
      </c>
      <c r="I180" t="s">
        <v>108</v>
      </c>
      <c r="J180" t="str">
        <f>PROPER(TRIM(I180))</f>
        <v>Corporate</v>
      </c>
      <c r="K180" t="s">
        <v>62</v>
      </c>
      <c r="L180" t="s">
        <v>63</v>
      </c>
      <c r="M180" t="s">
        <v>64</v>
      </c>
      <c r="N180" t="s">
        <v>30</v>
      </c>
      <c r="O180" t="str">
        <f>TRIM(N180)</f>
        <v>Office Supplies</v>
      </c>
      <c r="P180" t="s">
        <v>54</v>
      </c>
      <c r="Q180" t="s">
        <v>976</v>
      </c>
      <c r="R180" t="s">
        <v>67</v>
      </c>
      <c r="S180" t="s">
        <v>67</v>
      </c>
      <c r="T180">
        <v>4</v>
      </c>
      <c r="U180">
        <v>3281.74</v>
      </c>
      <c r="V180">
        <v>0</v>
      </c>
      <c r="W180">
        <v>13126.96</v>
      </c>
      <c r="X180">
        <v>10732.44</v>
      </c>
      <c r="Y180">
        <v>2394.52</v>
      </c>
      <c r="Z180" t="s">
        <v>34</v>
      </c>
      <c r="AA180" t="s">
        <v>35</v>
      </c>
    </row>
    <row r="181" spans="1:27">
      <c r="A181" t="s">
        <v>977</v>
      </c>
      <c r="B181" t="s">
        <v>978</v>
      </c>
      <c r="C181" t="s">
        <v>979</v>
      </c>
      <c r="D181"/>
      <c r="E181" s="7">
        <f>IF(OR(D181="Invalid",D181&lt;0),"",D181)</f>
        <v>0</v>
      </c>
      <c r="F181" t="s">
        <v>980</v>
      </c>
      <c r="G181" t="s">
        <v>72</v>
      </c>
      <c r="H181" t="str">
        <f>PROPER(TRIM(G181))</f>
        <v>Ananya Rao</v>
      </c>
      <c r="I181" t="s">
        <v>41</v>
      </c>
      <c r="J181" t="str">
        <f>PROPER(TRIM(I181))</f>
        <v>Small Business</v>
      </c>
      <c r="K181" t="s">
        <v>62</v>
      </c>
      <c r="L181" t="s">
        <v>339</v>
      </c>
      <c r="M181" t="s">
        <v>340</v>
      </c>
      <c r="N181" t="s">
        <v>45</v>
      </c>
      <c r="O181" t="str">
        <f>TRIM(N181)</f>
        <v>Furniture</v>
      </c>
      <c r="P181" t="s">
        <v>65</v>
      </c>
      <c r="Q181" t="s">
        <v>981</v>
      </c>
      <c r="R181" t="s">
        <v>67</v>
      </c>
      <c r="S181" t="s">
        <v>67</v>
      </c>
      <c r="T181">
        <v>4</v>
      </c>
      <c r="U181">
        <v>3186.3</v>
      </c>
      <c r="V181">
        <v>0.25</v>
      </c>
      <c r="W181">
        <v>9558.9</v>
      </c>
      <c r="X181">
        <v>5516.76</v>
      </c>
      <c r="Y181">
        <v>4042.14</v>
      </c>
      <c r="Z181" t="s">
        <v>124</v>
      </c>
      <c r="AA181" t="s">
        <v>125</v>
      </c>
    </row>
    <row r="182" spans="1:27">
      <c r="A182" t="s">
        <v>982</v>
      </c>
      <c r="B182" t="s">
        <v>983</v>
      </c>
      <c r="C182" t="s">
        <v>984</v>
      </c>
      <c r="D182"/>
      <c r="E182" s="7">
        <f>IF(OR(D182="Invalid",D182&lt;0),"",D182)</f>
        <v>0</v>
      </c>
      <c r="F182" t="s">
        <v>985</v>
      </c>
      <c r="G182" t="s">
        <v>40</v>
      </c>
      <c r="H182" t="str">
        <f>PROPER(TRIM(G182))</f>
        <v>Mira Das</v>
      </c>
      <c r="I182" t="s">
        <v>115</v>
      </c>
      <c r="J182" t="str">
        <f>PROPER(TRIM(I182))</f>
        <v>Home Office</v>
      </c>
      <c r="K182" t="s">
        <v>27</v>
      </c>
      <c r="L182" t="s">
        <v>174</v>
      </c>
      <c r="M182" t="s">
        <v>175</v>
      </c>
      <c r="N182" t="s">
        <v>918</v>
      </c>
      <c r="O182" t="str">
        <f>TRIM(N182)</f>
        <v>OFFICE SUPPLIES</v>
      </c>
      <c r="P182" t="s">
        <v>198</v>
      </c>
      <c r="Q182" t="s">
        <v>986</v>
      </c>
      <c r="R182" t="s">
        <v>56</v>
      </c>
      <c r="S182" t="s">
        <v>56</v>
      </c>
      <c r="T182">
        <v>7</v>
      </c>
      <c r="U182">
        <v>844.59</v>
      </c>
      <c r="V182">
        <v>0.1</v>
      </c>
      <c r="W182">
        <v>5320.92</v>
      </c>
      <c r="X182">
        <v>3041.5</v>
      </c>
      <c r="Y182">
        <v>2279.42</v>
      </c>
      <c r="Z182" t="s">
        <v>34</v>
      </c>
      <c r="AA182" t="s">
        <v>35</v>
      </c>
    </row>
    <row r="183" spans="1:27">
      <c r="A183" t="s">
        <v>987</v>
      </c>
      <c r="B183" t="s">
        <v>988</v>
      </c>
      <c r="C183" t="s">
        <v>989</v>
      </c>
      <c r="D183"/>
      <c r="E183" s="7">
        <f>IF(OR(D183="Invalid",D183&lt;0),"",D183)</f>
        <v>0</v>
      </c>
      <c r="F183" t="s">
        <v>990</v>
      </c>
      <c r="G183" t="s">
        <v>142</v>
      </c>
      <c r="H183" t="str">
        <f>PROPER(TRIM(G183))</f>
        <v>Priya Menon</v>
      </c>
      <c r="I183" t="s">
        <v>115</v>
      </c>
      <c r="J183" t="str">
        <f>PROPER(TRIM(I183))</f>
        <v>Home Office</v>
      </c>
      <c r="K183" t="s">
        <v>62</v>
      </c>
      <c r="L183" t="s">
        <v>339</v>
      </c>
      <c r="M183" t="s">
        <v>340</v>
      </c>
      <c r="N183" t="s">
        <v>30</v>
      </c>
      <c r="O183" t="str">
        <f>TRIM(N183)</f>
        <v>Office Supplies</v>
      </c>
      <c r="P183" t="s">
        <v>54</v>
      </c>
      <c r="Q183" t="s">
        <v>991</v>
      </c>
      <c r="R183" t="s">
        <v>33</v>
      </c>
      <c r="S183" t="s">
        <v>33</v>
      </c>
      <c r="T183">
        <v>4</v>
      </c>
      <c r="U183">
        <v>2551.4499999999998</v>
      </c>
      <c r="V183">
        <v>0</v>
      </c>
      <c r="W183">
        <v>10205.799999999999</v>
      </c>
      <c r="X183">
        <v>5986.31</v>
      </c>
      <c r="Y183">
        <v>4219.49</v>
      </c>
      <c r="Z183" t="s">
        <v>34</v>
      </c>
      <c r="AA183" t="s">
        <v>35</v>
      </c>
    </row>
    <row r="184" spans="1:27">
      <c r="A184" t="s">
        <v>992</v>
      </c>
      <c r="B184" t="s">
        <v>299</v>
      </c>
      <c r="C184" t="s">
        <v>299</v>
      </c>
      <c r="D184"/>
      <c r="E184" s="7">
        <f>IF(OR(D184="Invalid",D184&lt;0),"",D184)</f>
        <v>0</v>
      </c>
      <c r="F184" t="s">
        <v>993</v>
      </c>
      <c r="G184" t="s">
        <v>72</v>
      </c>
      <c r="H184" t="str">
        <f>PROPER(TRIM(G184))</f>
        <v>Ananya Rao</v>
      </c>
      <c r="I184" t="s">
        <v>115</v>
      </c>
      <c r="J184" t="str">
        <f>PROPER(TRIM(I184))</f>
        <v>Home Office</v>
      </c>
      <c r="K184" t="s">
        <v>42</v>
      </c>
      <c r="L184" t="s">
        <v>186</v>
      </c>
      <c r="M184" t="s">
        <v>187</v>
      </c>
      <c r="N184" t="s">
        <v>86</v>
      </c>
      <c r="O184" t="str">
        <f>TRIM(N184)</f>
        <v>Technology</v>
      </c>
      <c r="P184" t="s">
        <v>382</v>
      </c>
      <c r="Q184" t="s">
        <v>994</v>
      </c>
      <c r="R184" t="s">
        <v>67</v>
      </c>
      <c r="S184" t="s">
        <v>67</v>
      </c>
      <c r="T184">
        <v>7</v>
      </c>
      <c r="U184">
        <v>775.77</v>
      </c>
      <c r="V184">
        <v>0</v>
      </c>
      <c r="W184">
        <v>5430.39</v>
      </c>
      <c r="X184">
        <v>3707.66</v>
      </c>
      <c r="Y184">
        <v>1722.73</v>
      </c>
      <c r="Z184" t="s">
        <v>34</v>
      </c>
      <c r="AA184" t="s">
        <v>35</v>
      </c>
    </row>
    <row r="185" spans="1:27">
      <c r="A185" t="s">
        <v>995</v>
      </c>
      <c r="B185" t="s">
        <v>996</v>
      </c>
      <c r="C185" t="s">
        <v>997</v>
      </c>
      <c r="D185"/>
      <c r="E185" s="7">
        <f>IF(OR(D185="Invalid",D185&lt;0),"",D185)</f>
        <v>0</v>
      </c>
      <c r="F185" t="s">
        <v>998</v>
      </c>
      <c r="G185" t="s">
        <v>83</v>
      </c>
      <c r="H185" t="str">
        <f>PROPER(TRIM(G185))</f>
        <v>Vikram Iyer</v>
      </c>
      <c r="I185" t="s">
        <v>115</v>
      </c>
      <c r="J185" t="str">
        <f>PROPER(TRIM(I185))</f>
        <v>Home Office</v>
      </c>
      <c r="K185" t="s">
        <v>62</v>
      </c>
      <c r="L185" t="s">
        <v>63</v>
      </c>
      <c r="M185" t="s">
        <v>64</v>
      </c>
      <c r="N185" t="s">
        <v>86</v>
      </c>
      <c r="O185" t="str">
        <f>TRIM(N185)</f>
        <v>Technology</v>
      </c>
      <c r="P185" t="s">
        <v>94</v>
      </c>
      <c r="Q185" t="s">
        <v>999</v>
      </c>
      <c r="R185" t="s">
        <v>67</v>
      </c>
      <c r="S185" t="s">
        <v>67</v>
      </c>
      <c r="T185">
        <v>7</v>
      </c>
      <c r="U185">
        <v>2304.86</v>
      </c>
      <c r="V185">
        <v>0.2</v>
      </c>
      <c r="W185">
        <v>12907.22</v>
      </c>
      <c r="X185">
        <v>8327.89</v>
      </c>
      <c r="Y185">
        <v>4579.33</v>
      </c>
      <c r="Z185" t="s">
        <v>34</v>
      </c>
      <c r="AA185" t="s">
        <v>125</v>
      </c>
    </row>
    <row r="186" spans="1:27">
      <c r="A186" t="s">
        <v>1000</v>
      </c>
      <c r="B186" t="s">
        <v>1001</v>
      </c>
      <c r="C186" t="s">
        <v>348</v>
      </c>
      <c r="D186"/>
      <c r="E186" s="7">
        <f>IF(OR(D186="Invalid",D186&lt;0),"",D186)</f>
        <v>0</v>
      </c>
      <c r="F186" t="s">
        <v>1002</v>
      </c>
      <c r="G186" t="s">
        <v>83</v>
      </c>
      <c r="H186" t="str">
        <f>PROPER(TRIM(G186))</f>
        <v>Vikram Iyer</v>
      </c>
      <c r="I186" t="s">
        <v>108</v>
      </c>
      <c r="J186" t="str">
        <f>PROPER(TRIM(I186))</f>
        <v>Corporate</v>
      </c>
      <c r="K186" t="s">
        <v>73</v>
      </c>
      <c r="L186" t="s">
        <v>84</v>
      </c>
      <c r="M186" t="s">
        <v>85</v>
      </c>
      <c r="N186" t="s">
        <v>45</v>
      </c>
      <c r="O186" t="str">
        <f>TRIM(N186)</f>
        <v>Furniture</v>
      </c>
      <c r="P186" t="s">
        <v>204</v>
      </c>
      <c r="Q186" t="s">
        <v>1003</v>
      </c>
      <c r="R186" t="s">
        <v>67</v>
      </c>
      <c r="S186" t="s">
        <v>67</v>
      </c>
      <c r="T186">
        <v>2</v>
      </c>
      <c r="U186">
        <v>888.98</v>
      </c>
      <c r="V186">
        <v>0</v>
      </c>
      <c r="W186">
        <v>1777.96</v>
      </c>
      <c r="X186">
        <v>1021.16</v>
      </c>
      <c r="Y186">
        <v>756.8</v>
      </c>
      <c r="Z186" t="s">
        <v>124</v>
      </c>
      <c r="AA186" t="s">
        <v>125</v>
      </c>
    </row>
    <row r="187" spans="1:27">
      <c r="A187" t="s">
        <v>1004</v>
      </c>
      <c r="B187" s="4" t="s">
        <v>104</v>
      </c>
      <c r="C187" s="4" t="s">
        <v>1005</v>
      </c>
      <c r="D187" s="4" t="str">
        <f>IF(C75&lt;B75,"Invalid","OK")</f>
        <v>Invalid</v>
      </c>
      <c r="E187" s="7" t="str">
        <f>IF(OR(D187="Invalid",D187&lt;0),"",D187)</f>
        <v/>
      </c>
      <c r="F187" t="s">
        <v>1006</v>
      </c>
      <c r="G187" t="s">
        <v>61</v>
      </c>
      <c r="H187" t="str">
        <f>PROPER(TRIM(G187))</f>
        <v>Arjun Bose</v>
      </c>
      <c r="I187" t="s">
        <v>26</v>
      </c>
      <c r="J187" t="str">
        <f>PROPER(TRIM(I187))</f>
        <v>Consumer</v>
      </c>
      <c r="K187" t="s">
        <v>27</v>
      </c>
      <c r="L187" t="s">
        <v>154</v>
      </c>
      <c r="M187" t="s">
        <v>155</v>
      </c>
      <c r="N187" t="s">
        <v>30</v>
      </c>
      <c r="O187" t="str">
        <f>TRIM(N187)</f>
        <v>Office Supplies</v>
      </c>
      <c r="P187" t="s">
        <v>109</v>
      </c>
      <c r="Q187" t="s">
        <v>1007</v>
      </c>
      <c r="R187" t="s">
        <v>33</v>
      </c>
      <c r="S187" t="s">
        <v>33</v>
      </c>
      <c r="T187">
        <v>2</v>
      </c>
      <c r="U187">
        <v>1003.17</v>
      </c>
      <c r="V187">
        <v>0.2</v>
      </c>
      <c r="W187">
        <v>1605.07</v>
      </c>
      <c r="X187">
        <v>1337.28</v>
      </c>
      <c r="Y187">
        <v>267.79000000000002</v>
      </c>
      <c r="Z187" t="s">
        <v>34</v>
      </c>
      <c r="AA187" t="s">
        <v>35</v>
      </c>
    </row>
    <row r="188" spans="1:27">
      <c r="A188" t="s">
        <v>1008</v>
      </c>
      <c r="B188" t="s">
        <v>332</v>
      </c>
      <c r="C188" t="s">
        <v>1009</v>
      </c>
      <c r="D188"/>
      <c r="E188" s="7">
        <f>IF(OR(D188="Invalid",D188&lt;0),"",D188)</f>
        <v>0</v>
      </c>
      <c r="F188" t="s">
        <v>365</v>
      </c>
      <c r="G188" t="s">
        <v>83</v>
      </c>
      <c r="H188" t="str">
        <f>PROPER(TRIM(G188))</f>
        <v>Vikram Iyer</v>
      </c>
      <c r="I188" t="s">
        <v>26</v>
      </c>
      <c r="J188" t="str">
        <f>PROPER(TRIM(I188))</f>
        <v>Consumer</v>
      </c>
      <c r="K188" t="s">
        <v>62</v>
      </c>
      <c r="L188" t="s">
        <v>339</v>
      </c>
      <c r="M188" t="s">
        <v>340</v>
      </c>
      <c r="N188" t="s">
        <v>45</v>
      </c>
      <c r="O188" t="str">
        <f>TRIM(N188)</f>
        <v>Furniture</v>
      </c>
      <c r="P188" t="s">
        <v>46</v>
      </c>
      <c r="Q188" t="s">
        <v>1010</v>
      </c>
      <c r="R188" t="s">
        <v>56</v>
      </c>
      <c r="S188" t="s">
        <v>56</v>
      </c>
      <c r="T188">
        <v>7</v>
      </c>
      <c r="U188">
        <v>3608.43</v>
      </c>
      <c r="V188">
        <v>0.05</v>
      </c>
      <c r="W188">
        <v>23996.06</v>
      </c>
      <c r="X188">
        <v>20167.28</v>
      </c>
      <c r="Y188">
        <v>3828.78</v>
      </c>
      <c r="Z188" t="s">
        <v>34</v>
      </c>
      <c r="AA188" t="s">
        <v>35</v>
      </c>
    </row>
    <row r="189" spans="1:27">
      <c r="A189" t="s">
        <v>1011</v>
      </c>
      <c r="B189" t="s">
        <v>1012</v>
      </c>
      <c r="C189" t="s">
        <v>1013</v>
      </c>
      <c r="D189"/>
      <c r="E189" s="7">
        <f>IF(OR(D189="Invalid",D189&lt;0),"",D189)</f>
        <v>0</v>
      </c>
      <c r="F189" t="s">
        <v>1014</v>
      </c>
      <c r="G189" t="s">
        <v>40</v>
      </c>
      <c r="H189" t="str">
        <f>PROPER(TRIM(G189))</f>
        <v>Mira Das</v>
      </c>
      <c r="I189" t="s">
        <v>26</v>
      </c>
      <c r="J189" t="str">
        <f>PROPER(TRIM(I189))</f>
        <v>Consumer</v>
      </c>
      <c r="K189" t="s">
        <v>73</v>
      </c>
      <c r="L189" t="s">
        <v>84</v>
      </c>
      <c r="M189" t="s">
        <v>85</v>
      </c>
      <c r="N189" t="s">
        <v>45</v>
      </c>
      <c r="O189" t="str">
        <f>TRIM(N189)</f>
        <v>Furniture</v>
      </c>
      <c r="P189" t="s">
        <v>76</v>
      </c>
      <c r="Q189" t="s">
        <v>1015</v>
      </c>
      <c r="R189" t="s">
        <v>48</v>
      </c>
      <c r="S189" t="s">
        <v>48</v>
      </c>
      <c r="T189">
        <v>3</v>
      </c>
      <c r="U189">
        <v>2905.74</v>
      </c>
      <c r="V189">
        <v>0</v>
      </c>
      <c r="W189">
        <v>8717.2199999999993</v>
      </c>
      <c r="X189">
        <v>6215.96</v>
      </c>
      <c r="Y189">
        <v>2501.2600000000002</v>
      </c>
      <c r="Z189" t="s">
        <v>34</v>
      </c>
      <c r="AA189" t="s">
        <v>125</v>
      </c>
    </row>
    <row r="190" spans="1:27">
      <c r="A190" t="s">
        <v>1016</v>
      </c>
      <c r="B190" t="s">
        <v>1017</v>
      </c>
      <c r="C190" t="s">
        <v>1018</v>
      </c>
      <c r="D190"/>
      <c r="E190" s="7">
        <f>IF(OR(D190="Invalid",D190&lt;0),"",D190)</f>
        <v>0</v>
      </c>
      <c r="F190" t="s">
        <v>1019</v>
      </c>
      <c r="G190" t="s">
        <v>142</v>
      </c>
      <c r="H190" t="str">
        <f>PROPER(TRIM(G190))</f>
        <v>Priya Menon</v>
      </c>
      <c r="I190" t="s">
        <v>108</v>
      </c>
      <c r="J190" t="str">
        <f>PROPER(TRIM(I190))</f>
        <v>Corporate</v>
      </c>
      <c r="K190" t="s">
        <v>42</v>
      </c>
      <c r="L190" t="s">
        <v>121</v>
      </c>
      <c r="M190" t="s">
        <v>122</v>
      </c>
      <c r="N190" t="s">
        <v>45</v>
      </c>
      <c r="O190" t="str">
        <f>TRIM(N190)</f>
        <v>Furniture</v>
      </c>
      <c r="P190" t="s">
        <v>204</v>
      </c>
      <c r="Q190" t="s">
        <v>1020</v>
      </c>
      <c r="R190" t="s">
        <v>48</v>
      </c>
      <c r="S190" t="s">
        <v>48</v>
      </c>
      <c r="T190">
        <v>2</v>
      </c>
      <c r="U190">
        <v>3559.57</v>
      </c>
      <c r="V190">
        <v>0.1</v>
      </c>
      <c r="W190">
        <v>6553.95</v>
      </c>
      <c r="X190">
        <v>4923.09</v>
      </c>
      <c r="Y190">
        <v>1484.14</v>
      </c>
      <c r="Z190" t="s">
        <v>34</v>
      </c>
      <c r="AA190" t="s">
        <v>35</v>
      </c>
    </row>
    <row r="191" spans="1:27">
      <c r="A191" t="s">
        <v>1021</v>
      </c>
      <c r="B191" t="s">
        <v>1022</v>
      </c>
      <c r="C191" t="s">
        <v>1023</v>
      </c>
      <c r="D191"/>
      <c r="E191" s="7">
        <f>IF(OR(D191="Invalid",D191&lt;0),"",D191)</f>
        <v>0</v>
      </c>
      <c r="F191" t="s">
        <v>1024</v>
      </c>
      <c r="G191" t="s">
        <v>61</v>
      </c>
      <c r="H191" t="str">
        <f>PROPER(TRIM(G191))</f>
        <v>Arjun Bose</v>
      </c>
      <c r="I191" t="s">
        <v>26</v>
      </c>
      <c r="J191" t="str">
        <f>PROPER(TRIM(I191))</f>
        <v>Consumer</v>
      </c>
      <c r="K191" t="s">
        <v>73</v>
      </c>
      <c r="L191" t="s">
        <v>28</v>
      </c>
      <c r="M191" t="s">
        <v>135</v>
      </c>
      <c r="N191" t="s">
        <v>45</v>
      </c>
      <c r="O191" t="str">
        <f>TRIM(N191)</f>
        <v>Furniture</v>
      </c>
      <c r="P191" t="s">
        <v>204</v>
      </c>
      <c r="Q191" t="s">
        <v>1025</v>
      </c>
      <c r="R191" t="s">
        <v>56</v>
      </c>
      <c r="S191" t="s">
        <v>56</v>
      </c>
      <c r="T191">
        <v>9</v>
      </c>
      <c r="U191">
        <v>3318.24</v>
      </c>
      <c r="W191">
        <v>25384.54</v>
      </c>
      <c r="X191">
        <v>16872.39</v>
      </c>
      <c r="Y191">
        <v>8512.15</v>
      </c>
      <c r="Z191" t="s">
        <v>34</v>
      </c>
      <c r="AA191" t="s">
        <v>1026</v>
      </c>
    </row>
    <row r="192" spans="1:27">
      <c r="A192" t="s">
        <v>1027</v>
      </c>
      <c r="B192" t="s">
        <v>1028</v>
      </c>
      <c r="C192" t="s">
        <v>1029</v>
      </c>
      <c r="D192"/>
      <c r="E192" s="7">
        <f>IF(OR(D192="Invalid",D192&lt;0),"",D192)</f>
        <v>0</v>
      </c>
      <c r="F192" t="s">
        <v>1030</v>
      </c>
      <c r="G192" t="s">
        <v>107</v>
      </c>
      <c r="H192" t="str">
        <f>PROPER(TRIM(G192))</f>
        <v>Aditi Sen</v>
      </c>
      <c r="I192" t="s">
        <v>26</v>
      </c>
      <c r="J192" t="str">
        <f>PROPER(TRIM(I192))</f>
        <v>Consumer</v>
      </c>
      <c r="K192" t="s">
        <v>62</v>
      </c>
      <c r="L192" t="s">
        <v>339</v>
      </c>
      <c r="M192" t="s">
        <v>340</v>
      </c>
      <c r="N192" t="s">
        <v>30</v>
      </c>
      <c r="O192" t="str">
        <f>TRIM(N192)</f>
        <v>Office Supplies</v>
      </c>
      <c r="P192" t="s">
        <v>156</v>
      </c>
      <c r="Q192" t="s">
        <v>1031</v>
      </c>
      <c r="R192" t="s">
        <v>56</v>
      </c>
      <c r="S192" t="s">
        <v>56</v>
      </c>
      <c r="T192">
        <v>3</v>
      </c>
      <c r="U192">
        <v>540.09</v>
      </c>
      <c r="V192">
        <v>0.1</v>
      </c>
      <c r="W192">
        <v>1458.24</v>
      </c>
      <c r="X192">
        <v>943.32</v>
      </c>
      <c r="Y192">
        <v>514.91999999999996</v>
      </c>
      <c r="Z192" t="s">
        <v>34</v>
      </c>
      <c r="AA192" t="s">
        <v>35</v>
      </c>
    </row>
    <row r="193" spans="1:27">
      <c r="A193" t="s">
        <v>1032</v>
      </c>
      <c r="B193" t="s">
        <v>1033</v>
      </c>
      <c r="C193" t="s">
        <v>645</v>
      </c>
      <c r="D193"/>
      <c r="E193" s="7">
        <f>IF(OR(D193="Invalid",D193&lt;0),"",D193)</f>
        <v>0</v>
      </c>
      <c r="F193" t="s">
        <v>1034</v>
      </c>
      <c r="G193" t="s">
        <v>168</v>
      </c>
      <c r="H193" t="str">
        <f>PROPER(TRIM(G193))</f>
        <v>Sneha Kapoor</v>
      </c>
      <c r="I193" t="s">
        <v>41</v>
      </c>
      <c r="J193" t="str">
        <f>PROPER(TRIM(I193))</f>
        <v>Small Business</v>
      </c>
      <c r="K193" t="s">
        <v>62</v>
      </c>
      <c r="L193" t="s">
        <v>339</v>
      </c>
      <c r="M193" t="s">
        <v>340</v>
      </c>
      <c r="N193" t="s">
        <v>45</v>
      </c>
      <c r="O193" t="str">
        <f>TRIM(N193)</f>
        <v>Furniture</v>
      </c>
      <c r="P193" t="s">
        <v>204</v>
      </c>
      <c r="Q193" t="s">
        <v>1035</v>
      </c>
      <c r="R193" t="s">
        <v>33</v>
      </c>
      <c r="S193" t="s">
        <v>33</v>
      </c>
      <c r="T193">
        <v>6</v>
      </c>
      <c r="U193">
        <v>4308.3999999999996</v>
      </c>
      <c r="V193">
        <v>0.65</v>
      </c>
      <c r="W193">
        <v>25850.400000000001</v>
      </c>
      <c r="X193">
        <v>19397.68</v>
      </c>
      <c r="Y193">
        <v>6452.72</v>
      </c>
      <c r="Z193" t="s">
        <v>34</v>
      </c>
      <c r="AA193" t="s">
        <v>35</v>
      </c>
    </row>
    <row r="194" spans="1:27">
      <c r="A194" t="s">
        <v>1036</v>
      </c>
      <c r="B194" t="s">
        <v>1037</v>
      </c>
      <c r="C194" t="s">
        <v>1038</v>
      </c>
      <c r="D194"/>
      <c r="E194" s="7">
        <f>IF(OR(D194="Invalid",D194&lt;0),"",D194)</f>
        <v>0</v>
      </c>
      <c r="F194" t="s">
        <v>1039</v>
      </c>
      <c r="G194" t="s">
        <v>53</v>
      </c>
      <c r="H194" t="str">
        <f>PROPER(TRIM(G194))</f>
        <v>Isha Nair</v>
      </c>
      <c r="I194" t="s">
        <v>115</v>
      </c>
      <c r="J194" t="str">
        <f>PROPER(TRIM(I194))</f>
        <v>Home Office</v>
      </c>
      <c r="K194" t="s">
        <v>73</v>
      </c>
      <c r="L194" t="s">
        <v>235</v>
      </c>
      <c r="M194" t="s">
        <v>236</v>
      </c>
      <c r="N194" t="s">
        <v>45</v>
      </c>
      <c r="O194" t="str">
        <f>TRIM(N194)</f>
        <v>Furniture</v>
      </c>
      <c r="P194" t="s">
        <v>76</v>
      </c>
      <c r="Q194" t="s">
        <v>1040</v>
      </c>
      <c r="R194" t="s">
        <v>56</v>
      </c>
      <c r="S194" t="s">
        <v>56</v>
      </c>
      <c r="T194">
        <v>4</v>
      </c>
      <c r="U194">
        <v>2191.0300000000002</v>
      </c>
      <c r="V194">
        <v>0</v>
      </c>
      <c r="W194">
        <v>8764.1200000000008</v>
      </c>
      <c r="X194">
        <v>7220.05</v>
      </c>
      <c r="Y194">
        <v>1544.07</v>
      </c>
      <c r="Z194" t="s">
        <v>34</v>
      </c>
      <c r="AA194" t="s">
        <v>35</v>
      </c>
    </row>
    <row r="195" spans="1:27">
      <c r="A195" t="s">
        <v>1041</v>
      </c>
      <c r="B195" t="s">
        <v>1042</v>
      </c>
      <c r="C195" t="s">
        <v>1043</v>
      </c>
      <c r="D195"/>
      <c r="E195" s="7">
        <f>IF(OR(D195="Invalid",D195&lt;0),"",D195)</f>
        <v>0</v>
      </c>
      <c r="F195" t="s">
        <v>1044</v>
      </c>
      <c r="G195" t="s">
        <v>142</v>
      </c>
      <c r="H195" t="str">
        <f>PROPER(TRIM(G195))</f>
        <v>Priya Menon</v>
      </c>
      <c r="I195" t="s">
        <v>41</v>
      </c>
      <c r="J195" t="str">
        <f>PROPER(TRIM(I195))</f>
        <v>Small Business</v>
      </c>
      <c r="K195" t="s">
        <v>27</v>
      </c>
      <c r="L195" t="s">
        <v>154</v>
      </c>
      <c r="M195" t="s">
        <v>155</v>
      </c>
      <c r="N195" t="s">
        <v>86</v>
      </c>
      <c r="O195" t="str">
        <f>TRIM(N195)</f>
        <v>Technology</v>
      </c>
      <c r="P195" t="s">
        <v>94</v>
      </c>
      <c r="Q195" t="s">
        <v>1045</v>
      </c>
      <c r="R195" t="s">
        <v>48</v>
      </c>
      <c r="S195" t="s">
        <v>48</v>
      </c>
      <c r="T195">
        <v>6</v>
      </c>
      <c r="U195">
        <v>1956.63</v>
      </c>
      <c r="V195">
        <v>0.2</v>
      </c>
      <c r="W195">
        <v>9391.82</v>
      </c>
      <c r="X195">
        <v>6013.22</v>
      </c>
      <c r="Y195">
        <v>3378.6</v>
      </c>
      <c r="Z195" t="s">
        <v>124</v>
      </c>
      <c r="AA195" t="s">
        <v>125</v>
      </c>
    </row>
    <row r="196" spans="1:27">
      <c r="A196" t="s">
        <v>1046</v>
      </c>
      <c r="B196" t="s">
        <v>1047</v>
      </c>
      <c r="C196" t="s">
        <v>1048</v>
      </c>
      <c r="D196"/>
      <c r="E196" s="7">
        <f>IF(OR(D196="Invalid",D196&lt;0),"",D196)</f>
        <v>0</v>
      </c>
      <c r="F196" t="s">
        <v>1049</v>
      </c>
      <c r="G196" t="s">
        <v>142</v>
      </c>
      <c r="H196" t="str">
        <f>PROPER(TRIM(G196))</f>
        <v>Priya Menon</v>
      </c>
      <c r="I196" t="s">
        <v>26</v>
      </c>
      <c r="J196" t="str">
        <f>PROPER(TRIM(I196))</f>
        <v>Consumer</v>
      </c>
      <c r="K196" t="s">
        <v>1050</v>
      </c>
      <c r="L196" t="s">
        <v>74</v>
      </c>
      <c r="M196" t="s">
        <v>75</v>
      </c>
      <c r="N196" t="s">
        <v>45</v>
      </c>
      <c r="O196" t="str">
        <f>TRIM(N196)</f>
        <v>Furniture</v>
      </c>
      <c r="P196" t="s">
        <v>65</v>
      </c>
      <c r="Q196" t="s">
        <v>1051</v>
      </c>
      <c r="R196" t="s">
        <v>56</v>
      </c>
      <c r="S196" t="s">
        <v>56</v>
      </c>
      <c r="T196">
        <v>9</v>
      </c>
      <c r="U196">
        <v>858.39</v>
      </c>
      <c r="V196">
        <v>0.05</v>
      </c>
      <c r="W196">
        <v>7339.23</v>
      </c>
      <c r="X196">
        <v>5434.12</v>
      </c>
      <c r="Y196">
        <v>1905.11</v>
      </c>
      <c r="Z196" t="s">
        <v>137</v>
      </c>
      <c r="AA196" t="s">
        <v>125</v>
      </c>
    </row>
    <row r="197" spans="1:27">
      <c r="A197" t="s">
        <v>1052</v>
      </c>
      <c r="B197" t="s">
        <v>1053</v>
      </c>
      <c r="C197" t="s">
        <v>1054</v>
      </c>
      <c r="D197"/>
      <c r="E197" s="7">
        <f>IF(OR(D197="Invalid",D197&lt;0),"",D197)</f>
        <v>0</v>
      </c>
      <c r="F197" t="s">
        <v>1055</v>
      </c>
      <c r="G197" t="s">
        <v>93</v>
      </c>
      <c r="H197" t="str">
        <f>PROPER(TRIM(G197))</f>
        <v>Neha Gupta</v>
      </c>
      <c r="I197" t="s">
        <v>115</v>
      </c>
      <c r="J197" t="str">
        <f>PROPER(TRIM(I197))</f>
        <v>Home Office</v>
      </c>
      <c r="K197" t="s">
        <v>62</v>
      </c>
      <c r="L197" t="s">
        <v>100</v>
      </c>
      <c r="M197" t="s">
        <v>101</v>
      </c>
      <c r="N197" t="s">
        <v>45</v>
      </c>
      <c r="O197" t="str">
        <f>TRIM(N197)</f>
        <v>Furniture</v>
      </c>
      <c r="P197" t="s">
        <v>65</v>
      </c>
      <c r="Q197" t="s">
        <v>1056</v>
      </c>
      <c r="R197" t="s">
        <v>48</v>
      </c>
      <c r="S197" t="s">
        <v>48</v>
      </c>
      <c r="T197">
        <v>5</v>
      </c>
      <c r="U197">
        <v>1922.83</v>
      </c>
      <c r="V197">
        <v>0</v>
      </c>
      <c r="W197">
        <v>9614.15</v>
      </c>
      <c r="X197">
        <v>7576.84</v>
      </c>
      <c r="Y197">
        <v>2037.31</v>
      </c>
      <c r="Z197" t="s">
        <v>34</v>
      </c>
      <c r="AA197" t="s">
        <v>35</v>
      </c>
    </row>
    <row r="198" spans="1:27">
      <c r="A198" t="s">
        <v>1057</v>
      </c>
      <c r="B198" t="s">
        <v>1058</v>
      </c>
      <c r="C198" t="s">
        <v>1059</v>
      </c>
      <c r="D198"/>
      <c r="E198" s="7">
        <f>IF(OR(D198="Invalid",D198&lt;0),"",D198)</f>
        <v>0</v>
      </c>
      <c r="F198" t="s">
        <v>1060</v>
      </c>
      <c r="G198" t="s">
        <v>366</v>
      </c>
      <c r="H198" t="str">
        <f>PROPER(TRIM(G198))</f>
        <v>Kabir Singh</v>
      </c>
      <c r="I198" t="s">
        <v>115</v>
      </c>
      <c r="J198" t="str">
        <f>PROPER(TRIM(I198))</f>
        <v>Home Office</v>
      </c>
      <c r="K198" t="s">
        <v>27</v>
      </c>
      <c r="L198" t="s">
        <v>174</v>
      </c>
      <c r="M198" t="s">
        <v>175</v>
      </c>
      <c r="N198" t="s">
        <v>30</v>
      </c>
      <c r="O198" t="str">
        <f>TRIM(N198)</f>
        <v>Office Supplies</v>
      </c>
      <c r="P198" t="s">
        <v>156</v>
      </c>
      <c r="Q198" t="s">
        <v>1061</v>
      </c>
      <c r="R198" t="s">
        <v>56</v>
      </c>
      <c r="S198" t="s">
        <v>56</v>
      </c>
      <c r="T198">
        <v>3</v>
      </c>
      <c r="U198">
        <v>1212.03</v>
      </c>
      <c r="V198">
        <v>0.1</v>
      </c>
      <c r="W198">
        <v>3272.48</v>
      </c>
      <c r="X198">
        <v>2517.44</v>
      </c>
      <c r="Y198">
        <v>755.04</v>
      </c>
      <c r="Z198" t="s">
        <v>34</v>
      </c>
      <c r="AA198" t="s">
        <v>35</v>
      </c>
    </row>
    <row r="199" spans="1:27">
      <c r="A199" t="s">
        <v>1062</v>
      </c>
      <c r="B199" t="s">
        <v>369</v>
      </c>
      <c r="C199" t="s">
        <v>1063</v>
      </c>
      <c r="D199"/>
      <c r="E199" s="7">
        <f>IF(OR(D199="Invalid",D199&lt;0),"",D199)</f>
        <v>0</v>
      </c>
      <c r="F199" t="s">
        <v>564</v>
      </c>
      <c r="G199" t="s">
        <v>148</v>
      </c>
      <c r="H199" t="str">
        <f>PROPER(TRIM(G199))</f>
        <v>Rahul Verma</v>
      </c>
      <c r="I199" t="s">
        <v>701</v>
      </c>
      <c r="J199" t="str">
        <f>PROPER(TRIM(I199))</f>
        <v>Small Business</v>
      </c>
      <c r="K199" t="s">
        <v>42</v>
      </c>
      <c r="L199" t="s">
        <v>186</v>
      </c>
      <c r="M199" t="s">
        <v>187</v>
      </c>
      <c r="N199" t="s">
        <v>30</v>
      </c>
      <c r="O199" t="str">
        <f>TRIM(N199)</f>
        <v>Office Supplies</v>
      </c>
      <c r="P199" t="s">
        <v>156</v>
      </c>
      <c r="Q199" t="s">
        <v>1064</v>
      </c>
      <c r="R199" t="s">
        <v>33</v>
      </c>
      <c r="S199" t="s">
        <v>33</v>
      </c>
      <c r="T199">
        <v>5</v>
      </c>
      <c r="U199">
        <v>4096.4399999999996</v>
      </c>
      <c r="V199">
        <v>0.15</v>
      </c>
      <c r="W199">
        <v>17409.87</v>
      </c>
      <c r="X199">
        <v>14076.25</v>
      </c>
      <c r="Y199">
        <v>3333.62</v>
      </c>
      <c r="Z199" t="s">
        <v>34</v>
      </c>
      <c r="AA199" t="s">
        <v>35</v>
      </c>
    </row>
    <row r="200" spans="1:27">
      <c r="A200" t="s">
        <v>1065</v>
      </c>
      <c r="B200" t="s">
        <v>1066</v>
      </c>
      <c r="C200" t="s">
        <v>1067</v>
      </c>
      <c r="D200"/>
      <c r="E200" s="7">
        <f>IF(OR(D200="Invalid",D200&lt;0),"",D200)</f>
        <v>0</v>
      </c>
      <c r="F200" t="s">
        <v>1068</v>
      </c>
      <c r="G200" t="s">
        <v>168</v>
      </c>
      <c r="H200" t="str">
        <f>PROPER(TRIM(G200))</f>
        <v>Sneha Kapoor</v>
      </c>
      <c r="I200" t="s">
        <v>26</v>
      </c>
      <c r="J200" t="str">
        <f>PROPER(TRIM(I200))</f>
        <v>Consumer</v>
      </c>
      <c r="K200" t="s">
        <v>73</v>
      </c>
      <c r="L200" t="s">
        <v>235</v>
      </c>
      <c r="M200" t="s">
        <v>236</v>
      </c>
      <c r="N200" t="s">
        <v>30</v>
      </c>
      <c r="O200" t="str">
        <f>TRIM(N200)</f>
        <v>Office Supplies</v>
      </c>
      <c r="P200" t="s">
        <v>54</v>
      </c>
      <c r="Q200" t="s">
        <v>1069</v>
      </c>
      <c r="R200" t="s">
        <v>33</v>
      </c>
      <c r="S200" t="s">
        <v>33</v>
      </c>
      <c r="T200">
        <v>1</v>
      </c>
      <c r="U200">
        <v>1184.58</v>
      </c>
      <c r="V200">
        <v>0.05</v>
      </c>
      <c r="W200">
        <v>1125.3499999999999</v>
      </c>
      <c r="X200">
        <v>676.97</v>
      </c>
      <c r="Y200">
        <v>448.38</v>
      </c>
      <c r="Z200" t="s">
        <v>200</v>
      </c>
      <c r="AA200" t="s">
        <v>78</v>
      </c>
    </row>
    <row r="201" spans="1:27">
      <c r="A201" t="s">
        <v>1070</v>
      </c>
      <c r="B201" t="s">
        <v>303</v>
      </c>
      <c r="C201" t="s">
        <v>1071</v>
      </c>
      <c r="D201"/>
      <c r="E201" s="7">
        <f>IF(OR(D201="Invalid",D201&lt;0),"",D201)</f>
        <v>0</v>
      </c>
      <c r="F201" t="s">
        <v>1072</v>
      </c>
      <c r="G201" t="s">
        <v>148</v>
      </c>
      <c r="H201" t="str">
        <f>PROPER(TRIM(G201))</f>
        <v>Rahul Verma</v>
      </c>
      <c r="I201" t="s">
        <v>115</v>
      </c>
      <c r="J201" t="str">
        <f>PROPER(TRIM(I201))</f>
        <v>Home Office</v>
      </c>
      <c r="K201" t="s">
        <v>42</v>
      </c>
      <c r="L201" t="s">
        <v>186</v>
      </c>
      <c r="M201" t="s">
        <v>187</v>
      </c>
      <c r="N201" t="s">
        <v>86</v>
      </c>
      <c r="O201" t="str">
        <f>TRIM(N201)</f>
        <v>Technology</v>
      </c>
      <c r="P201" t="s">
        <v>382</v>
      </c>
      <c r="Q201" t="s">
        <v>1073</v>
      </c>
      <c r="R201" t="s">
        <v>4124</v>
      </c>
      <c r="S201" t="s">
        <v>4111</v>
      </c>
      <c r="T201">
        <v>6</v>
      </c>
      <c r="U201">
        <v>2185.58</v>
      </c>
      <c r="V201">
        <v>0.25</v>
      </c>
      <c r="W201">
        <v>9835.11</v>
      </c>
      <c r="X201">
        <v>5437.64</v>
      </c>
      <c r="Y201">
        <v>4397.47</v>
      </c>
      <c r="Z201" t="s">
        <v>34</v>
      </c>
      <c r="AA201" t="s">
        <v>35</v>
      </c>
    </row>
    <row r="202" spans="1:27">
      <c r="A202" t="s">
        <v>1074</v>
      </c>
      <c r="B202" t="s">
        <v>997</v>
      </c>
      <c r="C202" t="s">
        <v>1075</v>
      </c>
      <c r="D202"/>
      <c r="E202" s="7">
        <f>IF(OR(D202="Invalid",D202&lt;0),"",D202)</f>
        <v>0</v>
      </c>
      <c r="F202" t="s">
        <v>1076</v>
      </c>
      <c r="G202" t="s">
        <v>142</v>
      </c>
      <c r="H202" t="str">
        <f>PROPER(TRIM(G202))</f>
        <v>Priya Menon</v>
      </c>
      <c r="I202" t="s">
        <v>41</v>
      </c>
      <c r="J202" t="str">
        <f>PROPER(TRIM(I202))</f>
        <v>Small Business</v>
      </c>
      <c r="K202" t="s">
        <v>27</v>
      </c>
      <c r="L202" t="s">
        <v>28</v>
      </c>
      <c r="M202" t="s">
        <v>29</v>
      </c>
      <c r="N202" t="s">
        <v>86</v>
      </c>
      <c r="O202" t="str">
        <f>TRIM(N202)</f>
        <v>Technology</v>
      </c>
      <c r="P202" t="s">
        <v>94</v>
      </c>
      <c r="Q202" t="s">
        <v>1077</v>
      </c>
      <c r="R202" t="s">
        <v>56</v>
      </c>
      <c r="S202" t="s">
        <v>56</v>
      </c>
      <c r="T202">
        <v>5</v>
      </c>
      <c r="U202">
        <v>2868.44</v>
      </c>
      <c r="V202">
        <v>0.1</v>
      </c>
      <c r="W202">
        <v>12907.98</v>
      </c>
      <c r="X202">
        <v>9197.08</v>
      </c>
      <c r="Y202">
        <v>3710.9</v>
      </c>
      <c r="Z202" t="s">
        <v>137</v>
      </c>
      <c r="AA202" t="s">
        <v>78</v>
      </c>
    </row>
    <row r="203" spans="1:27">
      <c r="A203" t="s">
        <v>1078</v>
      </c>
      <c r="B203" t="s">
        <v>1079</v>
      </c>
      <c r="C203" t="s">
        <v>1080</v>
      </c>
      <c r="D203"/>
      <c r="E203" s="7">
        <f>IF(OR(D203="Invalid",D203&lt;0),"",D203)</f>
        <v>0</v>
      </c>
      <c r="F203" t="s">
        <v>1081</v>
      </c>
      <c r="G203" t="s">
        <v>83</v>
      </c>
      <c r="H203" t="str">
        <f>PROPER(TRIM(G203))</f>
        <v>Vikram Iyer</v>
      </c>
      <c r="I203" t="s">
        <v>26</v>
      </c>
      <c r="J203" t="str">
        <f>PROPER(TRIM(I203))</f>
        <v>Consumer</v>
      </c>
      <c r="K203" t="s">
        <v>73</v>
      </c>
      <c r="L203" t="s">
        <v>84</v>
      </c>
      <c r="M203" t="s">
        <v>85</v>
      </c>
      <c r="N203" t="s">
        <v>30</v>
      </c>
      <c r="O203" t="str">
        <f>TRIM(N203)</f>
        <v>Office Supplies</v>
      </c>
      <c r="P203" t="s">
        <v>109</v>
      </c>
      <c r="Q203" t="s">
        <v>1082</v>
      </c>
      <c r="R203" t="s">
        <v>33</v>
      </c>
      <c r="S203" t="s">
        <v>33</v>
      </c>
      <c r="T203">
        <v>2</v>
      </c>
      <c r="U203">
        <v>2503.5300000000002</v>
      </c>
      <c r="V203">
        <v>-0.16</v>
      </c>
      <c r="W203">
        <v>4756.71</v>
      </c>
      <c r="X203">
        <v>2954.86</v>
      </c>
      <c r="Y203">
        <v>1801.85</v>
      </c>
      <c r="Z203" t="s">
        <v>124</v>
      </c>
      <c r="AA203" t="s">
        <v>78</v>
      </c>
    </row>
    <row r="204" spans="1:27">
      <c r="A204" t="s">
        <v>1083</v>
      </c>
      <c r="B204" t="s">
        <v>1084</v>
      </c>
      <c r="C204" t="s">
        <v>1085</v>
      </c>
      <c r="D204"/>
      <c r="E204" s="7">
        <f>IF(OR(D204="Invalid",D204&lt;0),"",D204)</f>
        <v>0</v>
      </c>
      <c r="F204" t="s">
        <v>1086</v>
      </c>
      <c r="G204" t="s">
        <v>168</v>
      </c>
      <c r="H204" t="str">
        <f>PROPER(TRIM(G204))</f>
        <v>Sneha Kapoor</v>
      </c>
      <c r="I204" t="s">
        <v>108</v>
      </c>
      <c r="J204" t="str">
        <f>PROPER(TRIM(I204))</f>
        <v>Corporate</v>
      </c>
      <c r="K204" t="s">
        <v>73</v>
      </c>
      <c r="L204" t="s">
        <v>249</v>
      </c>
      <c r="M204" t="s">
        <v>250</v>
      </c>
      <c r="N204" t="s">
        <v>86</v>
      </c>
      <c r="O204" t="str">
        <f>TRIM(N204)</f>
        <v>Technology</v>
      </c>
      <c r="P204" t="s">
        <v>87</v>
      </c>
      <c r="Q204" t="s">
        <v>1087</v>
      </c>
      <c r="R204" t="s">
        <v>67</v>
      </c>
      <c r="S204" t="s">
        <v>67</v>
      </c>
      <c r="T204">
        <v>8</v>
      </c>
      <c r="U204">
        <v>1740.94</v>
      </c>
      <c r="V204">
        <v>0.05</v>
      </c>
      <c r="W204">
        <v>13231.14</v>
      </c>
      <c r="X204">
        <v>11290.06</v>
      </c>
      <c r="Y204">
        <v>1941.08</v>
      </c>
      <c r="Z204" t="s">
        <v>34</v>
      </c>
      <c r="AA204" t="s">
        <v>35</v>
      </c>
    </row>
    <row r="205" spans="1:27">
      <c r="A205" t="s">
        <v>1088</v>
      </c>
      <c r="B205" t="s">
        <v>1089</v>
      </c>
      <c r="C205" t="s">
        <v>1090</v>
      </c>
      <c r="D205"/>
      <c r="E205" s="7">
        <f>IF(OR(D205="Invalid",D205&lt;0),"",D205)</f>
        <v>0</v>
      </c>
      <c r="F205" t="s">
        <v>1091</v>
      </c>
      <c r="G205" t="s">
        <v>168</v>
      </c>
      <c r="H205" t="str">
        <f>PROPER(TRIM(G205))</f>
        <v>Sneha Kapoor</v>
      </c>
      <c r="I205" t="s">
        <v>108</v>
      </c>
      <c r="J205" t="str">
        <f>PROPER(TRIM(I205))</f>
        <v>Corporate</v>
      </c>
      <c r="K205" t="s">
        <v>73</v>
      </c>
      <c r="L205" t="s">
        <v>28</v>
      </c>
      <c r="M205" t="s">
        <v>135</v>
      </c>
      <c r="N205" t="s">
        <v>86</v>
      </c>
      <c r="O205" t="str">
        <f>TRIM(N205)</f>
        <v>Technology</v>
      </c>
      <c r="P205" t="s">
        <v>87</v>
      </c>
      <c r="Q205" t="s">
        <v>1092</v>
      </c>
      <c r="R205" t="s">
        <v>33</v>
      </c>
      <c r="S205" t="s">
        <v>33</v>
      </c>
      <c r="T205">
        <v>1</v>
      </c>
      <c r="U205">
        <v>570.34</v>
      </c>
      <c r="V205">
        <v>0.15</v>
      </c>
      <c r="W205">
        <v>484.79</v>
      </c>
      <c r="X205">
        <v>333.54</v>
      </c>
      <c r="Y205">
        <v>151.25</v>
      </c>
      <c r="Z205" t="s">
        <v>34</v>
      </c>
      <c r="AA205" t="s">
        <v>35</v>
      </c>
    </row>
    <row r="206" spans="1:27">
      <c r="A206" t="s">
        <v>1093</v>
      </c>
      <c r="B206" t="s">
        <v>1094</v>
      </c>
      <c r="C206" t="s">
        <v>1095</v>
      </c>
      <c r="D206"/>
      <c r="E206" s="7">
        <f>IF(OR(D206="Invalid",D206&lt;0),"",D206)</f>
        <v>0</v>
      </c>
      <c r="F206" t="s">
        <v>1096</v>
      </c>
      <c r="G206" t="s">
        <v>40</v>
      </c>
      <c r="H206" t="str">
        <f>PROPER(TRIM(G206))</f>
        <v>Mira Das</v>
      </c>
      <c r="I206" t="s">
        <v>115</v>
      </c>
      <c r="J206" t="str">
        <f>PROPER(TRIM(I206))</f>
        <v>Home Office</v>
      </c>
      <c r="K206" t="s">
        <v>42</v>
      </c>
      <c r="L206" t="s">
        <v>121</v>
      </c>
      <c r="M206" t="s">
        <v>122</v>
      </c>
      <c r="N206" t="s">
        <v>45</v>
      </c>
      <c r="O206" t="str">
        <f>TRIM(N206)</f>
        <v>Furniture</v>
      </c>
      <c r="P206" t="s">
        <v>46</v>
      </c>
      <c r="Q206" t="s">
        <v>1097</v>
      </c>
      <c r="R206" t="s">
        <v>33</v>
      </c>
      <c r="S206" t="s">
        <v>33</v>
      </c>
      <c r="T206">
        <v>4</v>
      </c>
      <c r="U206">
        <v>477.69</v>
      </c>
      <c r="V206">
        <v>0.15</v>
      </c>
      <c r="W206">
        <v>1624.15</v>
      </c>
      <c r="X206">
        <v>1217.99</v>
      </c>
      <c r="Y206">
        <v>406.16</v>
      </c>
      <c r="Z206" t="s">
        <v>34</v>
      </c>
      <c r="AA206" t="s">
        <v>35</v>
      </c>
    </row>
    <row r="207" spans="1:27">
      <c r="A207" t="s">
        <v>1098</v>
      </c>
      <c r="B207" t="s">
        <v>1099</v>
      </c>
      <c r="C207" t="s">
        <v>1100</v>
      </c>
      <c r="D207"/>
      <c r="E207" s="7">
        <f>IF(OR(D207="Invalid",D207&lt;0),"",D207)</f>
        <v>0</v>
      </c>
      <c r="F207" t="s">
        <v>1101</v>
      </c>
      <c r="G207" t="s">
        <v>72</v>
      </c>
      <c r="H207" t="str">
        <f>PROPER(TRIM(G207))</f>
        <v>Ananya Rao</v>
      </c>
      <c r="I207" t="s">
        <v>26</v>
      </c>
      <c r="J207" t="str">
        <f>PROPER(TRIM(I207))</f>
        <v>Consumer</v>
      </c>
      <c r="K207" t="s">
        <v>73</v>
      </c>
      <c r="L207" t="s">
        <v>74</v>
      </c>
      <c r="M207" t="s">
        <v>75</v>
      </c>
      <c r="N207" t="s">
        <v>918</v>
      </c>
      <c r="O207" t="str">
        <f>TRIM(N207)</f>
        <v>OFFICE SUPPLIES</v>
      </c>
      <c r="P207" t="s">
        <v>109</v>
      </c>
      <c r="Q207" t="s">
        <v>1102</v>
      </c>
      <c r="R207" t="s">
        <v>48</v>
      </c>
      <c r="S207" t="s">
        <v>48</v>
      </c>
      <c r="T207">
        <v>6</v>
      </c>
      <c r="U207">
        <v>873.59</v>
      </c>
      <c r="V207">
        <v>0.2</v>
      </c>
      <c r="W207">
        <v>4193.2299999999996</v>
      </c>
      <c r="X207">
        <v>3329.99</v>
      </c>
      <c r="Y207">
        <v>863.24</v>
      </c>
      <c r="Z207" t="s">
        <v>34</v>
      </c>
      <c r="AA207" t="s">
        <v>35</v>
      </c>
    </row>
    <row r="208" spans="1:27">
      <c r="A208" t="s">
        <v>1103</v>
      </c>
      <c r="B208" t="s">
        <v>1104</v>
      </c>
      <c r="C208" t="s">
        <v>118</v>
      </c>
      <c r="D208"/>
      <c r="E208" s="7">
        <f>IF(OR(D208="Invalid",D208&lt;0),"",D208)</f>
        <v>0</v>
      </c>
      <c r="F208" t="s">
        <v>1105</v>
      </c>
      <c r="G208" t="s">
        <v>210</v>
      </c>
      <c r="H208" t="str">
        <f>PROPER(TRIM(G208))</f>
        <v>Diya Patel</v>
      </c>
      <c r="I208" t="s">
        <v>41</v>
      </c>
      <c r="J208" t="str">
        <f>PROPER(TRIM(I208))</f>
        <v>Small Business</v>
      </c>
      <c r="K208" t="s">
        <v>27</v>
      </c>
      <c r="L208" t="s">
        <v>174</v>
      </c>
      <c r="M208" t="s">
        <v>175</v>
      </c>
      <c r="N208" t="s">
        <v>45</v>
      </c>
      <c r="O208" t="str">
        <f>TRIM(N208)</f>
        <v>Furniture</v>
      </c>
      <c r="P208" t="s">
        <v>65</v>
      </c>
      <c r="Q208" t="s">
        <v>1106</v>
      </c>
      <c r="R208" t="s">
        <v>56</v>
      </c>
      <c r="S208" t="s">
        <v>56</v>
      </c>
      <c r="T208">
        <v>2</v>
      </c>
      <c r="U208">
        <v>215.13</v>
      </c>
      <c r="V208">
        <v>0</v>
      </c>
      <c r="W208">
        <v>430.26</v>
      </c>
      <c r="X208">
        <v>286.38</v>
      </c>
      <c r="Y208">
        <v>143.88</v>
      </c>
      <c r="Z208" t="s">
        <v>34</v>
      </c>
      <c r="AA208" t="s">
        <v>35</v>
      </c>
    </row>
    <row r="209" spans="1:27">
      <c r="A209" t="s">
        <v>1107</v>
      </c>
      <c r="B209" t="s">
        <v>1108</v>
      </c>
      <c r="C209" t="s">
        <v>1109</v>
      </c>
      <c r="D209"/>
      <c r="E209" s="7">
        <f>IF(OR(D209="Invalid",D209&lt;0),"",D209)</f>
        <v>0</v>
      </c>
      <c r="F209" t="s">
        <v>1110</v>
      </c>
      <c r="G209" t="s">
        <v>162</v>
      </c>
      <c r="H209" t="str">
        <f>PROPER(TRIM(G209))</f>
        <v>Aarav Sharma</v>
      </c>
      <c r="I209" t="s">
        <v>115</v>
      </c>
      <c r="J209" t="str">
        <f>PROPER(TRIM(I209))</f>
        <v>Home Office</v>
      </c>
      <c r="K209" t="s">
        <v>73</v>
      </c>
      <c r="L209" t="s">
        <v>249</v>
      </c>
      <c r="M209" t="s">
        <v>250</v>
      </c>
      <c r="N209" t="s">
        <v>45</v>
      </c>
      <c r="O209" t="str">
        <f>TRIM(N209)</f>
        <v>Furniture</v>
      </c>
      <c r="P209" t="s">
        <v>204</v>
      </c>
      <c r="Q209" t="s">
        <v>1111</v>
      </c>
      <c r="R209" t="s">
        <v>33</v>
      </c>
      <c r="S209" t="s">
        <v>33</v>
      </c>
      <c r="T209">
        <v>2</v>
      </c>
      <c r="U209">
        <v>1095.45</v>
      </c>
      <c r="V209">
        <v>0.2</v>
      </c>
      <c r="W209">
        <v>1752.72</v>
      </c>
      <c r="X209">
        <v>996.41</v>
      </c>
      <c r="Y209">
        <v>756.31</v>
      </c>
      <c r="Z209" t="s">
        <v>34</v>
      </c>
      <c r="AA209" t="s">
        <v>35</v>
      </c>
    </row>
    <row r="210" spans="1:27">
      <c r="A210" t="s">
        <v>1112</v>
      </c>
      <c r="B210" t="s">
        <v>1113</v>
      </c>
      <c r="C210" t="s">
        <v>1114</v>
      </c>
      <c r="D210"/>
      <c r="E210" s="7">
        <f>IF(OR(D210="Invalid",D210&lt;0),"",D210)</f>
        <v>0</v>
      </c>
      <c r="F210" t="s">
        <v>1115</v>
      </c>
      <c r="G210" t="s">
        <v>210</v>
      </c>
      <c r="H210" t="str">
        <f>PROPER(TRIM(G210))</f>
        <v>Diya Patel</v>
      </c>
      <c r="I210" t="s">
        <v>26</v>
      </c>
      <c r="J210" t="str">
        <f>PROPER(TRIM(I210))</f>
        <v>Consumer</v>
      </c>
      <c r="K210" t="s">
        <v>27</v>
      </c>
      <c r="L210" t="s">
        <v>154</v>
      </c>
      <c r="M210" t="s">
        <v>155</v>
      </c>
      <c r="N210" t="s">
        <v>45</v>
      </c>
      <c r="O210" t="str">
        <f>TRIM(N210)</f>
        <v>Furniture</v>
      </c>
      <c r="P210" t="s">
        <v>76</v>
      </c>
      <c r="Q210" t="s">
        <v>1116</v>
      </c>
      <c r="R210" t="s">
        <v>48</v>
      </c>
      <c r="S210" t="s">
        <v>48</v>
      </c>
      <c r="T210">
        <v>1</v>
      </c>
      <c r="U210">
        <v>999.83</v>
      </c>
      <c r="V210">
        <v>0</v>
      </c>
      <c r="W210">
        <v>999.83</v>
      </c>
      <c r="X210">
        <v>634.91</v>
      </c>
      <c r="Y210">
        <v>364.92</v>
      </c>
      <c r="Z210" t="s">
        <v>34</v>
      </c>
      <c r="AA210" t="s">
        <v>35</v>
      </c>
    </row>
    <row r="211" spans="1:27">
      <c r="A211" t="s">
        <v>1117</v>
      </c>
      <c r="B211" t="s">
        <v>1118</v>
      </c>
      <c r="C211" t="s">
        <v>1119</v>
      </c>
      <c r="D211"/>
      <c r="E211" s="7">
        <f>IF(OR(D211="Invalid",D211&lt;0),"",D211)</f>
        <v>0</v>
      </c>
      <c r="F211" t="s">
        <v>1120</v>
      </c>
      <c r="G211" t="s">
        <v>180</v>
      </c>
      <c r="H211" t="str">
        <f>PROPER(TRIM(G211))</f>
        <v>Rohan Mehta</v>
      </c>
      <c r="I211" t="s">
        <v>41</v>
      </c>
      <c r="J211" t="str">
        <f>PROPER(TRIM(I211))</f>
        <v>Small Business</v>
      </c>
      <c r="K211" t="s">
        <v>62</v>
      </c>
      <c r="L211" t="s">
        <v>100</v>
      </c>
      <c r="M211" t="s">
        <v>101</v>
      </c>
      <c r="N211" t="s">
        <v>30</v>
      </c>
      <c r="O211" t="str">
        <f>TRIM(N211)</f>
        <v>Office Supplies</v>
      </c>
      <c r="P211" t="s">
        <v>31</v>
      </c>
      <c r="Q211" t="s">
        <v>1121</v>
      </c>
      <c r="R211" t="s">
        <v>56</v>
      </c>
      <c r="S211" t="s">
        <v>56</v>
      </c>
      <c r="T211">
        <v>9</v>
      </c>
      <c r="U211">
        <v>864.98</v>
      </c>
      <c r="V211">
        <v>0.1</v>
      </c>
      <c r="W211">
        <v>7006.34</v>
      </c>
      <c r="X211">
        <v>4640.88</v>
      </c>
      <c r="Y211">
        <v>2365.46</v>
      </c>
      <c r="Z211" t="s">
        <v>34</v>
      </c>
      <c r="AA211" t="s">
        <v>35</v>
      </c>
    </row>
    <row r="212" spans="1:27">
      <c r="A212" t="s">
        <v>1122</v>
      </c>
      <c r="B212" t="s">
        <v>1123</v>
      </c>
      <c r="C212" t="s">
        <v>1124</v>
      </c>
      <c r="D212"/>
      <c r="E212" s="7">
        <f>IF(OR(D212="Invalid",D212&lt;0),"",D212)</f>
        <v>0</v>
      </c>
      <c r="F212" t="s">
        <v>1125</v>
      </c>
      <c r="G212" t="s">
        <v>366</v>
      </c>
      <c r="H212" t="str">
        <f>PROPER(TRIM(G212))</f>
        <v>Kabir Singh</v>
      </c>
      <c r="I212" t="s">
        <v>115</v>
      </c>
      <c r="J212" t="str">
        <f>PROPER(TRIM(I212))</f>
        <v>Home Office</v>
      </c>
      <c r="K212" t="s">
        <v>62</v>
      </c>
      <c r="L212" t="s">
        <v>229</v>
      </c>
      <c r="M212" t="s">
        <v>230</v>
      </c>
      <c r="N212" t="s">
        <v>86</v>
      </c>
      <c r="O212" t="str">
        <f>TRIM(N212)</f>
        <v>Technology</v>
      </c>
      <c r="P212" t="s">
        <v>382</v>
      </c>
      <c r="Q212" t="s">
        <v>1126</v>
      </c>
      <c r="R212" t="s">
        <v>33</v>
      </c>
      <c r="S212" t="s">
        <v>33</v>
      </c>
      <c r="T212">
        <v>1</v>
      </c>
      <c r="U212">
        <v>4131.3599999999997</v>
      </c>
      <c r="V212">
        <v>0</v>
      </c>
      <c r="W212">
        <v>4131.3599999999997</v>
      </c>
      <c r="X212">
        <v>2937.07</v>
      </c>
      <c r="Y212">
        <v>1194.29</v>
      </c>
      <c r="Z212" t="s">
        <v>200</v>
      </c>
      <c r="AA212" t="s">
        <v>125</v>
      </c>
    </row>
    <row r="213" spans="1:27">
      <c r="A213" t="s">
        <v>1127</v>
      </c>
      <c r="B213" t="s">
        <v>1128</v>
      </c>
      <c r="C213" t="s">
        <v>1129</v>
      </c>
      <c r="D213"/>
      <c r="E213" s="7">
        <f>IF(OR(D213="Invalid",D213&lt;0),"",D213)</f>
        <v>0</v>
      </c>
      <c r="F213" t="s">
        <v>1130</v>
      </c>
      <c r="G213" t="s">
        <v>180</v>
      </c>
      <c r="H213" t="str">
        <f>PROPER(TRIM(G213))</f>
        <v>Rohan Mehta</v>
      </c>
      <c r="I213" t="s">
        <v>108</v>
      </c>
      <c r="J213" t="str">
        <f>PROPER(TRIM(I213))</f>
        <v>Corporate</v>
      </c>
      <c r="K213" t="s">
        <v>1131</v>
      </c>
      <c r="L213" t="s">
        <v>121</v>
      </c>
      <c r="M213" t="s">
        <v>122</v>
      </c>
      <c r="N213" t="s">
        <v>86</v>
      </c>
      <c r="O213" t="str">
        <f>TRIM(N213)</f>
        <v>Technology</v>
      </c>
      <c r="P213" t="s">
        <v>94</v>
      </c>
      <c r="Q213" t="s">
        <v>1132</v>
      </c>
      <c r="R213" t="s">
        <v>33</v>
      </c>
      <c r="S213" t="s">
        <v>33</v>
      </c>
      <c r="T213">
        <v>8</v>
      </c>
      <c r="U213">
        <v>4221.95</v>
      </c>
      <c r="V213">
        <v>0.2</v>
      </c>
      <c r="W213">
        <v>27020.48</v>
      </c>
      <c r="X213">
        <v>22885.24</v>
      </c>
      <c r="Y213">
        <v>4135.24</v>
      </c>
      <c r="Z213" t="s">
        <v>34</v>
      </c>
      <c r="AA213" t="s">
        <v>35</v>
      </c>
    </row>
    <row r="214" spans="1:27">
      <c r="A214" t="s">
        <v>1133</v>
      </c>
      <c r="B214" t="s">
        <v>1134</v>
      </c>
      <c r="C214" t="s">
        <v>1135</v>
      </c>
      <c r="D214"/>
      <c r="E214" s="7">
        <f>IF(OR(D214="Invalid",D214&lt;0),"",D214)</f>
        <v>0</v>
      </c>
      <c r="F214" t="s">
        <v>1136</v>
      </c>
      <c r="G214" t="s">
        <v>72</v>
      </c>
      <c r="H214" t="str">
        <f>PROPER(TRIM(G214))</f>
        <v>Ananya Rao</v>
      </c>
      <c r="I214" t="s">
        <v>41</v>
      </c>
      <c r="J214" t="str">
        <f>PROPER(TRIM(I214))</f>
        <v>Small Business</v>
      </c>
      <c r="K214" t="s">
        <v>42</v>
      </c>
      <c r="L214" t="s">
        <v>43</v>
      </c>
      <c r="M214" t="s">
        <v>44</v>
      </c>
      <c r="N214" t="s">
        <v>86</v>
      </c>
      <c r="O214" t="str">
        <f>TRIM(N214)</f>
        <v>Technology</v>
      </c>
      <c r="P214" t="s">
        <v>223</v>
      </c>
      <c r="Q214" t="s">
        <v>1137</v>
      </c>
      <c r="R214" t="s">
        <v>48</v>
      </c>
      <c r="S214" t="s">
        <v>48</v>
      </c>
      <c r="T214">
        <v>2</v>
      </c>
      <c r="U214">
        <v>214.5</v>
      </c>
      <c r="V214">
        <v>0.15</v>
      </c>
      <c r="W214">
        <v>364.65</v>
      </c>
      <c r="X214">
        <v>280.74</v>
      </c>
      <c r="Y214">
        <v>83.91</v>
      </c>
      <c r="Z214" t="s">
        <v>34</v>
      </c>
      <c r="AA214" t="s">
        <v>35</v>
      </c>
    </row>
    <row r="215" spans="1:27">
      <c r="A215" t="s">
        <v>1138</v>
      </c>
      <c r="B215" t="s">
        <v>1139</v>
      </c>
      <c r="C215" t="s">
        <v>1140</v>
      </c>
      <c r="D215"/>
      <c r="E215" s="7">
        <f>IF(OR(D215="Invalid",D215&lt;0),"",D215)</f>
        <v>0</v>
      </c>
      <c r="F215" t="s">
        <v>1141</v>
      </c>
      <c r="G215" t="s">
        <v>53</v>
      </c>
      <c r="H215" t="str">
        <f>PROPER(TRIM(G215))</f>
        <v>Isha Nair</v>
      </c>
      <c r="I215" t="s">
        <v>41</v>
      </c>
      <c r="J215" t="str">
        <f>PROPER(TRIM(I215))</f>
        <v>Small Business</v>
      </c>
      <c r="K215" t="s">
        <v>42</v>
      </c>
      <c r="L215" t="s">
        <v>186</v>
      </c>
      <c r="M215" t="s">
        <v>187</v>
      </c>
      <c r="N215" t="s">
        <v>86</v>
      </c>
      <c r="O215" t="str">
        <f>TRIM(N215)</f>
        <v>Technology</v>
      </c>
      <c r="P215" t="s">
        <v>87</v>
      </c>
      <c r="Q215" t="s">
        <v>1142</v>
      </c>
      <c r="R215" t="s">
        <v>33</v>
      </c>
      <c r="S215" t="s">
        <v>33</v>
      </c>
      <c r="T215">
        <v>4</v>
      </c>
      <c r="U215">
        <v>4332.7299999999996</v>
      </c>
      <c r="V215">
        <v>0.2</v>
      </c>
      <c r="W215">
        <v>13864.74</v>
      </c>
      <c r="X215">
        <v>11294.06</v>
      </c>
      <c r="Y215">
        <v>2570.6799999999998</v>
      </c>
      <c r="Z215" t="s">
        <v>34</v>
      </c>
      <c r="AA215" t="s">
        <v>35</v>
      </c>
    </row>
    <row r="216" spans="1:27">
      <c r="A216" t="s">
        <v>1143</v>
      </c>
      <c r="B216" t="s">
        <v>1144</v>
      </c>
      <c r="C216" t="s">
        <v>1145</v>
      </c>
      <c r="D216"/>
      <c r="E216" s="7">
        <f>IF(OR(D216="Invalid",D216&lt;0),"",D216)</f>
        <v>0</v>
      </c>
      <c r="F216" t="s">
        <v>1146</v>
      </c>
      <c r="G216" t="s">
        <v>148</v>
      </c>
      <c r="H216" t="str">
        <f>PROPER(TRIM(G216))</f>
        <v>Rahul Verma</v>
      </c>
      <c r="I216" t="s">
        <v>26</v>
      </c>
      <c r="J216" t="str">
        <f>PROPER(TRIM(I216))</f>
        <v>Consumer</v>
      </c>
      <c r="K216" t="s">
        <v>27</v>
      </c>
      <c r="L216" t="s">
        <v>323</v>
      </c>
      <c r="M216" t="s">
        <v>324</v>
      </c>
      <c r="N216" t="s">
        <v>86</v>
      </c>
      <c r="O216" t="str">
        <f>TRIM(N216)</f>
        <v>Technology</v>
      </c>
      <c r="P216" t="s">
        <v>87</v>
      </c>
      <c r="Q216" t="s">
        <v>1147</v>
      </c>
      <c r="R216" t="s">
        <v>56</v>
      </c>
      <c r="S216" t="s">
        <v>56</v>
      </c>
      <c r="T216">
        <v>3</v>
      </c>
      <c r="U216">
        <v>248.18</v>
      </c>
      <c r="V216">
        <v>0.05</v>
      </c>
      <c r="W216">
        <v>707.31</v>
      </c>
      <c r="X216">
        <v>569</v>
      </c>
      <c r="Y216">
        <v>138.31</v>
      </c>
      <c r="Z216" t="s">
        <v>34</v>
      </c>
      <c r="AA216" t="s">
        <v>35</v>
      </c>
    </row>
    <row r="217" spans="1:27">
      <c r="A217" t="s">
        <v>1148</v>
      </c>
      <c r="B217" t="s">
        <v>1149</v>
      </c>
      <c r="C217" t="s">
        <v>207</v>
      </c>
      <c r="D217"/>
      <c r="E217" s="7">
        <f>IF(OR(D217="Invalid",D217&lt;0),"",D217)</f>
        <v>0</v>
      </c>
      <c r="F217" t="s">
        <v>1150</v>
      </c>
      <c r="G217" t="s">
        <v>40</v>
      </c>
      <c r="H217" t="str">
        <f>PROPER(TRIM(G217))</f>
        <v>Mira Das</v>
      </c>
      <c r="I217" t="s">
        <v>26</v>
      </c>
      <c r="J217" t="str">
        <f>PROPER(TRIM(I217))</f>
        <v>Consumer</v>
      </c>
      <c r="K217" t="s">
        <v>73</v>
      </c>
      <c r="L217" t="s">
        <v>84</v>
      </c>
      <c r="M217" t="s">
        <v>85</v>
      </c>
      <c r="N217" t="s">
        <v>30</v>
      </c>
      <c r="O217" t="str">
        <f>TRIM(N217)</f>
        <v>Office Supplies</v>
      </c>
      <c r="P217" t="s">
        <v>31</v>
      </c>
      <c r="Q217" t="s">
        <v>1151</v>
      </c>
      <c r="R217" t="s">
        <v>56</v>
      </c>
      <c r="S217" t="s">
        <v>56</v>
      </c>
      <c r="T217">
        <v>8</v>
      </c>
      <c r="U217">
        <v>3202.4</v>
      </c>
      <c r="V217">
        <v>0.25</v>
      </c>
      <c r="W217">
        <v>19214.400000000001</v>
      </c>
      <c r="X217">
        <v>10916.01</v>
      </c>
      <c r="Y217">
        <v>8298.39</v>
      </c>
      <c r="Z217" t="s">
        <v>34</v>
      </c>
      <c r="AA217" t="s">
        <v>35</v>
      </c>
    </row>
    <row r="218" spans="1:27">
      <c r="A218" t="s">
        <v>1152</v>
      </c>
      <c r="B218" t="s">
        <v>90</v>
      </c>
      <c r="C218" t="s">
        <v>1153</v>
      </c>
      <c r="D218"/>
      <c r="E218" s="7">
        <f>IF(OR(D218="Invalid",D218&lt;0),"",D218)</f>
        <v>0</v>
      </c>
      <c r="F218" t="s">
        <v>1154</v>
      </c>
      <c r="G218" t="s">
        <v>53</v>
      </c>
      <c r="H218" t="str">
        <f>PROPER(TRIM(G218))</f>
        <v>Isha Nair</v>
      </c>
      <c r="I218" t="s">
        <v>26</v>
      </c>
      <c r="J218" t="str">
        <f>PROPER(TRIM(I218))</f>
        <v>Consumer</v>
      </c>
      <c r="K218" t="s">
        <v>73</v>
      </c>
      <c r="L218" t="s">
        <v>235</v>
      </c>
      <c r="M218" t="s">
        <v>236</v>
      </c>
      <c r="N218" t="s">
        <v>45</v>
      </c>
      <c r="O218" t="str">
        <f>TRIM(N218)</f>
        <v>Furniture</v>
      </c>
      <c r="P218" t="s">
        <v>46</v>
      </c>
      <c r="Q218" t="s">
        <v>1155</v>
      </c>
      <c r="R218" t="s">
        <v>67</v>
      </c>
      <c r="S218" t="s">
        <v>67</v>
      </c>
      <c r="T218">
        <v>8</v>
      </c>
      <c r="U218">
        <v>1839.87</v>
      </c>
      <c r="V218">
        <v>0.25</v>
      </c>
      <c r="W218">
        <v>11039.22</v>
      </c>
      <c r="X218">
        <v>7642.91</v>
      </c>
      <c r="Y218">
        <v>3396.31</v>
      </c>
      <c r="Z218" t="s">
        <v>200</v>
      </c>
      <c r="AA218" t="s">
        <v>125</v>
      </c>
    </row>
    <row r="219" spans="1:27">
      <c r="A219" t="s">
        <v>1156</v>
      </c>
      <c r="B219" t="s">
        <v>1157</v>
      </c>
      <c r="C219" t="s">
        <v>1158</v>
      </c>
      <c r="D219"/>
      <c r="E219" s="7">
        <f>IF(OR(D219="Invalid",D219&lt;0),"",D219)</f>
        <v>0</v>
      </c>
      <c r="F219" t="s">
        <v>1159</v>
      </c>
      <c r="G219" t="s">
        <v>107</v>
      </c>
      <c r="H219" t="str">
        <f>PROPER(TRIM(G219))</f>
        <v>Aditi Sen</v>
      </c>
      <c r="I219" t="s">
        <v>26</v>
      </c>
      <c r="J219" t="str">
        <f>PROPER(TRIM(I219))</f>
        <v>Consumer</v>
      </c>
      <c r="K219" t="s">
        <v>42</v>
      </c>
      <c r="L219" t="s">
        <v>43</v>
      </c>
      <c r="M219" t="s">
        <v>44</v>
      </c>
      <c r="N219" t="s">
        <v>45</v>
      </c>
      <c r="O219" t="str">
        <f>TRIM(N219)</f>
        <v>Furniture</v>
      </c>
      <c r="P219" t="s">
        <v>204</v>
      </c>
      <c r="Q219" t="s">
        <v>1160</v>
      </c>
      <c r="R219" t="s">
        <v>33</v>
      </c>
      <c r="S219" t="s">
        <v>33</v>
      </c>
      <c r="T219">
        <v>5</v>
      </c>
      <c r="U219">
        <v>1021.28</v>
      </c>
      <c r="V219">
        <v>0.1</v>
      </c>
      <c r="W219">
        <v>4595.76</v>
      </c>
      <c r="X219">
        <v>3396.8</v>
      </c>
      <c r="Y219">
        <v>1198.96</v>
      </c>
      <c r="Z219" t="s">
        <v>124</v>
      </c>
      <c r="AA219" t="s">
        <v>78</v>
      </c>
    </row>
    <row r="220" spans="1:27">
      <c r="A220" t="s">
        <v>1161</v>
      </c>
      <c r="B220" t="s">
        <v>1162</v>
      </c>
      <c r="C220" t="s">
        <v>1163</v>
      </c>
      <c r="D220"/>
      <c r="E220" s="7">
        <f>IF(OR(D220="Invalid",D220&lt;0),"",D220)</f>
        <v>0</v>
      </c>
      <c r="F220" t="s">
        <v>1164</v>
      </c>
      <c r="G220" t="s">
        <v>142</v>
      </c>
      <c r="H220" t="str">
        <f>PROPER(TRIM(G220))</f>
        <v>Priya Menon</v>
      </c>
      <c r="I220" t="s">
        <v>108</v>
      </c>
      <c r="J220" t="str">
        <f>PROPER(TRIM(I220))</f>
        <v>Corporate</v>
      </c>
      <c r="K220" t="s">
        <v>73</v>
      </c>
      <c r="L220" t="s">
        <v>235</v>
      </c>
      <c r="M220" t="s">
        <v>236</v>
      </c>
      <c r="N220" t="s">
        <v>45</v>
      </c>
      <c r="O220" t="str">
        <f>TRIM(N220)</f>
        <v>Furniture</v>
      </c>
      <c r="P220" t="s">
        <v>204</v>
      </c>
      <c r="Q220" t="s">
        <v>1165</v>
      </c>
      <c r="R220" t="s">
        <v>67</v>
      </c>
      <c r="S220" t="s">
        <v>67</v>
      </c>
      <c r="T220">
        <v>5</v>
      </c>
      <c r="U220">
        <v>258.27999999999997</v>
      </c>
      <c r="V220">
        <v>0</v>
      </c>
      <c r="W220">
        <v>1291.4000000000001</v>
      </c>
      <c r="X220">
        <v>756.93</v>
      </c>
      <c r="Y220">
        <v>534.47</v>
      </c>
      <c r="Z220" t="s">
        <v>34</v>
      </c>
      <c r="AA220" t="s">
        <v>35</v>
      </c>
    </row>
    <row r="221" spans="1:27">
      <c r="A221" t="s">
        <v>1166</v>
      </c>
      <c r="B221" t="s">
        <v>684</v>
      </c>
      <c r="C221" t="s">
        <v>1167</v>
      </c>
      <c r="D221"/>
      <c r="E221" s="7">
        <f>IF(OR(D221="Invalid",D221&lt;0),"",D221)</f>
        <v>0</v>
      </c>
      <c r="F221" t="s">
        <v>1168</v>
      </c>
      <c r="G221" t="s">
        <v>148</v>
      </c>
      <c r="H221" t="str">
        <f>PROPER(TRIM(G221))</f>
        <v>Rahul Verma</v>
      </c>
      <c r="I221" t="s">
        <v>26</v>
      </c>
      <c r="J221" t="str">
        <f>PROPER(TRIM(I221))</f>
        <v>Consumer</v>
      </c>
      <c r="K221" t="s">
        <v>42</v>
      </c>
      <c r="L221" t="s">
        <v>186</v>
      </c>
      <c r="M221" t="s">
        <v>187</v>
      </c>
      <c r="N221" t="s">
        <v>86</v>
      </c>
      <c r="O221" t="str">
        <f>TRIM(N221)</f>
        <v>Technology</v>
      </c>
      <c r="P221" t="s">
        <v>382</v>
      </c>
      <c r="Q221" t="s">
        <v>1169</v>
      </c>
      <c r="R221" t="s">
        <v>56</v>
      </c>
      <c r="S221" t="s">
        <v>56</v>
      </c>
      <c r="T221">
        <v>2</v>
      </c>
      <c r="U221">
        <v>121.49</v>
      </c>
      <c r="V221" t="s">
        <v>1170</v>
      </c>
      <c r="W221">
        <v>242.98</v>
      </c>
      <c r="X221">
        <v>161.41999999999999</v>
      </c>
      <c r="Y221">
        <v>81.56</v>
      </c>
      <c r="Z221" t="s">
        <v>34</v>
      </c>
      <c r="AA221" t="s">
        <v>35</v>
      </c>
    </row>
    <row r="222" spans="1:27">
      <c r="A222" t="s">
        <v>1171</v>
      </c>
      <c r="B222" t="s">
        <v>1172</v>
      </c>
      <c r="C222" t="s">
        <v>1172</v>
      </c>
      <c r="D222"/>
      <c r="E222" s="7">
        <f>IF(OR(D222="Invalid",D222&lt;0),"",D222)</f>
        <v>0</v>
      </c>
      <c r="F222" t="s">
        <v>1173</v>
      </c>
      <c r="G222" t="s">
        <v>168</v>
      </c>
      <c r="H222" t="str">
        <f>PROPER(TRIM(G222))</f>
        <v>Sneha Kapoor</v>
      </c>
      <c r="I222" t="s">
        <v>26</v>
      </c>
      <c r="J222" t="str">
        <f>PROPER(TRIM(I222))</f>
        <v>Consumer</v>
      </c>
      <c r="K222" t="s">
        <v>62</v>
      </c>
      <c r="L222" t="s">
        <v>242</v>
      </c>
      <c r="M222" t="s">
        <v>243</v>
      </c>
      <c r="N222" t="s">
        <v>30</v>
      </c>
      <c r="O222" t="str">
        <f>TRIM(N222)</f>
        <v>Office Supplies</v>
      </c>
      <c r="P222" t="s">
        <v>156</v>
      </c>
      <c r="Q222" t="s">
        <v>1174</v>
      </c>
      <c r="R222" t="s">
        <v>56</v>
      </c>
      <c r="S222" t="s">
        <v>56</v>
      </c>
      <c r="T222">
        <v>4</v>
      </c>
      <c r="U222">
        <v>2810.17</v>
      </c>
      <c r="V222">
        <v>0.15</v>
      </c>
      <c r="W222">
        <v>9554.58</v>
      </c>
      <c r="X222">
        <v>6068.47</v>
      </c>
      <c r="Y222">
        <v>3486.11</v>
      </c>
      <c r="Z222" t="s">
        <v>124</v>
      </c>
      <c r="AA222" t="s">
        <v>78</v>
      </c>
    </row>
    <row r="223" spans="1:27">
      <c r="A223" t="s">
        <v>1175</v>
      </c>
      <c r="B223" t="s">
        <v>1176</v>
      </c>
      <c r="C223" t="s">
        <v>1177</v>
      </c>
      <c r="D223"/>
      <c r="E223" s="7">
        <f>IF(OR(D223="Invalid",D223&lt;0),"",D223)</f>
        <v>0</v>
      </c>
      <c r="F223" t="s">
        <v>1178</v>
      </c>
      <c r="G223" t="s">
        <v>40</v>
      </c>
      <c r="H223" t="str">
        <f>PROPER(TRIM(G223))</f>
        <v>Mira Das</v>
      </c>
      <c r="I223" t="s">
        <v>108</v>
      </c>
      <c r="J223" t="str">
        <f>PROPER(TRIM(I223))</f>
        <v>Corporate</v>
      </c>
      <c r="K223" t="s">
        <v>62</v>
      </c>
      <c r="L223" t="s">
        <v>229</v>
      </c>
      <c r="M223" t="s">
        <v>230</v>
      </c>
      <c r="N223" t="s">
        <v>45</v>
      </c>
      <c r="O223" t="str">
        <f>TRIM(N223)</f>
        <v>Furniture</v>
      </c>
      <c r="P223" t="s">
        <v>76</v>
      </c>
      <c r="Q223" t="s">
        <v>1179</v>
      </c>
      <c r="R223" t="s">
        <v>48</v>
      </c>
      <c r="S223" t="s">
        <v>48</v>
      </c>
      <c r="T223">
        <v>4</v>
      </c>
      <c r="U223">
        <v>1531.53</v>
      </c>
      <c r="V223">
        <v>0.2</v>
      </c>
      <c r="W223">
        <v>4900.8999999999996</v>
      </c>
      <c r="X223">
        <v>3552.69</v>
      </c>
      <c r="Y223">
        <v>1348.21</v>
      </c>
      <c r="Z223" t="s">
        <v>34</v>
      </c>
      <c r="AA223" t="s">
        <v>35</v>
      </c>
    </row>
    <row r="224" spans="1:27">
      <c r="A224" t="s">
        <v>1180</v>
      </c>
      <c r="B224" t="s">
        <v>1181</v>
      </c>
      <c r="C224" t="s">
        <v>1013</v>
      </c>
      <c r="D224"/>
      <c r="E224" s="7">
        <f>IF(OR(D224="Invalid",D224&lt;0),"",D224)</f>
        <v>0</v>
      </c>
      <c r="F224" t="s">
        <v>1182</v>
      </c>
      <c r="G224" t="s">
        <v>83</v>
      </c>
      <c r="H224" t="str">
        <f>PROPER(TRIM(G224))</f>
        <v>Vikram Iyer</v>
      </c>
      <c r="I224" t="s">
        <v>41</v>
      </c>
      <c r="J224" t="str">
        <f>PROPER(TRIM(I224))</f>
        <v>Small Business</v>
      </c>
      <c r="K224" t="s">
        <v>73</v>
      </c>
      <c r="L224" t="s">
        <v>249</v>
      </c>
      <c r="M224" t="s">
        <v>250</v>
      </c>
      <c r="N224" t="s">
        <v>30</v>
      </c>
      <c r="O224" t="str">
        <f>TRIM(N224)</f>
        <v>Office Supplies</v>
      </c>
      <c r="P224" t="s">
        <v>156</v>
      </c>
      <c r="Q224" t="s">
        <v>1183</v>
      </c>
      <c r="R224" t="s">
        <v>56</v>
      </c>
      <c r="S224" t="s">
        <v>56</v>
      </c>
      <c r="T224">
        <v>6</v>
      </c>
      <c r="U224">
        <v>4308.09</v>
      </c>
      <c r="V224">
        <v>0</v>
      </c>
      <c r="W224">
        <v>25848.54</v>
      </c>
      <c r="X224">
        <v>17729.09</v>
      </c>
      <c r="Y224">
        <v>8119.45</v>
      </c>
      <c r="Z224" t="s">
        <v>34</v>
      </c>
      <c r="AA224" t="s">
        <v>35</v>
      </c>
    </row>
    <row r="225" spans="1:27">
      <c r="A225" t="s">
        <v>1184</v>
      </c>
      <c r="B225" t="s">
        <v>1185</v>
      </c>
      <c r="C225" t="s">
        <v>1186</v>
      </c>
      <c r="D225"/>
      <c r="E225" s="7">
        <f>IF(OR(D225="Invalid",D225&lt;0),"",D225)</f>
        <v>0</v>
      </c>
      <c r="F225" t="s">
        <v>1187</v>
      </c>
      <c r="G225" t="s">
        <v>40</v>
      </c>
      <c r="H225" t="str">
        <f>PROPER(TRIM(G225))</f>
        <v>Mira Das</v>
      </c>
      <c r="I225" t="s">
        <v>108</v>
      </c>
      <c r="J225" t="str">
        <f>PROPER(TRIM(I225))</f>
        <v>Corporate</v>
      </c>
      <c r="K225" t="s">
        <v>73</v>
      </c>
      <c r="L225" t="s">
        <v>74</v>
      </c>
      <c r="M225" t="s">
        <v>75</v>
      </c>
      <c r="N225" t="s">
        <v>45</v>
      </c>
      <c r="O225" t="str">
        <f>TRIM(N225)</f>
        <v>Furniture</v>
      </c>
      <c r="P225" t="s">
        <v>65</v>
      </c>
      <c r="Q225" t="s">
        <v>1188</v>
      </c>
      <c r="R225" t="s">
        <v>56</v>
      </c>
      <c r="S225" t="s">
        <v>56</v>
      </c>
      <c r="T225">
        <v>3</v>
      </c>
      <c r="U225">
        <v>490.3</v>
      </c>
      <c r="V225">
        <v>0.2</v>
      </c>
      <c r="W225">
        <v>1176.72</v>
      </c>
      <c r="X225">
        <v>654.33000000000004</v>
      </c>
      <c r="Y225">
        <v>522.39</v>
      </c>
      <c r="Z225" t="s">
        <v>137</v>
      </c>
      <c r="AA225" t="s">
        <v>125</v>
      </c>
    </row>
    <row r="226" spans="1:27">
      <c r="A226" t="s">
        <v>1189</v>
      </c>
      <c r="B226" t="s">
        <v>1190</v>
      </c>
      <c r="C226" t="s">
        <v>1191</v>
      </c>
      <c r="D226"/>
      <c r="E226" s="7">
        <f>IF(OR(D226="Invalid",D226&lt;0),"",D226)</f>
        <v>0</v>
      </c>
      <c r="F226" t="s">
        <v>1192</v>
      </c>
      <c r="G226" t="s">
        <v>53</v>
      </c>
      <c r="H226" t="str">
        <f>PROPER(TRIM(G226))</f>
        <v>Isha Nair</v>
      </c>
      <c r="I226" t="s">
        <v>41</v>
      </c>
      <c r="J226" t="str">
        <f>PROPER(TRIM(I226))</f>
        <v>Small Business</v>
      </c>
      <c r="K226" t="s">
        <v>27</v>
      </c>
      <c r="L226" t="s">
        <v>154</v>
      </c>
      <c r="M226" t="s">
        <v>155</v>
      </c>
      <c r="N226" t="s">
        <v>45</v>
      </c>
      <c r="O226" t="str">
        <f>TRIM(N226)</f>
        <v>Furniture</v>
      </c>
      <c r="P226" t="s">
        <v>65</v>
      </c>
      <c r="Q226" t="s">
        <v>1193</v>
      </c>
      <c r="R226" t="s">
        <v>67</v>
      </c>
      <c r="S226" t="s">
        <v>67</v>
      </c>
      <c r="T226">
        <v>4</v>
      </c>
      <c r="U226">
        <v>3944.64</v>
      </c>
      <c r="V226">
        <v>0.25</v>
      </c>
      <c r="W226">
        <v>11833.92</v>
      </c>
      <c r="X226">
        <v>6682.92</v>
      </c>
      <c r="Y226">
        <v>5151</v>
      </c>
      <c r="Z226" t="s">
        <v>34</v>
      </c>
      <c r="AA226" t="s">
        <v>78</v>
      </c>
    </row>
    <row r="227" spans="1:27">
      <c r="A227" t="s">
        <v>1194</v>
      </c>
      <c r="B227" t="s">
        <v>1195</v>
      </c>
      <c r="C227" t="s">
        <v>1196</v>
      </c>
      <c r="D227"/>
      <c r="E227" s="7">
        <f>IF(OR(D227="Invalid",D227&lt;0),"",D227)</f>
        <v>0</v>
      </c>
      <c r="F227" t="s">
        <v>1197</v>
      </c>
      <c r="G227" t="s">
        <v>40</v>
      </c>
      <c r="H227" t="str">
        <f>PROPER(TRIM(G227))</f>
        <v>Mira Das</v>
      </c>
      <c r="I227" t="s">
        <v>108</v>
      </c>
      <c r="J227" t="str">
        <f>PROPER(TRIM(I227))</f>
        <v>Corporate</v>
      </c>
      <c r="K227" t="s">
        <v>73</v>
      </c>
      <c r="L227" t="s">
        <v>249</v>
      </c>
      <c r="M227" t="s">
        <v>250</v>
      </c>
      <c r="N227" t="s">
        <v>86</v>
      </c>
      <c r="O227" t="str">
        <f>TRIM(N227)</f>
        <v>Technology</v>
      </c>
      <c r="P227" t="s">
        <v>223</v>
      </c>
      <c r="Q227" t="s">
        <v>1198</v>
      </c>
      <c r="R227" t="s">
        <v>67</v>
      </c>
      <c r="S227" t="s">
        <v>67</v>
      </c>
      <c r="T227">
        <v>6</v>
      </c>
      <c r="U227">
        <v>1032.47</v>
      </c>
      <c r="V227">
        <v>0.15</v>
      </c>
      <c r="W227">
        <v>5265.6</v>
      </c>
      <c r="X227">
        <v>4293.1099999999997</v>
      </c>
      <c r="Y227">
        <v>787.57</v>
      </c>
      <c r="Z227" t="s">
        <v>34</v>
      </c>
      <c r="AA227" t="s">
        <v>35</v>
      </c>
    </row>
    <row r="228" spans="1:27">
      <c r="A228" t="s">
        <v>1199</v>
      </c>
      <c r="B228" s="4" t="s">
        <v>1200</v>
      </c>
      <c r="C228" s="4" t="s">
        <v>1153</v>
      </c>
      <c r="D228" s="4" t="str">
        <f>IF(C116&lt;B116,"Invalid","OK")</f>
        <v>OK</v>
      </c>
      <c r="E228" s="7" t="str">
        <f>IF(OR(D228="Invalid",D228&lt;0),"",D228)</f>
        <v>OK</v>
      </c>
      <c r="F228" t="s">
        <v>1201</v>
      </c>
      <c r="G228" t="s">
        <v>210</v>
      </c>
      <c r="H228" t="str">
        <f>PROPER(TRIM(G228))</f>
        <v>Diya Patel</v>
      </c>
      <c r="I228" t="s">
        <v>115</v>
      </c>
      <c r="J228" t="str">
        <f>PROPER(TRIM(I228))</f>
        <v>Home Office</v>
      </c>
      <c r="K228" t="s">
        <v>62</v>
      </c>
      <c r="L228" t="s">
        <v>242</v>
      </c>
      <c r="M228" t="s">
        <v>243</v>
      </c>
      <c r="N228" t="s">
        <v>86</v>
      </c>
      <c r="O228" t="str">
        <f>TRIM(N228)</f>
        <v>Technology</v>
      </c>
      <c r="P228" t="s">
        <v>94</v>
      </c>
      <c r="Q228" t="s">
        <v>1202</v>
      </c>
      <c r="R228" t="s">
        <v>48</v>
      </c>
      <c r="S228" t="s">
        <v>48</v>
      </c>
      <c r="T228">
        <v>1</v>
      </c>
      <c r="U228">
        <v>2208.27</v>
      </c>
      <c r="V228">
        <v>0.1</v>
      </c>
      <c r="W228">
        <v>1987.44</v>
      </c>
      <c r="X228">
        <v>1110.23</v>
      </c>
      <c r="Y228">
        <v>877.21</v>
      </c>
      <c r="Z228" t="s">
        <v>34</v>
      </c>
      <c r="AA228" t="s">
        <v>35</v>
      </c>
    </row>
    <row r="229" spans="1:27">
      <c r="A229" t="s">
        <v>1203</v>
      </c>
      <c r="B229" t="s">
        <v>1204</v>
      </c>
      <c r="C229" t="s">
        <v>1205</v>
      </c>
      <c r="D229"/>
      <c r="E229" s="7">
        <f>IF(OR(D229="Invalid",D229&lt;0),"",D229)</f>
        <v>0</v>
      </c>
      <c r="F229" t="s">
        <v>1206</v>
      </c>
      <c r="G229" t="s">
        <v>72</v>
      </c>
      <c r="H229" t="str">
        <f>PROPER(TRIM(G229))</f>
        <v>Ananya Rao</v>
      </c>
      <c r="I229" t="s">
        <v>1207</v>
      </c>
      <c r="J229" t="str">
        <f>PROPER(TRIM(I229))</f>
        <v>Small Business</v>
      </c>
      <c r="K229" t="s">
        <v>73</v>
      </c>
      <c r="L229" t="s">
        <v>249</v>
      </c>
      <c r="M229" t="s">
        <v>250</v>
      </c>
      <c r="N229" t="s">
        <v>30</v>
      </c>
      <c r="O229" t="str">
        <f>TRIM(N229)</f>
        <v>Office Supplies</v>
      </c>
      <c r="P229" t="s">
        <v>198</v>
      </c>
      <c r="Q229" t="s">
        <v>1208</v>
      </c>
      <c r="R229" t="s">
        <v>56</v>
      </c>
      <c r="S229" t="s">
        <v>56</v>
      </c>
      <c r="T229">
        <v>3</v>
      </c>
      <c r="U229">
        <v>577.75</v>
      </c>
      <c r="V229">
        <v>0.15</v>
      </c>
      <c r="W229">
        <v>1473.26</v>
      </c>
      <c r="X229">
        <v>899.86</v>
      </c>
      <c r="Y229">
        <v>573.4</v>
      </c>
      <c r="Z229" t="s">
        <v>34</v>
      </c>
      <c r="AA229" t="s">
        <v>35</v>
      </c>
    </row>
    <row r="230" spans="1:27">
      <c r="A230" t="s">
        <v>1209</v>
      </c>
      <c r="B230" t="s">
        <v>1210</v>
      </c>
      <c r="C230" t="s">
        <v>1211</v>
      </c>
      <c r="D230"/>
      <c r="E230" s="7">
        <f>IF(OR(D230="Invalid",D230&lt;0),"",D230)</f>
        <v>0</v>
      </c>
      <c r="F230" t="s">
        <v>1212</v>
      </c>
      <c r="G230" t="s">
        <v>25</v>
      </c>
      <c r="H230" t="str">
        <f>PROPER(TRIM(G230))</f>
        <v>Karan Malhotra</v>
      </c>
      <c r="I230" t="s">
        <v>41</v>
      </c>
      <c r="J230" t="str">
        <f>PROPER(TRIM(I230))</f>
        <v>Small Business</v>
      </c>
      <c r="K230" t="s">
        <v>62</v>
      </c>
      <c r="L230" t="s">
        <v>63</v>
      </c>
      <c r="M230" t="s">
        <v>64</v>
      </c>
      <c r="N230" t="s">
        <v>30</v>
      </c>
      <c r="O230" t="str">
        <f>TRIM(N230)</f>
        <v>Office Supplies</v>
      </c>
      <c r="P230" t="s">
        <v>109</v>
      </c>
      <c r="Q230" t="s">
        <v>1213</v>
      </c>
      <c r="R230" t="s">
        <v>33</v>
      </c>
      <c r="S230" t="s">
        <v>33</v>
      </c>
      <c r="T230">
        <v>1</v>
      </c>
      <c r="U230">
        <v>3194.37</v>
      </c>
      <c r="V230">
        <v>0.15</v>
      </c>
      <c r="W230">
        <v>2715.21</v>
      </c>
      <c r="X230">
        <v>1551.55</v>
      </c>
      <c r="Y230">
        <v>1163.6600000000001</v>
      </c>
      <c r="Z230" t="s">
        <v>34</v>
      </c>
      <c r="AA230" t="s">
        <v>35</v>
      </c>
    </row>
    <row r="231" spans="1:27">
      <c r="A231" t="s">
        <v>1214</v>
      </c>
      <c r="B231" t="s">
        <v>1215</v>
      </c>
      <c r="C231" t="s">
        <v>1216</v>
      </c>
      <c r="D231"/>
      <c r="E231" s="7">
        <f>IF(OR(D231="Invalid",D231&lt;0),"",D231)</f>
        <v>0</v>
      </c>
      <c r="F231" t="s">
        <v>1217</v>
      </c>
      <c r="G231" t="s">
        <v>180</v>
      </c>
      <c r="H231" t="str">
        <f>PROPER(TRIM(G231))</f>
        <v>Rohan Mehta</v>
      </c>
      <c r="I231" t="s">
        <v>26</v>
      </c>
      <c r="J231" t="str">
        <f>PROPER(TRIM(I231))</f>
        <v>Consumer</v>
      </c>
      <c r="K231" t="s">
        <v>62</v>
      </c>
      <c r="L231" t="s">
        <v>63</v>
      </c>
      <c r="M231" t="s">
        <v>64</v>
      </c>
      <c r="N231" t="s">
        <v>45</v>
      </c>
      <c r="O231" t="str">
        <f>TRIM(N231)</f>
        <v>Furniture</v>
      </c>
      <c r="P231" t="s">
        <v>204</v>
      </c>
      <c r="Q231" t="s">
        <v>1218</v>
      </c>
      <c r="R231" t="s">
        <v>56</v>
      </c>
      <c r="S231" t="s">
        <v>56</v>
      </c>
      <c r="T231">
        <v>3</v>
      </c>
      <c r="U231">
        <v>2886.23</v>
      </c>
      <c r="V231">
        <v>0</v>
      </c>
      <c r="W231">
        <v>8658.69</v>
      </c>
      <c r="X231">
        <v>5535.94</v>
      </c>
      <c r="Y231">
        <v>3122.75</v>
      </c>
      <c r="Z231" t="s">
        <v>124</v>
      </c>
      <c r="AA231" t="s">
        <v>125</v>
      </c>
    </row>
    <row r="232" spans="1:27">
      <c r="A232" t="s">
        <v>1219</v>
      </c>
      <c r="B232" t="s">
        <v>81</v>
      </c>
      <c r="C232" t="s">
        <v>1220</v>
      </c>
      <c r="D232"/>
      <c r="E232" s="7">
        <f>IF(OR(D232="Invalid",D232&lt;0),"",D232)</f>
        <v>0</v>
      </c>
      <c r="F232" t="s">
        <v>1221</v>
      </c>
      <c r="G232" t="s">
        <v>93</v>
      </c>
      <c r="H232" t="str">
        <f>PROPER(TRIM(G232))</f>
        <v>Neha Gupta</v>
      </c>
      <c r="I232" t="s">
        <v>41</v>
      </c>
      <c r="J232" t="str">
        <f>PROPER(TRIM(I232))</f>
        <v>Small Business</v>
      </c>
      <c r="K232" t="s">
        <v>27</v>
      </c>
      <c r="L232" t="s">
        <v>28</v>
      </c>
      <c r="M232" t="s">
        <v>29</v>
      </c>
      <c r="N232" t="s">
        <v>30</v>
      </c>
      <c r="O232" t="str">
        <f>TRIM(N232)</f>
        <v>Office Supplies</v>
      </c>
      <c r="P232" t="s">
        <v>31</v>
      </c>
      <c r="Q232" t="s">
        <v>1222</v>
      </c>
      <c r="R232" t="s">
        <v>67</v>
      </c>
      <c r="S232" t="s">
        <v>67</v>
      </c>
      <c r="T232">
        <v>8</v>
      </c>
      <c r="U232">
        <v>1540.33</v>
      </c>
      <c r="V232">
        <v>0.1</v>
      </c>
      <c r="W232">
        <v>11090.38</v>
      </c>
      <c r="X232">
        <v>8840.9500000000007</v>
      </c>
      <c r="Y232">
        <v>2249.4299999999998</v>
      </c>
      <c r="Z232" t="s">
        <v>34</v>
      </c>
      <c r="AA232" t="s">
        <v>35</v>
      </c>
    </row>
    <row r="233" spans="1:27">
      <c r="A233" t="s">
        <v>1223</v>
      </c>
      <c r="B233" t="s">
        <v>1224</v>
      </c>
      <c r="C233" t="s">
        <v>1225</v>
      </c>
      <c r="D233"/>
      <c r="E233" s="7">
        <f>IF(OR(D233="Invalid",D233&lt;0),"",D233)</f>
        <v>0</v>
      </c>
      <c r="F233" t="s">
        <v>1226</v>
      </c>
      <c r="G233" t="s">
        <v>72</v>
      </c>
      <c r="H233" t="str">
        <f>PROPER(TRIM(G233))</f>
        <v>Ananya Rao</v>
      </c>
      <c r="I233" t="s">
        <v>108</v>
      </c>
      <c r="J233" t="str">
        <f>PROPER(TRIM(I233))</f>
        <v>Corporate</v>
      </c>
      <c r="K233" t="s">
        <v>27</v>
      </c>
      <c r="L233" t="s">
        <v>28</v>
      </c>
      <c r="M233" t="s">
        <v>29</v>
      </c>
      <c r="N233" t="s">
        <v>1227</v>
      </c>
      <c r="O233" t="str">
        <f>TRIM(N233)</f>
        <v>Office Supplies</v>
      </c>
      <c r="P233" t="s">
        <v>109</v>
      </c>
      <c r="Q233" t="s">
        <v>1228</v>
      </c>
      <c r="R233" t="s">
        <v>56</v>
      </c>
      <c r="S233" t="s">
        <v>56</v>
      </c>
      <c r="T233">
        <v>7</v>
      </c>
      <c r="U233">
        <v>2183.38</v>
      </c>
      <c r="V233">
        <v>0.25</v>
      </c>
      <c r="W233">
        <v>11462.74</v>
      </c>
      <c r="X233">
        <v>7163.54</v>
      </c>
      <c r="Y233">
        <v>4299.2</v>
      </c>
      <c r="Z233" t="s">
        <v>124</v>
      </c>
      <c r="AA233" t="s">
        <v>78</v>
      </c>
    </row>
    <row r="234" spans="1:27">
      <c r="A234" t="s">
        <v>1229</v>
      </c>
      <c r="B234" t="s">
        <v>1230</v>
      </c>
      <c r="C234" t="s">
        <v>1231</v>
      </c>
      <c r="D234"/>
      <c r="E234" s="7">
        <f>IF(OR(D234="Invalid",D234&lt;0),"",D234)</f>
        <v>0</v>
      </c>
      <c r="F234" t="s">
        <v>1232</v>
      </c>
      <c r="G234" t="s">
        <v>148</v>
      </c>
      <c r="H234" t="str">
        <f>PROPER(TRIM(G234))</f>
        <v>Rahul Verma</v>
      </c>
      <c r="I234" t="s">
        <v>26</v>
      </c>
      <c r="J234" t="str">
        <f>PROPER(TRIM(I234))</f>
        <v>Consumer</v>
      </c>
      <c r="K234" t="s">
        <v>62</v>
      </c>
      <c r="L234" t="s">
        <v>100</v>
      </c>
      <c r="M234" t="s">
        <v>101</v>
      </c>
      <c r="N234" t="s">
        <v>86</v>
      </c>
      <c r="O234" t="str">
        <f>TRIM(N234)</f>
        <v>Technology</v>
      </c>
      <c r="P234" t="s">
        <v>223</v>
      </c>
      <c r="Q234" t="s">
        <v>1233</v>
      </c>
      <c r="R234" t="s">
        <v>67</v>
      </c>
      <c r="S234" t="s">
        <v>67</v>
      </c>
      <c r="T234">
        <v>4</v>
      </c>
      <c r="U234">
        <v>223.37</v>
      </c>
      <c r="V234">
        <v>0.25</v>
      </c>
      <c r="W234">
        <v>670.11</v>
      </c>
      <c r="X234">
        <v>559.57000000000005</v>
      </c>
      <c r="Y234">
        <v>110.54</v>
      </c>
      <c r="Z234" t="s">
        <v>34</v>
      </c>
      <c r="AA234" t="s">
        <v>35</v>
      </c>
    </row>
    <row r="235" spans="1:27">
      <c r="A235" t="s">
        <v>1234</v>
      </c>
      <c r="B235" t="s">
        <v>1235</v>
      </c>
      <c r="C235" t="s">
        <v>1236</v>
      </c>
      <c r="D235"/>
      <c r="E235" s="7">
        <f>IF(OR(D235="Invalid",D235&lt;0),"",D235)</f>
        <v>0</v>
      </c>
      <c r="F235" t="s">
        <v>1237</v>
      </c>
      <c r="G235" t="s">
        <v>83</v>
      </c>
      <c r="H235" t="str">
        <f>PROPER(TRIM(G235))</f>
        <v>Vikram Iyer</v>
      </c>
      <c r="I235" t="s">
        <v>108</v>
      </c>
      <c r="J235" t="str">
        <f>PROPER(TRIM(I235))</f>
        <v>Corporate</v>
      </c>
      <c r="K235" t="s">
        <v>62</v>
      </c>
      <c r="L235" t="s">
        <v>229</v>
      </c>
      <c r="M235" t="s">
        <v>230</v>
      </c>
      <c r="N235" t="s">
        <v>45</v>
      </c>
      <c r="O235" t="str">
        <f>TRIM(N235)</f>
        <v>Furniture</v>
      </c>
      <c r="P235" t="s">
        <v>204</v>
      </c>
      <c r="Q235" t="s">
        <v>1238</v>
      </c>
      <c r="R235" t="s">
        <v>4124</v>
      </c>
      <c r="S235" t="s">
        <v>4111</v>
      </c>
      <c r="T235">
        <v>8</v>
      </c>
      <c r="U235">
        <v>3904.59</v>
      </c>
      <c r="V235">
        <v>0</v>
      </c>
      <c r="W235">
        <v>31236.720000000001</v>
      </c>
      <c r="X235">
        <v>26377.7</v>
      </c>
      <c r="Y235">
        <v>4859.0200000000004</v>
      </c>
      <c r="Z235" t="s">
        <v>34</v>
      </c>
      <c r="AA235" t="s">
        <v>35</v>
      </c>
    </row>
    <row r="236" spans="1:27">
      <c r="A236" t="s">
        <v>1239</v>
      </c>
      <c r="B236" t="s">
        <v>1240</v>
      </c>
      <c r="C236" t="s">
        <v>1241</v>
      </c>
      <c r="D236"/>
      <c r="E236" s="7">
        <f>IF(OR(D236="Invalid",D236&lt;0),"",D236)</f>
        <v>0</v>
      </c>
      <c r="F236" t="s">
        <v>1242</v>
      </c>
      <c r="G236" t="s">
        <v>366</v>
      </c>
      <c r="H236" t="str">
        <f>PROPER(TRIM(G236))</f>
        <v>Kabir Singh</v>
      </c>
      <c r="I236" t="s">
        <v>115</v>
      </c>
      <c r="J236" t="str">
        <f>PROPER(TRIM(I236))</f>
        <v>Home Office</v>
      </c>
      <c r="K236" t="s">
        <v>27</v>
      </c>
      <c r="L236" t="s">
        <v>506</v>
      </c>
      <c r="M236" t="s">
        <v>507</v>
      </c>
      <c r="N236" t="s">
        <v>45</v>
      </c>
      <c r="O236" t="str">
        <f>TRIM(N236)</f>
        <v>Furniture</v>
      </c>
      <c r="P236" t="s">
        <v>65</v>
      </c>
      <c r="Q236" t="s">
        <v>1243</v>
      </c>
      <c r="R236" t="s">
        <v>56</v>
      </c>
      <c r="S236" t="s">
        <v>56</v>
      </c>
      <c r="T236">
        <v>9</v>
      </c>
      <c r="U236">
        <v>1353.61</v>
      </c>
      <c r="V236">
        <v>0.1</v>
      </c>
      <c r="W236">
        <v>10964.24</v>
      </c>
      <c r="X236">
        <v>9262.4699999999993</v>
      </c>
      <c r="Y236">
        <v>1701.77</v>
      </c>
      <c r="Z236" t="s">
        <v>34</v>
      </c>
      <c r="AA236" t="s">
        <v>35</v>
      </c>
    </row>
    <row r="237" spans="1:27">
      <c r="A237" t="s">
        <v>1244</v>
      </c>
      <c r="B237" t="s">
        <v>1245</v>
      </c>
      <c r="C237" t="s">
        <v>1246</v>
      </c>
      <c r="D237"/>
      <c r="E237" s="7">
        <f>IF(OR(D237="Invalid",D237&lt;0),"",D237)</f>
        <v>0</v>
      </c>
      <c r="F237" t="s">
        <v>1247</v>
      </c>
      <c r="G237" t="s">
        <v>148</v>
      </c>
      <c r="H237" t="str">
        <f>PROPER(TRIM(G237))</f>
        <v>Rahul Verma</v>
      </c>
      <c r="I237" t="s">
        <v>41</v>
      </c>
      <c r="J237" t="str">
        <f>PROPER(TRIM(I237))</f>
        <v>Small Business</v>
      </c>
      <c r="K237" t="s">
        <v>73</v>
      </c>
      <c r="L237" t="s">
        <v>28</v>
      </c>
      <c r="M237" t="s">
        <v>135</v>
      </c>
      <c r="N237" t="s">
        <v>30</v>
      </c>
      <c r="O237" t="str">
        <f>TRIM(N237)</f>
        <v>Office Supplies</v>
      </c>
      <c r="P237" t="s">
        <v>156</v>
      </c>
      <c r="Q237" t="s">
        <v>1248</v>
      </c>
      <c r="R237" t="s">
        <v>67</v>
      </c>
      <c r="S237" t="s">
        <v>67</v>
      </c>
      <c r="T237">
        <v>6</v>
      </c>
      <c r="U237">
        <v>2671.29</v>
      </c>
      <c r="V237">
        <v>0.05</v>
      </c>
      <c r="W237">
        <v>15226.35</v>
      </c>
      <c r="X237">
        <v>11145.28</v>
      </c>
      <c r="Y237">
        <v>4081.07</v>
      </c>
      <c r="Z237" t="s">
        <v>34</v>
      </c>
      <c r="AA237" t="s">
        <v>35</v>
      </c>
    </row>
    <row r="238" spans="1:27">
      <c r="A238" t="s">
        <v>1249</v>
      </c>
      <c r="B238" t="s">
        <v>1236</v>
      </c>
      <c r="C238" t="s">
        <v>1250</v>
      </c>
      <c r="D238"/>
      <c r="E238" s="7">
        <f>IF(OR(D238="Invalid",D238&lt;0),"",D238)</f>
        <v>0</v>
      </c>
      <c r="F238" t="s">
        <v>1251</v>
      </c>
      <c r="G238" t="s">
        <v>142</v>
      </c>
      <c r="H238" t="str">
        <f>PROPER(TRIM(G238))</f>
        <v>Priya Menon</v>
      </c>
      <c r="I238" t="s">
        <v>108</v>
      </c>
      <c r="J238" t="str">
        <f>PROPER(TRIM(I238))</f>
        <v>Corporate</v>
      </c>
      <c r="K238" t="s">
        <v>27</v>
      </c>
      <c r="L238" t="s">
        <v>174</v>
      </c>
      <c r="M238" t="s">
        <v>175</v>
      </c>
      <c r="N238" t="s">
        <v>45</v>
      </c>
      <c r="O238" t="str">
        <f>TRIM(N238)</f>
        <v>Furniture</v>
      </c>
      <c r="P238" t="s">
        <v>204</v>
      </c>
      <c r="Q238" t="s">
        <v>1252</v>
      </c>
      <c r="R238" t="s">
        <v>56</v>
      </c>
      <c r="S238" t="s">
        <v>56</v>
      </c>
      <c r="T238">
        <v>6</v>
      </c>
      <c r="U238">
        <v>4062.78</v>
      </c>
      <c r="V238">
        <v>0</v>
      </c>
      <c r="W238">
        <v>24376.68</v>
      </c>
      <c r="X238">
        <v>18533.39</v>
      </c>
      <c r="Y238">
        <v>5843.29</v>
      </c>
      <c r="Z238" t="s">
        <v>34</v>
      </c>
      <c r="AA238" t="s">
        <v>35</v>
      </c>
    </row>
    <row r="239" spans="1:27">
      <c r="A239" t="s">
        <v>1253</v>
      </c>
      <c r="B239" t="s">
        <v>1254</v>
      </c>
      <c r="C239" t="s">
        <v>1254</v>
      </c>
      <c r="D239"/>
      <c r="E239" s="7">
        <f>IF(OR(D239="Invalid",D239&lt;0),"",D239)</f>
        <v>0</v>
      </c>
      <c r="F239" t="s">
        <v>1255</v>
      </c>
      <c r="G239" t="s">
        <v>40</v>
      </c>
      <c r="H239" t="str">
        <f>PROPER(TRIM(G239))</f>
        <v>Mira Das</v>
      </c>
      <c r="I239" t="s">
        <v>26</v>
      </c>
      <c r="J239" t="str">
        <f>PROPER(TRIM(I239))</f>
        <v>Consumer</v>
      </c>
      <c r="K239" t="s">
        <v>27</v>
      </c>
      <c r="L239" t="s">
        <v>323</v>
      </c>
      <c r="M239" t="s">
        <v>324</v>
      </c>
      <c r="N239" t="s">
        <v>86</v>
      </c>
      <c r="O239" t="str">
        <f>TRIM(N239)</f>
        <v>Technology</v>
      </c>
      <c r="P239" t="s">
        <v>94</v>
      </c>
      <c r="Q239" t="s">
        <v>1256</v>
      </c>
      <c r="R239" t="s">
        <v>67</v>
      </c>
      <c r="S239" t="s">
        <v>67</v>
      </c>
      <c r="T239">
        <v>9</v>
      </c>
      <c r="U239">
        <v>2330.3000000000002</v>
      </c>
      <c r="V239">
        <v>0</v>
      </c>
      <c r="W239">
        <v>20972.7</v>
      </c>
      <c r="X239">
        <v>13504.88</v>
      </c>
      <c r="Y239">
        <v>7467.82</v>
      </c>
      <c r="Z239" t="s">
        <v>34</v>
      </c>
      <c r="AA239" t="s">
        <v>35</v>
      </c>
    </row>
    <row r="240" spans="1:27">
      <c r="A240" t="s">
        <v>1257</v>
      </c>
      <c r="B240" t="s">
        <v>1258</v>
      </c>
      <c r="C240" t="s">
        <v>1259</v>
      </c>
      <c r="D240"/>
      <c r="E240" s="7">
        <f>IF(OR(D240="Invalid",D240&lt;0),"",D240)</f>
        <v>0</v>
      </c>
      <c r="F240" t="s">
        <v>1260</v>
      </c>
      <c r="G240" t="s">
        <v>61</v>
      </c>
      <c r="H240" t="str">
        <f>PROPER(TRIM(G240))</f>
        <v>Arjun Bose</v>
      </c>
      <c r="I240" t="s">
        <v>26</v>
      </c>
      <c r="J240" t="str">
        <f>PROPER(TRIM(I240))</f>
        <v>Consumer</v>
      </c>
      <c r="K240" t="s">
        <v>62</v>
      </c>
      <c r="L240" t="s">
        <v>100</v>
      </c>
      <c r="M240" t="s">
        <v>101</v>
      </c>
      <c r="N240" t="s">
        <v>30</v>
      </c>
      <c r="O240" t="str">
        <f>TRIM(N240)</f>
        <v>Office Supplies</v>
      </c>
      <c r="P240" t="s">
        <v>156</v>
      </c>
      <c r="Q240" t="s">
        <v>1261</v>
      </c>
      <c r="R240" t="s">
        <v>56</v>
      </c>
      <c r="S240" t="s">
        <v>56</v>
      </c>
      <c r="T240">
        <v>7</v>
      </c>
      <c r="U240">
        <v>4005.05</v>
      </c>
      <c r="V240">
        <v>0.55000000000000004</v>
      </c>
      <c r="W240">
        <v>26633.58</v>
      </c>
      <c r="X240">
        <v>18838.75</v>
      </c>
      <c r="Y240">
        <v>7794.83</v>
      </c>
      <c r="Z240" t="s">
        <v>34</v>
      </c>
      <c r="AA240" t="s">
        <v>35</v>
      </c>
    </row>
    <row r="241" spans="1:27">
      <c r="A241" t="s">
        <v>1262</v>
      </c>
      <c r="B241" t="s">
        <v>1263</v>
      </c>
      <c r="C241" t="s">
        <v>1134</v>
      </c>
      <c r="D241"/>
      <c r="E241" s="7">
        <f>IF(OR(D241="Invalid",D241&lt;0),"",D241)</f>
        <v>0</v>
      </c>
      <c r="F241" t="s">
        <v>1264</v>
      </c>
      <c r="G241" t="s">
        <v>366</v>
      </c>
      <c r="H241" t="str">
        <f>PROPER(TRIM(G241))</f>
        <v>Kabir Singh</v>
      </c>
      <c r="I241" t="s">
        <v>108</v>
      </c>
      <c r="J241" t="str">
        <f>PROPER(TRIM(I241))</f>
        <v>Corporate</v>
      </c>
      <c r="K241" t="s">
        <v>62</v>
      </c>
      <c r="L241" t="s">
        <v>229</v>
      </c>
      <c r="M241" t="s">
        <v>230</v>
      </c>
      <c r="N241" t="s">
        <v>86</v>
      </c>
      <c r="O241" t="str">
        <f>TRIM(N241)</f>
        <v>Technology</v>
      </c>
      <c r="P241" t="s">
        <v>382</v>
      </c>
      <c r="Q241" t="s">
        <v>1265</v>
      </c>
      <c r="R241" t="s">
        <v>56</v>
      </c>
      <c r="S241" t="s">
        <v>56</v>
      </c>
      <c r="T241">
        <v>2</v>
      </c>
      <c r="U241">
        <v>1960.06</v>
      </c>
      <c r="V241">
        <v>0.2</v>
      </c>
      <c r="W241">
        <v>3136.1</v>
      </c>
      <c r="X241">
        <v>2279.4899999999998</v>
      </c>
      <c r="Y241">
        <v>856.61</v>
      </c>
      <c r="Z241" t="s">
        <v>34</v>
      </c>
      <c r="AA241" t="s">
        <v>35</v>
      </c>
    </row>
    <row r="242" spans="1:27">
      <c r="A242" t="s">
        <v>1266</v>
      </c>
      <c r="B242" t="s">
        <v>1267</v>
      </c>
      <c r="C242" t="s">
        <v>824</v>
      </c>
      <c r="D242"/>
      <c r="E242" s="7">
        <f>IF(OR(D242="Invalid",D242&lt;0),"",D242)</f>
        <v>0</v>
      </c>
      <c r="F242" t="s">
        <v>1268</v>
      </c>
      <c r="G242" t="s">
        <v>162</v>
      </c>
      <c r="H242" t="str">
        <f>PROPER(TRIM(G242))</f>
        <v>Aarav Sharma</v>
      </c>
      <c r="I242" t="s">
        <v>108</v>
      </c>
      <c r="J242" t="str">
        <f>PROPER(TRIM(I242))</f>
        <v>Corporate</v>
      </c>
      <c r="K242" t="s">
        <v>62</v>
      </c>
      <c r="L242" t="s">
        <v>63</v>
      </c>
      <c r="M242" t="s">
        <v>64</v>
      </c>
      <c r="N242" t="s">
        <v>30</v>
      </c>
      <c r="O242" t="str">
        <f>TRIM(N242)</f>
        <v>Office Supplies</v>
      </c>
      <c r="P242" t="s">
        <v>198</v>
      </c>
      <c r="Q242" t="s">
        <v>1269</v>
      </c>
      <c r="R242" t="s">
        <v>56</v>
      </c>
      <c r="S242" t="s">
        <v>56</v>
      </c>
      <c r="T242">
        <v>9</v>
      </c>
      <c r="U242">
        <v>2315.1</v>
      </c>
      <c r="V242">
        <v>0</v>
      </c>
      <c r="W242">
        <v>20835.900000000001</v>
      </c>
      <c r="X242">
        <v>13928.19</v>
      </c>
      <c r="Y242">
        <v>6907.71</v>
      </c>
      <c r="Z242" t="s">
        <v>34</v>
      </c>
      <c r="AA242" t="s">
        <v>35</v>
      </c>
    </row>
    <row r="243" spans="1:27">
      <c r="A243" t="s">
        <v>1270</v>
      </c>
      <c r="B243" t="s">
        <v>1271</v>
      </c>
      <c r="C243" t="s">
        <v>1272</v>
      </c>
      <c r="D243"/>
      <c r="E243" s="7">
        <f>IF(OR(D243="Invalid",D243&lt;0),"",D243)</f>
        <v>0</v>
      </c>
      <c r="F243" t="s">
        <v>1273</v>
      </c>
      <c r="G243" t="s">
        <v>168</v>
      </c>
      <c r="H243" t="str">
        <f>PROPER(TRIM(G243))</f>
        <v>Sneha Kapoor</v>
      </c>
      <c r="I243" t="s">
        <v>108</v>
      </c>
      <c r="J243" t="str">
        <f>PROPER(TRIM(I243))</f>
        <v>Corporate</v>
      </c>
      <c r="K243" t="s">
        <v>27</v>
      </c>
      <c r="L243" t="s">
        <v>323</v>
      </c>
      <c r="M243" t="s">
        <v>324</v>
      </c>
      <c r="N243" t="s">
        <v>30</v>
      </c>
      <c r="O243" t="str">
        <f>TRIM(N243)</f>
        <v>Office Supplies</v>
      </c>
      <c r="P243" t="s">
        <v>156</v>
      </c>
      <c r="Q243" t="s">
        <v>1274</v>
      </c>
      <c r="R243" t="s">
        <v>67</v>
      </c>
      <c r="S243" t="s">
        <v>67</v>
      </c>
      <c r="T243">
        <v>1</v>
      </c>
      <c r="U243">
        <v>1617.2</v>
      </c>
      <c r="V243">
        <v>0.25</v>
      </c>
      <c r="W243">
        <v>1212.9000000000001</v>
      </c>
      <c r="X243">
        <v>690.52</v>
      </c>
      <c r="Y243">
        <v>522.38</v>
      </c>
      <c r="Z243" t="s">
        <v>137</v>
      </c>
      <c r="AA243" t="s">
        <v>125</v>
      </c>
    </row>
    <row r="244" spans="1:27">
      <c r="A244" t="s">
        <v>1275</v>
      </c>
      <c r="B244" t="s">
        <v>1276</v>
      </c>
      <c r="C244" t="s">
        <v>1277</v>
      </c>
      <c r="D244"/>
      <c r="E244" s="7">
        <f>IF(OR(D244="Invalid",D244&lt;0),"",D244)</f>
        <v>0</v>
      </c>
      <c r="F244" t="s">
        <v>1278</v>
      </c>
      <c r="G244" t="s">
        <v>61</v>
      </c>
      <c r="H244" t="str">
        <f>PROPER(TRIM(G244))</f>
        <v>Arjun Bose</v>
      </c>
      <c r="I244" t="s">
        <v>26</v>
      </c>
      <c r="J244" t="str">
        <f>PROPER(TRIM(I244))</f>
        <v>Consumer</v>
      </c>
      <c r="K244" t="s">
        <v>27</v>
      </c>
      <c r="L244" t="s">
        <v>174</v>
      </c>
      <c r="M244" t="s">
        <v>175</v>
      </c>
      <c r="N244" t="s">
        <v>30</v>
      </c>
      <c r="O244" t="str">
        <f>TRIM(N244)</f>
        <v>Office Supplies</v>
      </c>
      <c r="P244" t="s">
        <v>54</v>
      </c>
      <c r="Q244" t="s">
        <v>1279</v>
      </c>
      <c r="R244" t="s">
        <v>33</v>
      </c>
      <c r="S244" t="s">
        <v>33</v>
      </c>
      <c r="T244">
        <v>3</v>
      </c>
      <c r="U244">
        <v>1999.24</v>
      </c>
      <c r="V244">
        <v>0.05</v>
      </c>
      <c r="W244">
        <v>5697.83</v>
      </c>
      <c r="X244">
        <v>4251.5</v>
      </c>
      <c r="Y244">
        <v>1446.33</v>
      </c>
      <c r="Z244" t="s">
        <v>34</v>
      </c>
      <c r="AA244" t="s">
        <v>35</v>
      </c>
    </row>
    <row r="245" spans="1:27">
      <c r="A245" t="s">
        <v>1280</v>
      </c>
      <c r="B245" s="4" t="s">
        <v>283</v>
      </c>
      <c r="C245" s="4" t="s">
        <v>1281</v>
      </c>
      <c r="D245" s="4" t="str">
        <f>IF(C133&lt;B133,"Invalid","OK")</f>
        <v>OK</v>
      </c>
      <c r="E245" s="7" t="str">
        <f>IF(OR(D245="Invalid",D245&lt;0),"",D245)</f>
        <v>OK</v>
      </c>
      <c r="F245" t="s">
        <v>1282</v>
      </c>
      <c r="G245" t="s">
        <v>168</v>
      </c>
      <c r="H245" t="str">
        <f>PROPER(TRIM(G245))</f>
        <v>Sneha Kapoor</v>
      </c>
      <c r="I245" t="s">
        <v>41</v>
      </c>
      <c r="J245" t="str">
        <f>PROPER(TRIM(I245))</f>
        <v>Small Business</v>
      </c>
      <c r="K245" t="s">
        <v>73</v>
      </c>
      <c r="L245" t="s">
        <v>84</v>
      </c>
      <c r="M245" t="s">
        <v>85</v>
      </c>
      <c r="N245" t="s">
        <v>86</v>
      </c>
      <c r="O245" t="str">
        <f>TRIM(N245)</f>
        <v>Technology</v>
      </c>
      <c r="P245" t="s">
        <v>87</v>
      </c>
      <c r="Q245" t="s">
        <v>1283</v>
      </c>
      <c r="R245" t="s">
        <v>56</v>
      </c>
      <c r="S245" t="s">
        <v>56</v>
      </c>
      <c r="T245">
        <v>1</v>
      </c>
      <c r="U245">
        <v>4499.46</v>
      </c>
      <c r="V245">
        <v>0.1</v>
      </c>
      <c r="W245">
        <v>4049.51</v>
      </c>
      <c r="X245">
        <v>2509.1999999999998</v>
      </c>
      <c r="Y245">
        <v>1540.31</v>
      </c>
      <c r="Z245" t="s">
        <v>34</v>
      </c>
      <c r="AA245" t="s">
        <v>1026</v>
      </c>
    </row>
    <row r="246" spans="1:27">
      <c r="A246" t="s">
        <v>1284</v>
      </c>
      <c r="B246" t="s">
        <v>636</v>
      </c>
      <c r="C246" t="s">
        <v>1285</v>
      </c>
      <c r="D246"/>
      <c r="E246" s="7">
        <f>IF(OR(D246="Invalid",D246&lt;0),"",D246)</f>
        <v>0</v>
      </c>
      <c r="F246" t="s">
        <v>1286</v>
      </c>
      <c r="G246" t="s">
        <v>93</v>
      </c>
      <c r="H246" t="str">
        <f>PROPER(TRIM(G246))</f>
        <v>Neha Gupta</v>
      </c>
      <c r="I246" t="s">
        <v>26</v>
      </c>
      <c r="J246" t="str">
        <f>PROPER(TRIM(I246))</f>
        <v>Consumer</v>
      </c>
      <c r="K246" t="s">
        <v>62</v>
      </c>
      <c r="L246" t="s">
        <v>63</v>
      </c>
      <c r="M246" t="s">
        <v>64</v>
      </c>
      <c r="N246" t="s">
        <v>45</v>
      </c>
      <c r="O246" t="str">
        <f>TRIM(N246)</f>
        <v>Furniture</v>
      </c>
      <c r="P246" t="s">
        <v>204</v>
      </c>
      <c r="Q246" t="s">
        <v>1287</v>
      </c>
      <c r="R246" t="s">
        <v>48</v>
      </c>
      <c r="S246" t="s">
        <v>48</v>
      </c>
      <c r="T246">
        <v>6</v>
      </c>
      <c r="U246">
        <v>1021.89</v>
      </c>
      <c r="V246">
        <v>0</v>
      </c>
      <c r="W246">
        <v>6131.34</v>
      </c>
      <c r="X246">
        <v>4060.88</v>
      </c>
      <c r="Y246">
        <v>2070.46</v>
      </c>
      <c r="Z246" t="s">
        <v>34</v>
      </c>
      <c r="AA246" t="s">
        <v>35</v>
      </c>
    </row>
    <row r="247" spans="1:27">
      <c r="A247" t="s">
        <v>1288</v>
      </c>
      <c r="B247" t="s">
        <v>644</v>
      </c>
      <c r="C247" t="s">
        <v>872</v>
      </c>
      <c r="D247"/>
      <c r="E247" s="7">
        <f>IF(OR(D247="Invalid",D247&lt;0),"",D247)</f>
        <v>0</v>
      </c>
      <c r="F247" t="s">
        <v>1289</v>
      </c>
      <c r="G247" t="s">
        <v>93</v>
      </c>
      <c r="H247" t="str">
        <f>PROPER(TRIM(G247))</f>
        <v>Neha Gupta</v>
      </c>
      <c r="I247" t="s">
        <v>115</v>
      </c>
      <c r="J247" t="str">
        <f>PROPER(TRIM(I247))</f>
        <v>Home Office</v>
      </c>
      <c r="K247" t="s">
        <v>62</v>
      </c>
      <c r="L247" t="s">
        <v>242</v>
      </c>
      <c r="M247" t="s">
        <v>243</v>
      </c>
      <c r="N247" t="s">
        <v>1290</v>
      </c>
      <c r="O247" t="str">
        <f>TRIM(N247)</f>
        <v>FURNITURE</v>
      </c>
      <c r="P247" t="s">
        <v>76</v>
      </c>
      <c r="Q247" t="s">
        <v>1291</v>
      </c>
      <c r="R247" t="s">
        <v>33</v>
      </c>
      <c r="S247" t="s">
        <v>33</v>
      </c>
      <c r="T247">
        <v>3</v>
      </c>
      <c r="U247">
        <v>3275.93</v>
      </c>
      <c r="V247">
        <v>0</v>
      </c>
      <c r="W247">
        <v>9827.7900000000009</v>
      </c>
      <c r="X247">
        <v>5478.28</v>
      </c>
      <c r="Y247">
        <v>4349.51</v>
      </c>
      <c r="Z247" t="s">
        <v>34</v>
      </c>
      <c r="AA247" t="s">
        <v>35</v>
      </c>
    </row>
    <row r="248" spans="1:27">
      <c r="A248" t="s">
        <v>1292</v>
      </c>
      <c r="B248" t="s">
        <v>1293</v>
      </c>
      <c r="C248" t="s">
        <v>1294</v>
      </c>
      <c r="D248"/>
      <c r="E248" s="7">
        <f>IF(OR(D248="Invalid",D248&lt;0),"",D248)</f>
        <v>0</v>
      </c>
      <c r="F248" t="s">
        <v>1295</v>
      </c>
      <c r="G248" t="s">
        <v>72</v>
      </c>
      <c r="H248" t="str">
        <f>PROPER(TRIM(G248))</f>
        <v>Ananya Rao</v>
      </c>
      <c r="I248" t="s">
        <v>108</v>
      </c>
      <c r="J248" t="str">
        <f>PROPER(TRIM(I248))</f>
        <v>Corporate</v>
      </c>
      <c r="K248" t="s">
        <v>27</v>
      </c>
      <c r="L248" t="s">
        <v>154</v>
      </c>
      <c r="M248" t="s">
        <v>155</v>
      </c>
      <c r="N248" t="s">
        <v>86</v>
      </c>
      <c r="O248" t="str">
        <f>TRIM(N248)</f>
        <v>Technology</v>
      </c>
      <c r="P248" t="s">
        <v>382</v>
      </c>
      <c r="Q248" t="s">
        <v>1296</v>
      </c>
      <c r="R248" t="s">
        <v>48</v>
      </c>
      <c r="S248" t="s">
        <v>48</v>
      </c>
      <c r="T248">
        <v>3</v>
      </c>
      <c r="U248">
        <v>231.95</v>
      </c>
      <c r="V248">
        <v>0.25</v>
      </c>
      <c r="W248">
        <v>521.89</v>
      </c>
      <c r="X248">
        <v>444.52</v>
      </c>
      <c r="Y248">
        <v>77.37</v>
      </c>
      <c r="Z248" t="s">
        <v>124</v>
      </c>
      <c r="AA248" t="s">
        <v>78</v>
      </c>
    </row>
    <row r="249" spans="1:27">
      <c r="A249" t="s">
        <v>1297</v>
      </c>
      <c r="B249" t="s">
        <v>1298</v>
      </c>
      <c r="C249" t="s">
        <v>1299</v>
      </c>
      <c r="D249"/>
      <c r="E249" s="7">
        <f>IF(OR(D249="Invalid",D249&lt;0),"",D249)</f>
        <v>0</v>
      </c>
      <c r="F249" t="s">
        <v>1300</v>
      </c>
      <c r="G249" t="s">
        <v>148</v>
      </c>
      <c r="H249" t="str">
        <f>PROPER(TRIM(G249))</f>
        <v>Rahul Verma</v>
      </c>
      <c r="I249" t="s">
        <v>108</v>
      </c>
      <c r="J249" t="str">
        <f>PROPER(TRIM(I249))</f>
        <v>Corporate</v>
      </c>
      <c r="K249" t="s">
        <v>27</v>
      </c>
      <c r="L249" t="s">
        <v>28</v>
      </c>
      <c r="M249" t="s">
        <v>29</v>
      </c>
      <c r="N249" t="s">
        <v>86</v>
      </c>
      <c r="O249" t="str">
        <f>TRIM(N249)</f>
        <v>Technology</v>
      </c>
      <c r="P249" t="s">
        <v>87</v>
      </c>
      <c r="Q249" t="s">
        <v>1301</v>
      </c>
      <c r="R249" t="s">
        <v>33</v>
      </c>
      <c r="S249" t="s">
        <v>33</v>
      </c>
      <c r="T249">
        <v>8</v>
      </c>
      <c r="U249">
        <v>2493.4</v>
      </c>
      <c r="V249">
        <v>0.25</v>
      </c>
      <c r="W249">
        <v>14960.4</v>
      </c>
      <c r="X249">
        <v>12500.84</v>
      </c>
      <c r="Y249">
        <v>2459.56</v>
      </c>
      <c r="Z249" t="s">
        <v>34</v>
      </c>
      <c r="AA249" t="s">
        <v>35</v>
      </c>
    </row>
    <row r="250" spans="1:27">
      <c r="A250" t="s">
        <v>1302</v>
      </c>
      <c r="B250" t="s">
        <v>1303</v>
      </c>
      <c r="C250" t="s">
        <v>578</v>
      </c>
      <c r="D250"/>
      <c r="E250" s="7">
        <f>IF(OR(D250="Invalid",D250&lt;0),"",D250)</f>
        <v>0</v>
      </c>
      <c r="F250" t="s">
        <v>1304</v>
      </c>
      <c r="G250" t="s">
        <v>180</v>
      </c>
      <c r="H250" t="str">
        <f>PROPER(TRIM(G250))</f>
        <v>Rohan Mehta</v>
      </c>
      <c r="I250" t="s">
        <v>115</v>
      </c>
      <c r="J250" t="str">
        <f>PROPER(TRIM(I250))</f>
        <v>Home Office</v>
      </c>
      <c r="K250" t="s">
        <v>42</v>
      </c>
      <c r="L250" t="s">
        <v>43</v>
      </c>
      <c r="M250" t="s">
        <v>44</v>
      </c>
      <c r="N250" t="s">
        <v>30</v>
      </c>
      <c r="O250" t="str">
        <f>TRIM(N250)</f>
        <v>Office Supplies</v>
      </c>
      <c r="P250" t="s">
        <v>109</v>
      </c>
      <c r="Q250" t="s">
        <v>1305</v>
      </c>
      <c r="R250" t="s">
        <v>33</v>
      </c>
      <c r="S250" t="s">
        <v>33</v>
      </c>
      <c r="T250">
        <v>9</v>
      </c>
      <c r="U250">
        <v>787.91</v>
      </c>
      <c r="V250">
        <v>0.15</v>
      </c>
      <c r="W250">
        <v>6027.51</v>
      </c>
      <c r="X250">
        <v>4883.82</v>
      </c>
      <c r="Y250">
        <v>1143.69</v>
      </c>
      <c r="Z250" t="s">
        <v>34</v>
      </c>
      <c r="AA250" t="s">
        <v>35</v>
      </c>
    </row>
    <row r="251" spans="1:27">
      <c r="A251" t="s">
        <v>1306</v>
      </c>
      <c r="B251" t="s">
        <v>820</v>
      </c>
      <c r="C251" t="s">
        <v>1307</v>
      </c>
      <c r="D251"/>
      <c r="E251" s="7">
        <f>IF(OR(D251="Invalid",D251&lt;0),"",D251)</f>
        <v>0</v>
      </c>
      <c r="F251" t="s">
        <v>1308</v>
      </c>
      <c r="G251" t="s">
        <v>40</v>
      </c>
      <c r="H251" t="str">
        <f>PROPER(TRIM(G251))</f>
        <v>Mira Das</v>
      </c>
      <c r="I251" t="s">
        <v>108</v>
      </c>
      <c r="J251" t="str">
        <f>PROPER(TRIM(I251))</f>
        <v>Corporate</v>
      </c>
      <c r="K251" t="s">
        <v>27</v>
      </c>
      <c r="L251" t="s">
        <v>28</v>
      </c>
      <c r="M251" t="s">
        <v>29</v>
      </c>
      <c r="N251" t="s">
        <v>45</v>
      </c>
      <c r="O251" t="str">
        <f>TRIM(N251)</f>
        <v>Furniture</v>
      </c>
      <c r="P251" t="s">
        <v>65</v>
      </c>
      <c r="Q251" t="s">
        <v>1309</v>
      </c>
      <c r="R251" t="s">
        <v>56</v>
      </c>
      <c r="S251" t="s">
        <v>56</v>
      </c>
      <c r="T251">
        <v>4</v>
      </c>
      <c r="U251">
        <v>2790.29</v>
      </c>
      <c r="V251">
        <v>0.2</v>
      </c>
      <c r="W251">
        <v>8928.93</v>
      </c>
      <c r="X251">
        <v>5634.38</v>
      </c>
      <c r="Y251">
        <v>3294.55</v>
      </c>
      <c r="Z251" t="s">
        <v>34</v>
      </c>
      <c r="AA251" t="s">
        <v>35</v>
      </c>
    </row>
    <row r="252" spans="1:27">
      <c r="A252" t="s">
        <v>1310</v>
      </c>
      <c r="B252" t="s">
        <v>1311</v>
      </c>
      <c r="C252" t="s">
        <v>1312</v>
      </c>
      <c r="D252"/>
      <c r="E252" s="7">
        <f>IF(OR(D252="Invalid",D252&lt;0),"",D252)</f>
        <v>0</v>
      </c>
      <c r="F252" t="s">
        <v>1313</v>
      </c>
      <c r="G252" t="s">
        <v>61</v>
      </c>
      <c r="H252" t="str">
        <f>PROPER(TRIM(G252))</f>
        <v>Arjun Bose</v>
      </c>
      <c r="I252" t="s">
        <v>41</v>
      </c>
      <c r="J252" t="str">
        <f>PROPER(TRIM(I252))</f>
        <v>Small Business</v>
      </c>
      <c r="K252" t="s">
        <v>42</v>
      </c>
      <c r="L252" t="s">
        <v>121</v>
      </c>
      <c r="M252" t="s">
        <v>122</v>
      </c>
      <c r="N252" t="s">
        <v>45</v>
      </c>
      <c r="O252" t="str">
        <f>TRIM(N252)</f>
        <v>Furniture</v>
      </c>
      <c r="P252" t="s">
        <v>65</v>
      </c>
      <c r="Q252" t="s">
        <v>1314</v>
      </c>
      <c r="R252" t="s">
        <v>67</v>
      </c>
      <c r="S252" t="s">
        <v>67</v>
      </c>
      <c r="T252">
        <v>5</v>
      </c>
      <c r="U252">
        <v>3373.86</v>
      </c>
      <c r="V252">
        <v>0.15</v>
      </c>
      <c r="W252">
        <v>14338.9</v>
      </c>
      <c r="X252">
        <v>11897.65</v>
      </c>
      <c r="Y252">
        <v>2441.25</v>
      </c>
      <c r="Z252" t="s">
        <v>137</v>
      </c>
      <c r="AA252" t="s">
        <v>125</v>
      </c>
    </row>
    <row r="253" spans="1:27">
      <c r="A253" t="s">
        <v>1315</v>
      </c>
      <c r="B253" t="s">
        <v>1316</v>
      </c>
      <c r="C253" t="s">
        <v>90</v>
      </c>
      <c r="D253"/>
      <c r="E253" s="7">
        <f>IF(OR(D253="Invalid",D253&lt;0),"",D253)</f>
        <v>0</v>
      </c>
      <c r="F253" t="s">
        <v>1317</v>
      </c>
      <c r="G253" t="s">
        <v>72</v>
      </c>
      <c r="H253" t="str">
        <f>PROPER(TRIM(G253))</f>
        <v>Ananya Rao</v>
      </c>
      <c r="I253" t="s">
        <v>108</v>
      </c>
      <c r="J253" t="str">
        <f>PROPER(TRIM(I253))</f>
        <v>Corporate</v>
      </c>
      <c r="K253" t="s">
        <v>73</v>
      </c>
      <c r="L253" t="s">
        <v>235</v>
      </c>
      <c r="M253" t="s">
        <v>236</v>
      </c>
      <c r="N253" t="s">
        <v>45</v>
      </c>
      <c r="O253" t="str">
        <f>TRIM(N253)</f>
        <v>Furniture</v>
      </c>
      <c r="P253" t="s">
        <v>46</v>
      </c>
      <c r="Q253" t="s">
        <v>1318</v>
      </c>
      <c r="R253" t="s">
        <v>33</v>
      </c>
      <c r="S253" t="s">
        <v>33</v>
      </c>
      <c r="T253">
        <v>6</v>
      </c>
      <c r="U253">
        <v>1022.16</v>
      </c>
      <c r="V253">
        <v>0</v>
      </c>
      <c r="W253">
        <v>6132.96</v>
      </c>
      <c r="X253">
        <v>4881.1000000000004</v>
      </c>
      <c r="Y253">
        <v>1251.8599999999999</v>
      </c>
      <c r="Z253" t="s">
        <v>34</v>
      </c>
      <c r="AA253" t="s">
        <v>35</v>
      </c>
    </row>
    <row r="254" spans="1:27">
      <c r="A254" t="s">
        <v>1319</v>
      </c>
      <c r="B254" t="s">
        <v>1320</v>
      </c>
      <c r="C254" t="s">
        <v>1215</v>
      </c>
      <c r="D254"/>
      <c r="E254" s="7">
        <f>IF(OR(D254="Invalid",D254&lt;0),"",D254)</f>
        <v>0</v>
      </c>
      <c r="F254" t="s">
        <v>1321</v>
      </c>
      <c r="G254" t="s">
        <v>61</v>
      </c>
      <c r="H254" t="str">
        <f>PROPER(TRIM(G254))</f>
        <v>Arjun Bose</v>
      </c>
      <c r="I254" t="s">
        <v>108</v>
      </c>
      <c r="J254" t="str">
        <f>PROPER(TRIM(I254))</f>
        <v>Corporate</v>
      </c>
      <c r="K254" t="s">
        <v>27</v>
      </c>
      <c r="L254" t="s">
        <v>323</v>
      </c>
      <c r="M254" t="s">
        <v>324</v>
      </c>
      <c r="N254" t="s">
        <v>30</v>
      </c>
      <c r="O254" t="str">
        <f>TRIM(N254)</f>
        <v>Office Supplies</v>
      </c>
      <c r="P254" t="s">
        <v>156</v>
      </c>
      <c r="Q254" t="s">
        <v>1322</v>
      </c>
      <c r="R254" t="s">
        <v>56</v>
      </c>
      <c r="S254" t="s">
        <v>56</v>
      </c>
      <c r="T254">
        <v>2</v>
      </c>
      <c r="U254">
        <v>1455.92</v>
      </c>
      <c r="V254">
        <v>0.2</v>
      </c>
      <c r="W254">
        <v>2329.4699999999998</v>
      </c>
      <c r="X254">
        <v>1603.62</v>
      </c>
      <c r="Y254">
        <v>725.85</v>
      </c>
      <c r="Z254" t="s">
        <v>137</v>
      </c>
      <c r="AA254" t="s">
        <v>125</v>
      </c>
    </row>
    <row r="255" spans="1:27">
      <c r="A255" t="s">
        <v>1323</v>
      </c>
      <c r="B255" t="s">
        <v>1324</v>
      </c>
      <c r="C255" t="s">
        <v>1325</v>
      </c>
      <c r="D255"/>
      <c r="E255" s="7">
        <f>IF(OR(D255="Invalid",D255&lt;0),"",D255)</f>
        <v>0</v>
      </c>
      <c r="F255" t="s">
        <v>1326</v>
      </c>
      <c r="G255" t="s">
        <v>142</v>
      </c>
      <c r="H255" t="str">
        <f>PROPER(TRIM(G255))</f>
        <v>Priya Menon</v>
      </c>
      <c r="I255" t="s">
        <v>41</v>
      </c>
      <c r="J255" t="str">
        <f>PROPER(TRIM(I255))</f>
        <v>Small Business</v>
      </c>
      <c r="K255" t="s">
        <v>27</v>
      </c>
      <c r="L255" t="s">
        <v>28</v>
      </c>
      <c r="M255" t="s">
        <v>29</v>
      </c>
      <c r="N255" t="s">
        <v>86</v>
      </c>
      <c r="O255" t="str">
        <f>TRIM(N255)</f>
        <v>Technology</v>
      </c>
      <c r="P255" t="s">
        <v>223</v>
      </c>
      <c r="Q255" t="s">
        <v>1327</v>
      </c>
      <c r="R255" t="s">
        <v>48</v>
      </c>
      <c r="S255" t="s">
        <v>48</v>
      </c>
      <c r="T255">
        <v>6</v>
      </c>
      <c r="U255">
        <v>832.79</v>
      </c>
      <c r="V255">
        <v>0.05</v>
      </c>
      <c r="W255">
        <v>4746.8999999999996</v>
      </c>
      <c r="X255">
        <v>2825.38</v>
      </c>
      <c r="Y255">
        <v>1472.89</v>
      </c>
      <c r="Z255" t="s">
        <v>124</v>
      </c>
      <c r="AA255" t="s">
        <v>78</v>
      </c>
    </row>
    <row r="256" spans="1:27">
      <c r="A256" t="s">
        <v>1328</v>
      </c>
      <c r="B256" t="s">
        <v>1329</v>
      </c>
      <c r="C256" t="s">
        <v>1330</v>
      </c>
      <c r="D256"/>
      <c r="E256" s="7">
        <f>IF(OR(D256="Invalid",D256&lt;0),"",D256)</f>
        <v>0</v>
      </c>
      <c r="F256" t="s">
        <v>1331</v>
      </c>
      <c r="G256" t="s">
        <v>72</v>
      </c>
      <c r="H256" t="str">
        <f>PROPER(TRIM(G256))</f>
        <v>Ananya Rao</v>
      </c>
      <c r="I256" t="s">
        <v>26</v>
      </c>
      <c r="J256" t="str">
        <f>PROPER(TRIM(I256))</f>
        <v>Consumer</v>
      </c>
      <c r="K256" t="s">
        <v>73</v>
      </c>
      <c r="L256" t="s">
        <v>84</v>
      </c>
      <c r="M256" t="s">
        <v>85</v>
      </c>
      <c r="N256" t="s">
        <v>86</v>
      </c>
      <c r="O256" t="str">
        <f>TRIM(N256)</f>
        <v>Technology</v>
      </c>
      <c r="P256" t="s">
        <v>87</v>
      </c>
      <c r="Q256" t="s">
        <v>1332</v>
      </c>
      <c r="R256" t="s">
        <v>48</v>
      </c>
      <c r="S256" t="s">
        <v>48</v>
      </c>
      <c r="T256">
        <v>7</v>
      </c>
      <c r="U256">
        <v>1000.55</v>
      </c>
      <c r="V256">
        <v>0.2</v>
      </c>
      <c r="W256">
        <v>5603.08</v>
      </c>
      <c r="X256">
        <v>3132.52</v>
      </c>
      <c r="Y256">
        <v>2470.56</v>
      </c>
      <c r="Z256" t="s">
        <v>34</v>
      </c>
      <c r="AA256" t="s">
        <v>125</v>
      </c>
    </row>
    <row r="257" spans="1:27">
      <c r="A257" t="s">
        <v>1333</v>
      </c>
      <c r="B257" t="s">
        <v>1334</v>
      </c>
      <c r="C257" t="s">
        <v>1335</v>
      </c>
      <c r="D257"/>
      <c r="E257" s="7">
        <f>IF(OR(D257="Invalid",D257&lt;0),"",D257)</f>
        <v>0</v>
      </c>
      <c r="F257" t="s">
        <v>1336</v>
      </c>
      <c r="G257" t="s">
        <v>53</v>
      </c>
      <c r="H257" t="str">
        <f>PROPER(TRIM(G257))</f>
        <v>Isha Nair</v>
      </c>
      <c r="I257" t="s">
        <v>108</v>
      </c>
      <c r="J257" t="str">
        <f>PROPER(TRIM(I257))</f>
        <v>Corporate</v>
      </c>
      <c r="K257" t="s">
        <v>73</v>
      </c>
      <c r="L257" t="s">
        <v>74</v>
      </c>
      <c r="M257" t="s">
        <v>75</v>
      </c>
      <c r="N257" t="s">
        <v>86</v>
      </c>
      <c r="O257" t="str">
        <f>TRIM(N257)</f>
        <v>Technology</v>
      </c>
      <c r="P257" t="s">
        <v>223</v>
      </c>
      <c r="Q257" t="s">
        <v>1337</v>
      </c>
      <c r="R257" t="s">
        <v>56</v>
      </c>
      <c r="S257" t="s">
        <v>56</v>
      </c>
      <c r="T257">
        <v>7</v>
      </c>
      <c r="U257">
        <v>1830</v>
      </c>
      <c r="V257">
        <v>0</v>
      </c>
      <c r="W257">
        <v>12810</v>
      </c>
      <c r="X257">
        <v>9334.1200000000008</v>
      </c>
      <c r="Y257">
        <v>3475.88</v>
      </c>
      <c r="Z257" t="s">
        <v>34</v>
      </c>
      <c r="AA257" t="s">
        <v>35</v>
      </c>
    </row>
    <row r="258" spans="1:27">
      <c r="A258" t="s">
        <v>1338</v>
      </c>
      <c r="B258" t="s">
        <v>1339</v>
      </c>
      <c r="C258" t="s">
        <v>483</v>
      </c>
      <c r="D258"/>
      <c r="E258" s="7">
        <f>IF(OR(D258="Invalid",D258&lt;0),"",D258)</f>
        <v>0</v>
      </c>
      <c r="F258" t="s">
        <v>1340</v>
      </c>
      <c r="G258" t="s">
        <v>72</v>
      </c>
      <c r="H258" t="str">
        <f>PROPER(TRIM(G258))</f>
        <v>Ananya Rao</v>
      </c>
      <c r="I258" t="s">
        <v>26</v>
      </c>
      <c r="J258" t="str">
        <f>PROPER(TRIM(I258))</f>
        <v>Consumer</v>
      </c>
      <c r="K258" t="s">
        <v>42</v>
      </c>
      <c r="L258" t="s">
        <v>121</v>
      </c>
      <c r="M258" t="s">
        <v>122</v>
      </c>
      <c r="N258" t="s">
        <v>45</v>
      </c>
      <c r="O258" t="str">
        <f>TRIM(N258)</f>
        <v>Furniture</v>
      </c>
      <c r="P258" t="s">
        <v>46</v>
      </c>
      <c r="Q258" t="s">
        <v>1341</v>
      </c>
      <c r="R258" t="s">
        <v>56</v>
      </c>
      <c r="S258" t="s">
        <v>56</v>
      </c>
      <c r="T258">
        <v>9</v>
      </c>
      <c r="U258">
        <v>2260.61</v>
      </c>
      <c r="V258">
        <v>0.05</v>
      </c>
      <c r="W258">
        <v>19328.22</v>
      </c>
      <c r="X258">
        <v>12039.5</v>
      </c>
      <c r="Y258">
        <v>7288.72</v>
      </c>
      <c r="Z258" t="s">
        <v>34</v>
      </c>
      <c r="AA258" t="s">
        <v>35</v>
      </c>
    </row>
    <row r="259" spans="1:27">
      <c r="A259" t="s">
        <v>1342</v>
      </c>
      <c r="B259" t="s">
        <v>1343</v>
      </c>
      <c r="C259" t="s">
        <v>1344</v>
      </c>
      <c r="D259"/>
      <c r="E259" s="7">
        <f>IF(OR(D259="Invalid",D259&lt;0),"",D259)</f>
        <v>0</v>
      </c>
      <c r="F259" t="s">
        <v>1345</v>
      </c>
      <c r="G259" t="s">
        <v>210</v>
      </c>
      <c r="H259" t="str">
        <f>PROPER(TRIM(G259))</f>
        <v>Diya Patel</v>
      </c>
      <c r="I259" t="s">
        <v>108</v>
      </c>
      <c r="J259" t="str">
        <f>PROPER(TRIM(I259))</f>
        <v>Corporate</v>
      </c>
      <c r="K259" t="s">
        <v>62</v>
      </c>
      <c r="L259" t="s">
        <v>229</v>
      </c>
      <c r="M259" t="s">
        <v>230</v>
      </c>
      <c r="N259" t="s">
        <v>86</v>
      </c>
      <c r="O259" t="str">
        <f>TRIM(N259)</f>
        <v>Technology</v>
      </c>
      <c r="P259" t="s">
        <v>87</v>
      </c>
      <c r="Q259" t="s">
        <v>1346</v>
      </c>
      <c r="R259" t="s">
        <v>33</v>
      </c>
      <c r="S259" t="s">
        <v>33</v>
      </c>
      <c r="T259">
        <v>2</v>
      </c>
      <c r="U259">
        <v>3237.27</v>
      </c>
      <c r="V259">
        <v>0</v>
      </c>
      <c r="W259">
        <v>6474.54</v>
      </c>
      <c r="X259">
        <v>5095.91</v>
      </c>
      <c r="Y259">
        <v>1378.63</v>
      </c>
      <c r="Z259" t="s">
        <v>34</v>
      </c>
      <c r="AA259" t="s">
        <v>78</v>
      </c>
    </row>
    <row r="260" spans="1:27">
      <c r="A260" t="s">
        <v>1347</v>
      </c>
      <c r="B260" t="s">
        <v>825</v>
      </c>
      <c r="C260" t="s">
        <v>1348</v>
      </c>
      <c r="D260"/>
      <c r="E260" s="7">
        <f>IF(OR(D260="Invalid",D260&lt;0),"",D260)</f>
        <v>0</v>
      </c>
      <c r="F260" t="s">
        <v>1349</v>
      </c>
      <c r="G260" t="s">
        <v>168</v>
      </c>
      <c r="H260" t="str">
        <f>PROPER(TRIM(G260))</f>
        <v>Sneha Kapoor</v>
      </c>
      <c r="I260" t="s">
        <v>108</v>
      </c>
      <c r="J260" t="str">
        <f>PROPER(TRIM(I260))</f>
        <v>Corporate</v>
      </c>
      <c r="K260" t="s">
        <v>62</v>
      </c>
      <c r="L260" t="s">
        <v>339</v>
      </c>
      <c r="M260" t="s">
        <v>340</v>
      </c>
      <c r="N260" t="s">
        <v>45</v>
      </c>
      <c r="O260" t="str">
        <f>TRIM(N260)</f>
        <v>Furniture</v>
      </c>
      <c r="P260" t="s">
        <v>46</v>
      </c>
      <c r="Q260" t="s">
        <v>1350</v>
      </c>
      <c r="R260" t="s">
        <v>48</v>
      </c>
      <c r="S260" t="s">
        <v>48</v>
      </c>
      <c r="T260">
        <v>2</v>
      </c>
      <c r="U260">
        <v>3720.07</v>
      </c>
      <c r="V260">
        <v>0.25</v>
      </c>
      <c r="W260">
        <v>5580.11</v>
      </c>
      <c r="X260">
        <v>4307.01</v>
      </c>
      <c r="Y260">
        <v>1273.0999999999999</v>
      </c>
      <c r="Z260" t="s">
        <v>34</v>
      </c>
      <c r="AA260" t="s">
        <v>35</v>
      </c>
    </row>
    <row r="261" spans="1:27">
      <c r="A261" t="s">
        <v>1351</v>
      </c>
      <c r="B261" t="s">
        <v>1352</v>
      </c>
      <c r="C261" t="s">
        <v>1353</v>
      </c>
      <c r="D261"/>
      <c r="E261" s="7">
        <f>IF(OR(D261="Invalid",D261&lt;0),"",D261)</f>
        <v>0</v>
      </c>
      <c r="F261" t="s">
        <v>1354</v>
      </c>
      <c r="G261" t="s">
        <v>93</v>
      </c>
      <c r="H261" t="str">
        <f>PROPER(TRIM(G261))</f>
        <v>Neha Gupta</v>
      </c>
      <c r="I261" t="s">
        <v>26</v>
      </c>
      <c r="J261" t="str">
        <f>PROPER(TRIM(I261))</f>
        <v>Consumer</v>
      </c>
      <c r="K261" t="s">
        <v>62</v>
      </c>
      <c r="L261" t="s">
        <v>339</v>
      </c>
      <c r="M261" t="s">
        <v>340</v>
      </c>
      <c r="N261" t="s">
        <v>86</v>
      </c>
      <c r="O261" t="str">
        <f>TRIM(N261)</f>
        <v>Technology</v>
      </c>
      <c r="P261" t="s">
        <v>382</v>
      </c>
      <c r="Q261" t="s">
        <v>1355</v>
      </c>
      <c r="R261" t="s">
        <v>67</v>
      </c>
      <c r="S261" t="s">
        <v>67</v>
      </c>
      <c r="T261">
        <v>8</v>
      </c>
      <c r="U261">
        <v>2853.92</v>
      </c>
      <c r="V261">
        <v>0.2</v>
      </c>
      <c r="W261">
        <v>18265.09</v>
      </c>
      <c r="X261">
        <v>10437.14</v>
      </c>
      <c r="Y261">
        <v>7827.95</v>
      </c>
      <c r="Z261" t="s">
        <v>34</v>
      </c>
      <c r="AA261" t="s">
        <v>35</v>
      </c>
    </row>
    <row r="262" spans="1:27">
      <c r="A262" t="s">
        <v>1356</v>
      </c>
      <c r="B262" t="s">
        <v>1357</v>
      </c>
      <c r="C262" t="s">
        <v>1358</v>
      </c>
      <c r="D262"/>
      <c r="E262" s="7">
        <f>IF(OR(D262="Invalid",D262&lt;0),"",D262)</f>
        <v>0</v>
      </c>
      <c r="F262" t="s">
        <v>1359</v>
      </c>
      <c r="G262" t="s">
        <v>107</v>
      </c>
      <c r="H262" t="str">
        <f>PROPER(TRIM(G262))</f>
        <v>Aditi Sen</v>
      </c>
      <c r="I262" t="s">
        <v>108</v>
      </c>
      <c r="J262" t="str">
        <f>PROPER(TRIM(I262))</f>
        <v>Corporate</v>
      </c>
      <c r="K262" t="s">
        <v>42</v>
      </c>
      <c r="L262" t="s">
        <v>121</v>
      </c>
      <c r="M262" t="s">
        <v>122</v>
      </c>
      <c r="N262" t="s">
        <v>30</v>
      </c>
      <c r="O262" t="str">
        <f>TRIM(N262)</f>
        <v>Office Supplies</v>
      </c>
      <c r="P262" t="s">
        <v>198</v>
      </c>
      <c r="Q262" t="s">
        <v>1360</v>
      </c>
      <c r="R262" t="s">
        <v>48</v>
      </c>
      <c r="S262" t="s">
        <v>48</v>
      </c>
      <c r="T262">
        <v>7</v>
      </c>
      <c r="U262">
        <v>2897.12</v>
      </c>
      <c r="V262">
        <v>0.25</v>
      </c>
      <c r="W262">
        <v>15209.88</v>
      </c>
      <c r="X262">
        <v>10891.15</v>
      </c>
      <c r="Y262">
        <v>4318.7299999999996</v>
      </c>
      <c r="Z262" t="s">
        <v>200</v>
      </c>
      <c r="AA262" t="s">
        <v>125</v>
      </c>
    </row>
    <row r="263" spans="1:27">
      <c r="A263" t="s">
        <v>1361</v>
      </c>
      <c r="B263" t="s">
        <v>1362</v>
      </c>
      <c r="C263" t="s">
        <v>1363</v>
      </c>
      <c r="D263"/>
      <c r="E263" s="7">
        <f>IF(OR(D263="Invalid",D263&lt;0),"",D263)</f>
        <v>0</v>
      </c>
      <c r="F263" t="s">
        <v>1364</v>
      </c>
      <c r="G263" t="s">
        <v>168</v>
      </c>
      <c r="H263" t="str">
        <f>PROPER(TRIM(G263))</f>
        <v>Sneha Kapoor</v>
      </c>
      <c r="I263" t="s">
        <v>108</v>
      </c>
      <c r="J263" t="str">
        <f>PROPER(TRIM(I263))</f>
        <v>Corporate</v>
      </c>
      <c r="K263" t="s">
        <v>27</v>
      </c>
      <c r="L263" t="s">
        <v>28</v>
      </c>
      <c r="M263" t="s">
        <v>29</v>
      </c>
      <c r="N263" t="s">
        <v>30</v>
      </c>
      <c r="O263" t="str">
        <f>TRIM(N263)</f>
        <v>Office Supplies</v>
      </c>
      <c r="P263" t="s">
        <v>109</v>
      </c>
      <c r="Q263" t="s">
        <v>1365</v>
      </c>
      <c r="R263" t="s">
        <v>67</v>
      </c>
      <c r="S263" t="s">
        <v>67</v>
      </c>
      <c r="T263">
        <v>3</v>
      </c>
      <c r="U263">
        <v>686.74</v>
      </c>
      <c r="V263">
        <v>0.2</v>
      </c>
      <c r="W263">
        <v>1648.18</v>
      </c>
      <c r="X263">
        <v>987.91</v>
      </c>
      <c r="Y263">
        <v>660.27</v>
      </c>
      <c r="Z263" t="s">
        <v>200</v>
      </c>
      <c r="AA263" t="s">
        <v>78</v>
      </c>
    </row>
    <row r="264" spans="1:27">
      <c r="A264" t="s">
        <v>1366</v>
      </c>
      <c r="B264" t="s">
        <v>1367</v>
      </c>
      <c r="C264" t="s">
        <v>1368</v>
      </c>
      <c r="D264"/>
      <c r="E264" s="7">
        <f>IF(OR(D264="Invalid",D264&lt;0),"",D264)</f>
        <v>0</v>
      </c>
      <c r="F264" t="s">
        <v>950</v>
      </c>
      <c r="G264" t="s">
        <v>61</v>
      </c>
      <c r="H264" t="str">
        <f>PROPER(TRIM(G264))</f>
        <v>Arjun Bose</v>
      </c>
      <c r="I264" t="s">
        <v>41</v>
      </c>
      <c r="J264" t="str">
        <f>PROPER(TRIM(I264))</f>
        <v>Small Business</v>
      </c>
      <c r="K264" t="s">
        <v>27</v>
      </c>
      <c r="L264" t="s">
        <v>506</v>
      </c>
      <c r="M264" t="s">
        <v>507</v>
      </c>
      <c r="N264" t="s">
        <v>86</v>
      </c>
      <c r="O264" t="str">
        <f>TRIM(N264)</f>
        <v>Technology</v>
      </c>
      <c r="P264" t="s">
        <v>223</v>
      </c>
      <c r="Q264" t="s">
        <v>1369</v>
      </c>
      <c r="R264" t="s">
        <v>48</v>
      </c>
      <c r="S264" t="s">
        <v>48</v>
      </c>
      <c r="T264">
        <v>4</v>
      </c>
      <c r="U264">
        <v>3349.86</v>
      </c>
      <c r="V264">
        <v>0</v>
      </c>
      <c r="W264">
        <v>13399.44</v>
      </c>
      <c r="X264">
        <v>8581.35</v>
      </c>
      <c r="Y264">
        <v>4818.09</v>
      </c>
      <c r="Z264" t="s">
        <v>137</v>
      </c>
      <c r="AA264" t="s">
        <v>125</v>
      </c>
    </row>
    <row r="265" spans="1:27">
      <c r="A265" t="s">
        <v>1370</v>
      </c>
      <c r="B265" t="s">
        <v>1371</v>
      </c>
      <c r="C265" t="s">
        <v>944</v>
      </c>
      <c r="D265"/>
      <c r="E265" s="7">
        <f>IF(OR(D265="Invalid",D265&lt;0),"",D265)</f>
        <v>0</v>
      </c>
      <c r="F265" t="s">
        <v>1372</v>
      </c>
      <c r="G265" t="s">
        <v>180</v>
      </c>
      <c r="H265" t="str">
        <f>PROPER(TRIM(G265))</f>
        <v>Rohan Mehta</v>
      </c>
      <c r="I265" t="s">
        <v>41</v>
      </c>
      <c r="J265" t="str">
        <f>PROPER(TRIM(I265))</f>
        <v>Small Business</v>
      </c>
      <c r="K265" t="s">
        <v>27</v>
      </c>
      <c r="L265" t="s">
        <v>506</v>
      </c>
      <c r="M265" t="s">
        <v>507</v>
      </c>
      <c r="N265" t="s">
        <v>30</v>
      </c>
      <c r="O265" t="str">
        <f>TRIM(N265)</f>
        <v>Office Supplies</v>
      </c>
      <c r="P265" t="s">
        <v>198</v>
      </c>
      <c r="Q265" t="s">
        <v>1373</v>
      </c>
      <c r="R265" t="s">
        <v>33</v>
      </c>
      <c r="S265" t="s">
        <v>33</v>
      </c>
      <c r="T265">
        <v>9</v>
      </c>
      <c r="U265">
        <v>4042.45</v>
      </c>
      <c r="V265">
        <v>0.1</v>
      </c>
      <c r="W265">
        <v>32743.84</v>
      </c>
      <c r="X265">
        <v>22452.05</v>
      </c>
      <c r="Y265">
        <v>10291.790000000001</v>
      </c>
      <c r="Z265" t="s">
        <v>137</v>
      </c>
      <c r="AA265" t="s">
        <v>125</v>
      </c>
    </row>
    <row r="266" spans="1:27">
      <c r="A266" t="s">
        <v>1374</v>
      </c>
      <c r="B266" t="s">
        <v>1375</v>
      </c>
      <c r="C266" t="s">
        <v>1376</v>
      </c>
      <c r="D266"/>
      <c r="E266" s="7">
        <f>IF(OR(D266="Invalid",D266&lt;0),"",D266)</f>
        <v>0</v>
      </c>
      <c r="F266" t="s">
        <v>1377</v>
      </c>
      <c r="G266" t="s">
        <v>210</v>
      </c>
      <c r="H266" t="str">
        <f>PROPER(TRIM(G266))</f>
        <v>Diya Patel</v>
      </c>
      <c r="I266" t="s">
        <v>41</v>
      </c>
      <c r="J266" t="str">
        <f>PROPER(TRIM(I266))</f>
        <v>Small Business</v>
      </c>
      <c r="K266" t="s">
        <v>42</v>
      </c>
      <c r="L266" t="s">
        <v>186</v>
      </c>
      <c r="M266" t="s">
        <v>187</v>
      </c>
      <c r="N266" t="s">
        <v>86</v>
      </c>
      <c r="O266" t="str">
        <f>TRIM(N266)</f>
        <v>Technology</v>
      </c>
      <c r="P266" t="s">
        <v>94</v>
      </c>
      <c r="Q266" t="s">
        <v>1378</v>
      </c>
      <c r="R266" t="s">
        <v>67</v>
      </c>
      <c r="S266" t="s">
        <v>67</v>
      </c>
      <c r="T266">
        <v>4</v>
      </c>
      <c r="U266">
        <v>1503.07</v>
      </c>
      <c r="V266">
        <v>0</v>
      </c>
      <c r="W266">
        <v>6012.28</v>
      </c>
      <c r="X266">
        <v>3927.64</v>
      </c>
      <c r="Y266">
        <v>2084.64</v>
      </c>
      <c r="Z266" t="s">
        <v>34</v>
      </c>
      <c r="AA266" t="s">
        <v>35</v>
      </c>
    </row>
    <row r="267" spans="1:27">
      <c r="A267" t="s">
        <v>1379</v>
      </c>
      <c r="B267" t="s">
        <v>1380</v>
      </c>
      <c r="C267" t="s">
        <v>911</v>
      </c>
      <c r="D267"/>
      <c r="E267" s="7">
        <f>IF(OR(D267="Invalid",D267&lt;0),"",D267)</f>
        <v>0</v>
      </c>
      <c r="F267" t="s">
        <v>1381</v>
      </c>
      <c r="G267" t="s">
        <v>142</v>
      </c>
      <c r="H267" t="str">
        <f>PROPER(TRIM(G267))</f>
        <v>Priya Menon</v>
      </c>
      <c r="I267" t="s">
        <v>108</v>
      </c>
      <c r="J267" t="str">
        <f>PROPER(TRIM(I267))</f>
        <v>Corporate</v>
      </c>
      <c r="K267" t="s">
        <v>42</v>
      </c>
      <c r="L267" t="s">
        <v>186</v>
      </c>
      <c r="M267" t="s">
        <v>187</v>
      </c>
      <c r="N267" t="s">
        <v>45</v>
      </c>
      <c r="O267" t="str">
        <f>TRIM(N267)</f>
        <v>Furniture</v>
      </c>
      <c r="P267" t="s">
        <v>204</v>
      </c>
      <c r="Q267" t="s">
        <v>1382</v>
      </c>
      <c r="R267" t="s">
        <v>48</v>
      </c>
      <c r="S267" t="s">
        <v>48</v>
      </c>
      <c r="T267">
        <v>1</v>
      </c>
      <c r="U267">
        <v>582.37</v>
      </c>
      <c r="V267">
        <v>0.15</v>
      </c>
      <c r="W267">
        <v>495.01</v>
      </c>
      <c r="X267">
        <v>285.13</v>
      </c>
      <c r="Y267">
        <v>209.88</v>
      </c>
      <c r="Z267" t="s">
        <v>124</v>
      </c>
      <c r="AA267" t="s">
        <v>78</v>
      </c>
    </row>
    <row r="268" spans="1:27">
      <c r="A268" t="s">
        <v>1383</v>
      </c>
      <c r="B268" t="s">
        <v>1384</v>
      </c>
      <c r="C268" t="s">
        <v>1385</v>
      </c>
      <c r="D268"/>
      <c r="E268" s="7">
        <f>IF(OR(D268="Invalid",D268&lt;0),"",D268)</f>
        <v>0</v>
      </c>
      <c r="F268" t="s">
        <v>1386</v>
      </c>
      <c r="G268" t="s">
        <v>93</v>
      </c>
      <c r="H268" t="str">
        <f>PROPER(TRIM(G268))</f>
        <v>Neha Gupta</v>
      </c>
      <c r="I268" t="s">
        <v>115</v>
      </c>
      <c r="J268" t="str">
        <f>PROPER(TRIM(I268))</f>
        <v>Home Office</v>
      </c>
      <c r="K268" t="s">
        <v>73</v>
      </c>
      <c r="L268" t="s">
        <v>74</v>
      </c>
      <c r="M268" t="s">
        <v>75</v>
      </c>
      <c r="N268" t="s">
        <v>30</v>
      </c>
      <c r="O268" t="str">
        <f>TRIM(N268)</f>
        <v>Office Supplies</v>
      </c>
      <c r="P268" t="s">
        <v>156</v>
      </c>
      <c r="Q268" t="s">
        <v>1387</v>
      </c>
      <c r="R268" t="s">
        <v>33</v>
      </c>
      <c r="S268" t="s">
        <v>33</v>
      </c>
      <c r="T268">
        <v>3</v>
      </c>
      <c r="U268">
        <v>4339.24</v>
      </c>
      <c r="V268">
        <v>0</v>
      </c>
      <c r="W268">
        <v>13017.72</v>
      </c>
      <c r="X268">
        <v>10170.57</v>
      </c>
      <c r="Y268">
        <v>2847.15</v>
      </c>
      <c r="Z268" t="s">
        <v>34</v>
      </c>
      <c r="AA268" t="s">
        <v>35</v>
      </c>
    </row>
    <row r="269" spans="1:27">
      <c r="A269" t="s">
        <v>1388</v>
      </c>
      <c r="B269" t="s">
        <v>1018</v>
      </c>
      <c r="C269" t="s">
        <v>1389</v>
      </c>
      <c r="D269"/>
      <c r="E269" s="7">
        <f>IF(OR(D269="Invalid",D269&lt;0),"",D269)</f>
        <v>0</v>
      </c>
      <c r="F269" t="s">
        <v>1390</v>
      </c>
      <c r="G269" t="s">
        <v>210</v>
      </c>
      <c r="H269" t="str">
        <f>PROPER(TRIM(G269))</f>
        <v>Diya Patel</v>
      </c>
      <c r="I269" t="s">
        <v>108</v>
      </c>
      <c r="J269" t="str">
        <f>PROPER(TRIM(I269))</f>
        <v>Corporate</v>
      </c>
      <c r="K269" t="s">
        <v>42</v>
      </c>
      <c r="L269" t="s">
        <v>311</v>
      </c>
      <c r="M269" t="s">
        <v>312</v>
      </c>
      <c r="N269" t="s">
        <v>45</v>
      </c>
      <c r="O269" t="str">
        <f>TRIM(N269)</f>
        <v>Furniture</v>
      </c>
      <c r="P269" t="s">
        <v>65</v>
      </c>
      <c r="Q269" t="s">
        <v>1391</v>
      </c>
      <c r="R269" t="s">
        <v>56</v>
      </c>
      <c r="S269" t="s">
        <v>56</v>
      </c>
      <c r="T269">
        <v>4</v>
      </c>
      <c r="U269">
        <v>261.8</v>
      </c>
      <c r="V269">
        <v>0.25</v>
      </c>
      <c r="W269">
        <v>785.4</v>
      </c>
      <c r="X269">
        <v>557.22</v>
      </c>
      <c r="Y269">
        <v>228.18</v>
      </c>
      <c r="Z269" t="s">
        <v>34</v>
      </c>
      <c r="AA269" t="s">
        <v>35</v>
      </c>
    </row>
    <row r="270" spans="1:27">
      <c r="A270" t="s">
        <v>1392</v>
      </c>
      <c r="B270" t="s">
        <v>1393</v>
      </c>
      <c r="C270" t="s">
        <v>1393</v>
      </c>
      <c r="D270"/>
      <c r="E270" s="7">
        <f>IF(OR(D270="Invalid",D270&lt;0),"",D270)</f>
        <v>0</v>
      </c>
      <c r="F270" t="s">
        <v>1394</v>
      </c>
      <c r="G270" t="s">
        <v>162</v>
      </c>
      <c r="H270" t="str">
        <f>PROPER(TRIM(G270))</f>
        <v>Aarav Sharma</v>
      </c>
      <c r="I270" t="s">
        <v>115</v>
      </c>
      <c r="J270" t="str">
        <f>PROPER(TRIM(I270))</f>
        <v>Home Office</v>
      </c>
      <c r="K270" t="s">
        <v>27</v>
      </c>
      <c r="L270" t="s">
        <v>154</v>
      </c>
      <c r="M270" t="s">
        <v>155</v>
      </c>
      <c r="N270" t="s">
        <v>86</v>
      </c>
      <c r="O270" t="str">
        <f>TRIM(N270)</f>
        <v>Technology</v>
      </c>
      <c r="P270" t="s">
        <v>87</v>
      </c>
      <c r="Q270" t="s">
        <v>1395</v>
      </c>
      <c r="R270" t="s">
        <v>56</v>
      </c>
      <c r="S270" t="s">
        <v>56</v>
      </c>
      <c r="T270">
        <v>7</v>
      </c>
      <c r="U270">
        <v>632.20000000000005</v>
      </c>
      <c r="V270">
        <v>0.25</v>
      </c>
      <c r="W270">
        <v>3319.05</v>
      </c>
      <c r="X270">
        <v>2124.6</v>
      </c>
      <c r="Y270">
        <v>1194.45</v>
      </c>
      <c r="Z270" t="s">
        <v>34</v>
      </c>
      <c r="AA270" t="s">
        <v>35</v>
      </c>
    </row>
    <row r="271" spans="1:27">
      <c r="A271" t="s">
        <v>1396</v>
      </c>
      <c r="B271" t="s">
        <v>1335</v>
      </c>
      <c r="C271" t="s">
        <v>1397</v>
      </c>
      <c r="D271"/>
      <c r="E271" s="7">
        <f>IF(OR(D271="Invalid",D271&lt;0),"",D271)</f>
        <v>0</v>
      </c>
      <c r="F271" t="s">
        <v>1398</v>
      </c>
      <c r="G271" t="s">
        <v>148</v>
      </c>
      <c r="H271" t="str">
        <f>PROPER(TRIM(G271))</f>
        <v>Rahul Verma</v>
      </c>
      <c r="I271" t="s">
        <v>41</v>
      </c>
      <c r="J271" t="str">
        <f>PROPER(TRIM(I271))</f>
        <v>Small Business</v>
      </c>
      <c r="K271" t="s">
        <v>73</v>
      </c>
      <c r="L271" t="s">
        <v>28</v>
      </c>
      <c r="M271" t="s">
        <v>135</v>
      </c>
      <c r="N271" t="s">
        <v>45</v>
      </c>
      <c r="O271" t="str">
        <f>TRIM(N271)</f>
        <v>Furniture</v>
      </c>
      <c r="P271" t="s">
        <v>46</v>
      </c>
      <c r="Q271" t="s">
        <v>1399</v>
      </c>
      <c r="R271" t="s">
        <v>48</v>
      </c>
      <c r="S271" t="s">
        <v>48</v>
      </c>
      <c r="T271">
        <v>1</v>
      </c>
      <c r="U271">
        <v>1925.86</v>
      </c>
      <c r="V271">
        <v>0</v>
      </c>
      <c r="W271">
        <v>1925.86</v>
      </c>
      <c r="X271">
        <v>1321.89</v>
      </c>
      <c r="Y271">
        <v>603.97</v>
      </c>
      <c r="Z271" t="s">
        <v>34</v>
      </c>
      <c r="AA271" t="s">
        <v>35</v>
      </c>
    </row>
    <row r="272" spans="1:27">
      <c r="A272" t="s">
        <v>1400</v>
      </c>
      <c r="B272" t="s">
        <v>1258</v>
      </c>
      <c r="C272" t="s">
        <v>563</v>
      </c>
      <c r="D272"/>
      <c r="E272" s="7">
        <f>IF(OR(D272="Invalid",D272&lt;0),"",D272)</f>
        <v>0</v>
      </c>
      <c r="F272" t="s">
        <v>1401</v>
      </c>
      <c r="G272" t="s">
        <v>107</v>
      </c>
      <c r="H272" t="str">
        <f>PROPER(TRIM(G272))</f>
        <v>Aditi Sen</v>
      </c>
      <c r="I272" t="s">
        <v>108</v>
      </c>
      <c r="J272" t="str">
        <f>PROPER(TRIM(I272))</f>
        <v>Corporate</v>
      </c>
      <c r="K272" t="s">
        <v>27</v>
      </c>
      <c r="L272" t="s">
        <v>174</v>
      </c>
      <c r="M272" t="s">
        <v>175</v>
      </c>
      <c r="N272" t="s">
        <v>86</v>
      </c>
      <c r="O272" t="str">
        <f>TRIM(N272)</f>
        <v>Technology</v>
      </c>
      <c r="P272" t="s">
        <v>382</v>
      </c>
      <c r="Q272" t="s">
        <v>1402</v>
      </c>
      <c r="R272" t="s">
        <v>48</v>
      </c>
      <c r="S272" t="s">
        <v>48</v>
      </c>
      <c r="T272">
        <v>3</v>
      </c>
      <c r="U272">
        <v>827.44</v>
      </c>
      <c r="V272">
        <v>0</v>
      </c>
      <c r="W272">
        <v>2482.3200000000002</v>
      </c>
      <c r="X272">
        <v>1520.21</v>
      </c>
      <c r="Y272">
        <v>962.11</v>
      </c>
      <c r="Z272" t="s">
        <v>34</v>
      </c>
      <c r="AA272" t="s">
        <v>35</v>
      </c>
    </row>
    <row r="273" spans="1:27">
      <c r="A273" t="s">
        <v>1403</v>
      </c>
      <c r="B273" t="s">
        <v>1404</v>
      </c>
      <c r="C273" t="s">
        <v>1405</v>
      </c>
      <c r="D273"/>
      <c r="E273" s="7">
        <f>IF(OR(D273="Invalid",D273&lt;0),"",D273)</f>
        <v>0</v>
      </c>
      <c r="F273" t="s">
        <v>1406</v>
      </c>
      <c r="G273" t="s">
        <v>107</v>
      </c>
      <c r="H273" t="str">
        <f>PROPER(TRIM(G273))</f>
        <v>Aditi Sen</v>
      </c>
      <c r="I273" t="s">
        <v>26</v>
      </c>
      <c r="J273" t="str">
        <f>PROPER(TRIM(I273))</f>
        <v>Consumer</v>
      </c>
      <c r="K273" t="s">
        <v>62</v>
      </c>
      <c r="L273" t="s">
        <v>63</v>
      </c>
      <c r="M273" t="s">
        <v>64</v>
      </c>
      <c r="N273" t="s">
        <v>30</v>
      </c>
      <c r="O273" t="str">
        <f>TRIM(N273)</f>
        <v>Office Supplies</v>
      </c>
      <c r="P273" t="s">
        <v>198</v>
      </c>
      <c r="Q273" t="s">
        <v>1407</v>
      </c>
      <c r="R273" t="s">
        <v>67</v>
      </c>
      <c r="S273" t="s">
        <v>67</v>
      </c>
      <c r="T273">
        <v>7</v>
      </c>
      <c r="U273">
        <v>1667.75</v>
      </c>
      <c r="V273">
        <v>0</v>
      </c>
      <c r="W273">
        <v>11674.25</v>
      </c>
      <c r="X273">
        <v>9621.19</v>
      </c>
      <c r="Y273">
        <v>2053.06</v>
      </c>
      <c r="Z273" t="s">
        <v>200</v>
      </c>
      <c r="AA273" t="s">
        <v>78</v>
      </c>
    </row>
    <row r="274" spans="1:27">
      <c r="A274" t="s">
        <v>1408</v>
      </c>
      <c r="B274" t="s">
        <v>1409</v>
      </c>
      <c r="C274" t="s">
        <v>1410</v>
      </c>
      <c r="D274"/>
      <c r="E274" s="7">
        <f>IF(OR(D274="Invalid",D274&lt;0),"",D274)</f>
        <v>0</v>
      </c>
      <c r="F274" t="s">
        <v>1411</v>
      </c>
      <c r="G274" t="s">
        <v>61</v>
      </c>
      <c r="H274" t="str">
        <f>PROPER(TRIM(G274))</f>
        <v>Arjun Bose</v>
      </c>
      <c r="I274" t="s">
        <v>26</v>
      </c>
      <c r="J274" t="str">
        <f>PROPER(TRIM(I274))</f>
        <v>Consumer</v>
      </c>
      <c r="K274" t="s">
        <v>62</v>
      </c>
      <c r="L274" t="s">
        <v>100</v>
      </c>
      <c r="M274" t="s">
        <v>101</v>
      </c>
      <c r="N274" t="s">
        <v>45</v>
      </c>
      <c r="O274" t="str">
        <f>TRIM(N274)</f>
        <v>Furniture</v>
      </c>
      <c r="P274" t="s">
        <v>76</v>
      </c>
      <c r="Q274" t="s">
        <v>1412</v>
      </c>
      <c r="R274" t="s">
        <v>56</v>
      </c>
      <c r="S274" t="s">
        <v>56</v>
      </c>
      <c r="T274">
        <v>7</v>
      </c>
      <c r="U274">
        <v>557.21</v>
      </c>
      <c r="V274">
        <v>0.1</v>
      </c>
      <c r="W274">
        <v>3510.42</v>
      </c>
      <c r="X274">
        <v>2191.5</v>
      </c>
      <c r="Y274">
        <v>1213.48</v>
      </c>
      <c r="Z274" t="s">
        <v>34</v>
      </c>
      <c r="AA274" t="s">
        <v>35</v>
      </c>
    </row>
    <row r="275" spans="1:27">
      <c r="A275" t="s">
        <v>1413</v>
      </c>
      <c r="B275" t="s">
        <v>1414</v>
      </c>
      <c r="C275" t="s">
        <v>1415</v>
      </c>
      <c r="D275"/>
      <c r="E275" s="7">
        <f>IF(OR(D275="Invalid",D275&lt;0),"",D275)</f>
        <v>0</v>
      </c>
      <c r="F275" t="s">
        <v>1416</v>
      </c>
      <c r="G275" t="s">
        <v>53</v>
      </c>
      <c r="H275" t="str">
        <f>PROPER(TRIM(G275))</f>
        <v>Isha Nair</v>
      </c>
      <c r="I275" t="s">
        <v>26</v>
      </c>
      <c r="J275" t="str">
        <f>PROPER(TRIM(I275))</f>
        <v>Consumer</v>
      </c>
      <c r="K275" t="s">
        <v>42</v>
      </c>
      <c r="L275" t="s">
        <v>186</v>
      </c>
      <c r="M275" t="s">
        <v>187</v>
      </c>
      <c r="N275" t="s">
        <v>30</v>
      </c>
      <c r="O275" t="str">
        <f>TRIM(N275)</f>
        <v>Office Supplies</v>
      </c>
      <c r="P275" t="s">
        <v>31</v>
      </c>
      <c r="Q275" t="s">
        <v>1417</v>
      </c>
      <c r="R275" t="s">
        <v>33</v>
      </c>
      <c r="S275" t="s">
        <v>33</v>
      </c>
      <c r="T275">
        <v>9</v>
      </c>
      <c r="U275">
        <v>2521.63</v>
      </c>
      <c r="V275">
        <v>0</v>
      </c>
      <c r="W275">
        <v>22694.67</v>
      </c>
      <c r="X275">
        <v>15405.36</v>
      </c>
      <c r="Y275">
        <v>7289.31</v>
      </c>
      <c r="Z275" t="s">
        <v>34</v>
      </c>
      <c r="AA275" t="s">
        <v>125</v>
      </c>
    </row>
    <row r="276" spans="1:27">
      <c r="A276" t="s">
        <v>1418</v>
      </c>
      <c r="B276" t="s">
        <v>1419</v>
      </c>
      <c r="C276" t="s">
        <v>1420</v>
      </c>
      <c r="D276"/>
      <c r="E276" s="7">
        <f>IF(OR(D276="Invalid",D276&lt;0),"",D276)</f>
        <v>0</v>
      </c>
      <c r="F276" t="s">
        <v>1421</v>
      </c>
      <c r="G276" t="s">
        <v>180</v>
      </c>
      <c r="H276" t="str">
        <f>PROPER(TRIM(G276))</f>
        <v>Rohan Mehta</v>
      </c>
      <c r="I276" t="s">
        <v>26</v>
      </c>
      <c r="J276" t="str">
        <f>PROPER(TRIM(I276))</f>
        <v>Consumer</v>
      </c>
      <c r="K276" t="s">
        <v>62</v>
      </c>
      <c r="L276" t="s">
        <v>242</v>
      </c>
      <c r="M276" t="s">
        <v>243</v>
      </c>
      <c r="N276" t="s">
        <v>86</v>
      </c>
      <c r="O276" t="str">
        <f>TRIM(N276)</f>
        <v>Technology</v>
      </c>
      <c r="P276" t="s">
        <v>94</v>
      </c>
      <c r="Q276" t="s">
        <v>1422</v>
      </c>
      <c r="R276" t="s">
        <v>67</v>
      </c>
      <c r="S276" t="s">
        <v>67</v>
      </c>
      <c r="T276">
        <v>6</v>
      </c>
      <c r="U276">
        <v>4246.71</v>
      </c>
      <c r="V276">
        <v>0.15</v>
      </c>
      <c r="W276">
        <v>21658.22</v>
      </c>
      <c r="X276">
        <v>15490.69</v>
      </c>
      <c r="Y276">
        <v>6167.53</v>
      </c>
      <c r="Z276" t="s">
        <v>200</v>
      </c>
      <c r="AA276" t="s">
        <v>125</v>
      </c>
    </row>
    <row r="277" spans="1:27">
      <c r="A277" t="s">
        <v>1423</v>
      </c>
      <c r="B277" t="s">
        <v>677</v>
      </c>
      <c r="C277" t="s">
        <v>1424</v>
      </c>
      <c r="D277"/>
      <c r="E277" s="7">
        <f>IF(OR(D277="Invalid",D277&lt;0),"",D277)</f>
        <v>0</v>
      </c>
      <c r="F277" t="s">
        <v>1425</v>
      </c>
      <c r="G277" t="s">
        <v>142</v>
      </c>
      <c r="H277" t="str">
        <f>PROPER(TRIM(G277))</f>
        <v>Priya Menon</v>
      </c>
      <c r="I277" t="s">
        <v>41</v>
      </c>
      <c r="J277" t="str">
        <f>PROPER(TRIM(I277))</f>
        <v>Small Business</v>
      </c>
      <c r="K277" t="s">
        <v>42</v>
      </c>
      <c r="L277" t="s">
        <v>121</v>
      </c>
      <c r="M277" t="s">
        <v>122</v>
      </c>
      <c r="N277" t="s">
        <v>45</v>
      </c>
      <c r="O277" t="str">
        <f>TRIM(N277)</f>
        <v>Furniture</v>
      </c>
      <c r="P277" t="s">
        <v>65</v>
      </c>
      <c r="Q277" t="s">
        <v>1426</v>
      </c>
      <c r="R277" t="s">
        <v>48</v>
      </c>
      <c r="S277" t="s">
        <v>48</v>
      </c>
      <c r="T277">
        <v>1</v>
      </c>
      <c r="U277">
        <v>980.51</v>
      </c>
      <c r="V277">
        <v>0</v>
      </c>
      <c r="W277">
        <v>980.51</v>
      </c>
      <c r="X277">
        <v>660.92</v>
      </c>
      <c r="Y277">
        <v>319.58999999999997</v>
      </c>
      <c r="Z277" t="s">
        <v>34</v>
      </c>
      <c r="AA277" t="s">
        <v>35</v>
      </c>
    </row>
    <row r="278" spans="1:27">
      <c r="A278" t="s">
        <v>1427</v>
      </c>
      <c r="B278" s="4" t="s">
        <v>1058</v>
      </c>
      <c r="C278" s="4" t="s">
        <v>1428</v>
      </c>
      <c r="D278" s="4" t="str">
        <f>IF(C166&lt;B166,"Invalid","OK")</f>
        <v>OK</v>
      </c>
      <c r="E278" s="7" t="str">
        <f>IF(OR(D278="Invalid",D278&lt;0),"",D278)</f>
        <v>OK</v>
      </c>
      <c r="F278" t="s">
        <v>1429</v>
      </c>
      <c r="G278" t="s">
        <v>162</v>
      </c>
      <c r="H278" t="str">
        <f>PROPER(TRIM(G278))</f>
        <v>Aarav Sharma</v>
      </c>
      <c r="I278" t="s">
        <v>41</v>
      </c>
      <c r="J278" t="str">
        <f>PROPER(TRIM(I278))</f>
        <v>Small Business</v>
      </c>
      <c r="K278" t="s">
        <v>42</v>
      </c>
      <c r="L278" t="s">
        <v>216</v>
      </c>
      <c r="M278" t="s">
        <v>217</v>
      </c>
      <c r="N278" t="s">
        <v>45</v>
      </c>
      <c r="O278" t="str">
        <f>TRIM(N278)</f>
        <v>Furniture</v>
      </c>
      <c r="P278" t="s">
        <v>76</v>
      </c>
      <c r="Q278" t="s">
        <v>1430</v>
      </c>
      <c r="R278" t="s">
        <v>33</v>
      </c>
      <c r="S278" t="s">
        <v>33</v>
      </c>
      <c r="T278">
        <v>6</v>
      </c>
      <c r="U278">
        <v>3391.53</v>
      </c>
      <c r="V278">
        <v>-0.14000000000000001</v>
      </c>
      <c r="W278">
        <v>15261.89</v>
      </c>
      <c r="X278">
        <v>8413.5300000000007</v>
      </c>
      <c r="Y278">
        <v>6848.36</v>
      </c>
      <c r="Z278" t="s">
        <v>34</v>
      </c>
      <c r="AA278" t="s">
        <v>35</v>
      </c>
    </row>
    <row r="279" spans="1:27">
      <c r="A279" t="s">
        <v>1431</v>
      </c>
      <c r="B279" t="s">
        <v>1432</v>
      </c>
      <c r="C279" t="s">
        <v>1432</v>
      </c>
      <c r="D279"/>
      <c r="E279" s="7">
        <f>IF(OR(D279="Invalid",D279&lt;0),"",D279)</f>
        <v>0</v>
      </c>
      <c r="F279" t="s">
        <v>1206</v>
      </c>
      <c r="G279" t="s">
        <v>53</v>
      </c>
      <c r="H279" t="str">
        <f>PROPER(TRIM(G279))</f>
        <v>Isha Nair</v>
      </c>
      <c r="I279" t="s">
        <v>108</v>
      </c>
      <c r="J279" t="str">
        <f>PROPER(TRIM(I279))</f>
        <v>Corporate</v>
      </c>
      <c r="K279" t="s">
        <v>27</v>
      </c>
      <c r="L279" t="s">
        <v>323</v>
      </c>
      <c r="M279" t="s">
        <v>324</v>
      </c>
      <c r="N279" t="s">
        <v>86</v>
      </c>
      <c r="O279" t="str">
        <f>TRIM(N279)</f>
        <v>Technology</v>
      </c>
      <c r="P279" t="s">
        <v>87</v>
      </c>
      <c r="Q279" t="s">
        <v>1433</v>
      </c>
      <c r="R279" t="s">
        <v>33</v>
      </c>
      <c r="S279" t="s">
        <v>33</v>
      </c>
      <c r="T279">
        <v>1</v>
      </c>
      <c r="U279">
        <v>2133.73</v>
      </c>
      <c r="V279">
        <v>0.15</v>
      </c>
      <c r="W279">
        <v>2008.39</v>
      </c>
      <c r="X279">
        <v>1002.57</v>
      </c>
      <c r="Y279">
        <v>811.1</v>
      </c>
      <c r="Z279" t="s">
        <v>137</v>
      </c>
      <c r="AA279" t="s">
        <v>78</v>
      </c>
    </row>
    <row r="280" spans="1:27">
      <c r="A280" t="s">
        <v>1434</v>
      </c>
      <c r="B280" t="s">
        <v>787</v>
      </c>
      <c r="C280" t="s">
        <v>1435</v>
      </c>
      <c r="D280"/>
      <c r="E280" s="7">
        <f>IF(OR(D280="Invalid",D280&lt;0),"",D280)</f>
        <v>0</v>
      </c>
      <c r="F280" t="s">
        <v>1436</v>
      </c>
      <c r="G280" t="s">
        <v>142</v>
      </c>
      <c r="H280" t="str">
        <f>PROPER(TRIM(G280))</f>
        <v>Priya Menon</v>
      </c>
      <c r="I280" t="s">
        <v>41</v>
      </c>
      <c r="J280" t="str">
        <f>PROPER(TRIM(I280))</f>
        <v>Small Business</v>
      </c>
      <c r="K280" t="s">
        <v>27</v>
      </c>
      <c r="L280" t="s">
        <v>506</v>
      </c>
      <c r="M280" t="s">
        <v>507</v>
      </c>
      <c r="N280" t="s">
        <v>86</v>
      </c>
      <c r="O280" t="str">
        <f>TRIM(N280)</f>
        <v>Technology</v>
      </c>
      <c r="P280" t="s">
        <v>87</v>
      </c>
      <c r="Q280" t="s">
        <v>1437</v>
      </c>
      <c r="R280" t="s">
        <v>48</v>
      </c>
      <c r="S280" t="s">
        <v>48</v>
      </c>
      <c r="T280">
        <v>1</v>
      </c>
      <c r="U280">
        <v>3979.64</v>
      </c>
      <c r="V280">
        <v>0.05</v>
      </c>
      <c r="W280">
        <v>3780.66</v>
      </c>
      <c r="X280">
        <v>2148.31</v>
      </c>
      <c r="Y280">
        <v>1632.35</v>
      </c>
      <c r="Z280" t="s">
        <v>34</v>
      </c>
      <c r="AA280" t="s">
        <v>125</v>
      </c>
    </row>
    <row r="281" spans="1:27">
      <c r="A281" t="s">
        <v>1438</v>
      </c>
      <c r="B281" t="s">
        <v>1439</v>
      </c>
      <c r="C281" t="s">
        <v>1440</v>
      </c>
      <c r="D281"/>
      <c r="E281" s="7">
        <f>IF(OR(D281="Invalid",D281&lt;0),"",D281)</f>
        <v>0</v>
      </c>
      <c r="F281" t="s">
        <v>1441</v>
      </c>
      <c r="G281" t="s">
        <v>180</v>
      </c>
      <c r="H281" t="str">
        <f>PROPER(TRIM(G281))</f>
        <v>Rohan Mehta</v>
      </c>
      <c r="I281" t="s">
        <v>41</v>
      </c>
      <c r="J281" t="str">
        <f>PROPER(TRIM(I281))</f>
        <v>Small Business</v>
      </c>
      <c r="K281" t="s">
        <v>73</v>
      </c>
      <c r="L281" t="s">
        <v>74</v>
      </c>
      <c r="M281" t="s">
        <v>75</v>
      </c>
      <c r="N281" t="s">
        <v>30</v>
      </c>
      <c r="O281" t="str">
        <f>TRIM(N281)</f>
        <v>Office Supplies</v>
      </c>
      <c r="P281" t="s">
        <v>156</v>
      </c>
      <c r="Q281" t="s">
        <v>1442</v>
      </c>
      <c r="R281" t="s">
        <v>56</v>
      </c>
      <c r="S281" t="s">
        <v>56</v>
      </c>
      <c r="T281">
        <v>1</v>
      </c>
      <c r="U281">
        <v>4359.12</v>
      </c>
      <c r="V281">
        <v>0.05</v>
      </c>
      <c r="W281">
        <v>4141.16</v>
      </c>
      <c r="X281">
        <v>2754.17</v>
      </c>
      <c r="Y281">
        <v>1386.99</v>
      </c>
      <c r="Z281" t="s">
        <v>34</v>
      </c>
      <c r="AA281" t="s">
        <v>35</v>
      </c>
    </row>
    <row r="282" spans="1:27">
      <c r="A282" t="s">
        <v>1443</v>
      </c>
      <c r="B282" t="s">
        <v>1444</v>
      </c>
      <c r="C282" t="s">
        <v>1445</v>
      </c>
      <c r="D282"/>
      <c r="E282" s="7">
        <f>IF(OR(D282="Invalid",D282&lt;0),"",D282)</f>
        <v>0</v>
      </c>
      <c r="F282" t="s">
        <v>1446</v>
      </c>
      <c r="G282" t="s">
        <v>107</v>
      </c>
      <c r="H282" t="str">
        <f>PROPER(TRIM(G282))</f>
        <v>Aditi Sen</v>
      </c>
      <c r="I282" t="s">
        <v>26</v>
      </c>
      <c r="J282" t="str">
        <f>PROPER(TRIM(I282))</f>
        <v>Consumer</v>
      </c>
      <c r="K282" t="s">
        <v>62</v>
      </c>
      <c r="L282" t="s">
        <v>229</v>
      </c>
      <c r="M282" t="s">
        <v>230</v>
      </c>
      <c r="N282" t="s">
        <v>86</v>
      </c>
      <c r="O282" t="str">
        <f>TRIM(N282)</f>
        <v>Technology</v>
      </c>
      <c r="P282" t="s">
        <v>94</v>
      </c>
      <c r="Q282" t="s">
        <v>1447</v>
      </c>
      <c r="R282" t="s">
        <v>67</v>
      </c>
      <c r="S282" t="s">
        <v>67</v>
      </c>
      <c r="T282">
        <v>9</v>
      </c>
      <c r="U282">
        <v>993.67</v>
      </c>
      <c r="V282">
        <v>0</v>
      </c>
      <c r="W282">
        <v>8943.0300000000007</v>
      </c>
      <c r="X282">
        <v>5165.38</v>
      </c>
      <c r="Y282">
        <v>3777.65</v>
      </c>
      <c r="Z282" t="s">
        <v>34</v>
      </c>
      <c r="AA282" t="s">
        <v>35</v>
      </c>
    </row>
    <row r="283" spans="1:27">
      <c r="A283" t="s">
        <v>1448</v>
      </c>
      <c r="B283" t="s">
        <v>1449</v>
      </c>
      <c r="C283" t="s">
        <v>1450</v>
      </c>
      <c r="D283"/>
      <c r="E283" s="7">
        <f>IF(OR(D283="Invalid",D283&lt;0),"",D283)</f>
        <v>0</v>
      </c>
      <c r="F283" t="s">
        <v>1451</v>
      </c>
      <c r="G283" t="s">
        <v>366</v>
      </c>
      <c r="H283" t="str">
        <f>PROPER(TRIM(G283))</f>
        <v>Kabir Singh</v>
      </c>
      <c r="I283" t="s">
        <v>26</v>
      </c>
      <c r="J283" t="str">
        <f>PROPER(TRIM(I283))</f>
        <v>Consumer</v>
      </c>
      <c r="K283" t="s">
        <v>42</v>
      </c>
      <c r="L283" t="s">
        <v>311</v>
      </c>
      <c r="M283" t="s">
        <v>312</v>
      </c>
      <c r="N283" t="s">
        <v>30</v>
      </c>
      <c r="O283" t="str">
        <f>TRIM(N283)</f>
        <v>Office Supplies</v>
      </c>
      <c r="P283" t="s">
        <v>198</v>
      </c>
      <c r="Q283" t="s">
        <v>1452</v>
      </c>
      <c r="R283" t="s">
        <v>33</v>
      </c>
      <c r="S283" t="s">
        <v>33</v>
      </c>
      <c r="T283">
        <v>6</v>
      </c>
      <c r="U283">
        <v>3438.38</v>
      </c>
      <c r="V283">
        <v>0.2</v>
      </c>
      <c r="W283">
        <v>16504.22</v>
      </c>
      <c r="X283">
        <v>11262.71</v>
      </c>
      <c r="Y283">
        <v>5241.51</v>
      </c>
      <c r="Z283" t="s">
        <v>34</v>
      </c>
      <c r="AA283" t="s">
        <v>35</v>
      </c>
    </row>
    <row r="284" spans="1:27">
      <c r="A284" t="s">
        <v>1453</v>
      </c>
      <c r="B284" t="s">
        <v>1454</v>
      </c>
      <c r="C284" t="s">
        <v>1455</v>
      </c>
      <c r="D284"/>
      <c r="E284" s="7">
        <f>IF(OR(D284="Invalid",D284&lt;0),"",D284)</f>
        <v>0</v>
      </c>
      <c r="F284" t="s">
        <v>1456</v>
      </c>
      <c r="G284" t="s">
        <v>25</v>
      </c>
      <c r="H284" t="str">
        <f>PROPER(TRIM(G284))</f>
        <v>Karan Malhotra</v>
      </c>
      <c r="I284" t="s">
        <v>115</v>
      </c>
      <c r="J284" t="str">
        <f>PROPER(TRIM(I284))</f>
        <v>Home Office</v>
      </c>
      <c r="K284" t="s">
        <v>42</v>
      </c>
      <c r="L284" t="s">
        <v>216</v>
      </c>
      <c r="M284" t="s">
        <v>217</v>
      </c>
      <c r="N284" t="s">
        <v>45</v>
      </c>
      <c r="O284" t="str">
        <f>TRIM(N284)</f>
        <v>Furniture</v>
      </c>
      <c r="P284" t="s">
        <v>46</v>
      </c>
      <c r="Q284" t="s">
        <v>1457</v>
      </c>
      <c r="R284" t="s">
        <v>33</v>
      </c>
      <c r="S284" t="s">
        <v>33</v>
      </c>
      <c r="T284">
        <v>2</v>
      </c>
      <c r="U284">
        <v>2298</v>
      </c>
      <c r="V284">
        <v>0</v>
      </c>
      <c r="W284">
        <v>4596</v>
      </c>
      <c r="X284">
        <v>3220.33</v>
      </c>
      <c r="Y284">
        <v>1375.67</v>
      </c>
      <c r="Z284" t="s">
        <v>34</v>
      </c>
      <c r="AA284" t="s">
        <v>35</v>
      </c>
    </row>
    <row r="285" spans="1:27">
      <c r="A285" t="s">
        <v>1458</v>
      </c>
      <c r="B285" t="s">
        <v>1459</v>
      </c>
      <c r="C285" t="s">
        <v>1460</v>
      </c>
      <c r="D285"/>
      <c r="E285" s="7">
        <f>IF(OR(D285="Invalid",D285&lt;0),"",D285)</f>
        <v>0</v>
      </c>
      <c r="F285" t="s">
        <v>1461</v>
      </c>
      <c r="G285" t="s">
        <v>83</v>
      </c>
      <c r="H285" t="str">
        <f>PROPER(TRIM(G285))</f>
        <v>Vikram Iyer</v>
      </c>
      <c r="I285" t="s">
        <v>26</v>
      </c>
      <c r="J285" t="str">
        <f>PROPER(TRIM(I285))</f>
        <v>Consumer</v>
      </c>
      <c r="K285" t="s">
        <v>73</v>
      </c>
      <c r="L285" t="s">
        <v>74</v>
      </c>
      <c r="M285" t="s">
        <v>75</v>
      </c>
      <c r="N285" t="s">
        <v>45</v>
      </c>
      <c r="O285" t="str">
        <f>TRIM(N285)</f>
        <v>Furniture</v>
      </c>
      <c r="P285" t="s">
        <v>65</v>
      </c>
      <c r="Q285" t="s">
        <v>1462</v>
      </c>
      <c r="R285" t="s">
        <v>56</v>
      </c>
      <c r="S285" t="s">
        <v>56</v>
      </c>
      <c r="T285">
        <v>1</v>
      </c>
      <c r="U285">
        <v>1814.01</v>
      </c>
      <c r="V285">
        <v>0</v>
      </c>
      <c r="W285">
        <v>1814.01</v>
      </c>
      <c r="X285">
        <v>1033.47</v>
      </c>
      <c r="Y285">
        <v>780.54</v>
      </c>
      <c r="Z285" t="s">
        <v>34</v>
      </c>
      <c r="AA285" t="s">
        <v>35</v>
      </c>
    </row>
    <row r="286" spans="1:27">
      <c r="A286" t="s">
        <v>1463</v>
      </c>
      <c r="B286" t="s">
        <v>1464</v>
      </c>
      <c r="C286" t="s">
        <v>1465</v>
      </c>
      <c r="D286"/>
      <c r="E286" s="7">
        <f>IF(OR(D286="Invalid",D286&lt;0),"",D286)</f>
        <v>0</v>
      </c>
      <c r="F286" t="s">
        <v>1466</v>
      </c>
      <c r="G286" t="s">
        <v>25</v>
      </c>
      <c r="H286" t="str">
        <f>PROPER(TRIM(G286))</f>
        <v>Karan Malhotra</v>
      </c>
      <c r="I286" t="s">
        <v>26</v>
      </c>
      <c r="J286" t="str">
        <f>PROPER(TRIM(I286))</f>
        <v>Consumer</v>
      </c>
      <c r="K286" t="s">
        <v>42</v>
      </c>
      <c r="L286" t="s">
        <v>43</v>
      </c>
      <c r="M286" t="s">
        <v>44</v>
      </c>
      <c r="N286" t="s">
        <v>45</v>
      </c>
      <c r="O286" t="str">
        <f>TRIM(N286)</f>
        <v>Furniture</v>
      </c>
      <c r="P286" t="s">
        <v>46</v>
      </c>
      <c r="Q286" t="s">
        <v>1467</v>
      </c>
      <c r="R286" t="s">
        <v>48</v>
      </c>
      <c r="S286" t="s">
        <v>48</v>
      </c>
      <c r="T286">
        <v>3</v>
      </c>
      <c r="U286">
        <v>1576.92</v>
      </c>
      <c r="V286">
        <v>0</v>
      </c>
      <c r="W286">
        <v>4730.76</v>
      </c>
      <c r="X286">
        <v>3139.73</v>
      </c>
      <c r="Y286">
        <v>1591.03</v>
      </c>
      <c r="Z286" t="s">
        <v>34</v>
      </c>
      <c r="AA286" t="s">
        <v>125</v>
      </c>
    </row>
    <row r="287" spans="1:27">
      <c r="A287" t="s">
        <v>1468</v>
      </c>
      <c r="B287" t="s">
        <v>1469</v>
      </c>
      <c r="C287" t="s">
        <v>1470</v>
      </c>
      <c r="D287"/>
      <c r="E287" s="7">
        <f>IF(OR(D287="Invalid",D287&lt;0),"",D287)</f>
        <v>0</v>
      </c>
      <c r="F287" t="s">
        <v>1471</v>
      </c>
      <c r="G287" t="s">
        <v>93</v>
      </c>
      <c r="H287" t="str">
        <f>PROPER(TRIM(G287))</f>
        <v>Neha Gupta</v>
      </c>
      <c r="I287" t="s">
        <v>115</v>
      </c>
      <c r="J287" t="str">
        <f>PROPER(TRIM(I287))</f>
        <v>Home Office</v>
      </c>
      <c r="K287" t="s">
        <v>27</v>
      </c>
      <c r="L287" t="s">
        <v>28</v>
      </c>
      <c r="M287" t="s">
        <v>29</v>
      </c>
      <c r="N287" t="s">
        <v>30</v>
      </c>
      <c r="O287" t="str">
        <f>TRIM(N287)</f>
        <v>Office Supplies</v>
      </c>
      <c r="P287" t="s">
        <v>156</v>
      </c>
      <c r="Q287" t="s">
        <v>1472</v>
      </c>
      <c r="R287" t="s">
        <v>67</v>
      </c>
      <c r="S287" t="s">
        <v>67</v>
      </c>
      <c r="T287">
        <v>9</v>
      </c>
      <c r="U287">
        <v>4081.77</v>
      </c>
      <c r="V287">
        <v>0</v>
      </c>
      <c r="W287">
        <v>36735.93</v>
      </c>
      <c r="X287">
        <v>30820.84</v>
      </c>
      <c r="Y287">
        <v>5915.09</v>
      </c>
      <c r="Z287" t="s">
        <v>34</v>
      </c>
      <c r="AA287" t="s">
        <v>35</v>
      </c>
    </row>
    <row r="288" spans="1:27">
      <c r="A288" t="s">
        <v>1473</v>
      </c>
      <c r="B288" t="s">
        <v>1474</v>
      </c>
      <c r="C288" t="s">
        <v>1475</v>
      </c>
      <c r="D288"/>
      <c r="E288" s="7">
        <f>IF(OR(D288="Invalid",D288&lt;0),"",D288)</f>
        <v>0</v>
      </c>
      <c r="F288" t="s">
        <v>1476</v>
      </c>
      <c r="G288" t="s">
        <v>142</v>
      </c>
      <c r="H288" t="str">
        <f>PROPER(TRIM(G288))</f>
        <v>Priya Menon</v>
      </c>
      <c r="I288" t="s">
        <v>41</v>
      </c>
      <c r="J288" t="str">
        <f>PROPER(TRIM(I288))</f>
        <v>Small Business</v>
      </c>
      <c r="K288" t="s">
        <v>27</v>
      </c>
      <c r="L288" t="s">
        <v>506</v>
      </c>
      <c r="M288" t="s">
        <v>507</v>
      </c>
      <c r="N288" t="s">
        <v>45</v>
      </c>
      <c r="O288" t="str">
        <f>TRIM(N288)</f>
        <v>Furniture</v>
      </c>
      <c r="P288" t="s">
        <v>65</v>
      </c>
      <c r="Q288" t="s">
        <v>1477</v>
      </c>
      <c r="R288" t="s">
        <v>56</v>
      </c>
      <c r="S288" t="s">
        <v>56</v>
      </c>
      <c r="T288">
        <v>7</v>
      </c>
      <c r="U288">
        <v>701.8</v>
      </c>
      <c r="V288">
        <v>0.1</v>
      </c>
      <c r="W288">
        <v>4421.34</v>
      </c>
      <c r="X288">
        <v>2489.98</v>
      </c>
      <c r="Y288">
        <v>1931.36</v>
      </c>
      <c r="Z288" t="s">
        <v>137</v>
      </c>
      <c r="AA288" t="s">
        <v>125</v>
      </c>
    </row>
    <row r="289" spans="1:27">
      <c r="A289" t="s">
        <v>1478</v>
      </c>
      <c r="B289" t="s">
        <v>1479</v>
      </c>
      <c r="C289" t="s">
        <v>1480</v>
      </c>
      <c r="D289"/>
      <c r="E289" s="7">
        <f>IF(OR(D289="Invalid",D289&lt;0),"",D289)</f>
        <v>0</v>
      </c>
      <c r="F289" t="s">
        <v>1481</v>
      </c>
      <c r="G289" t="s">
        <v>93</v>
      </c>
      <c r="H289" t="str">
        <f>PROPER(TRIM(G289))</f>
        <v>Neha Gupta</v>
      </c>
      <c r="I289" t="s">
        <v>41</v>
      </c>
      <c r="J289" t="str">
        <f>PROPER(TRIM(I289))</f>
        <v>Small Business</v>
      </c>
      <c r="K289" t="s">
        <v>62</v>
      </c>
      <c r="L289" t="s">
        <v>339</v>
      </c>
      <c r="M289" t="s">
        <v>340</v>
      </c>
      <c r="N289" t="s">
        <v>86</v>
      </c>
      <c r="O289" t="str">
        <f>TRIM(N289)</f>
        <v>Technology</v>
      </c>
      <c r="P289" t="s">
        <v>94</v>
      </c>
      <c r="Q289" t="s">
        <v>1482</v>
      </c>
      <c r="R289" t="s">
        <v>67</v>
      </c>
      <c r="S289" t="s">
        <v>67</v>
      </c>
      <c r="T289">
        <v>3</v>
      </c>
      <c r="U289">
        <v>2555.66</v>
      </c>
      <c r="V289">
        <v>0.15</v>
      </c>
      <c r="W289">
        <v>6516.93</v>
      </c>
      <c r="X289">
        <v>4511.54</v>
      </c>
      <c r="Y289">
        <v>2005.39</v>
      </c>
      <c r="Z289" t="s">
        <v>34</v>
      </c>
      <c r="AA289" t="s">
        <v>78</v>
      </c>
    </row>
    <row r="290" spans="1:27">
      <c r="A290" t="s">
        <v>1483</v>
      </c>
      <c r="B290" t="s">
        <v>1484</v>
      </c>
      <c r="C290" t="s">
        <v>1484</v>
      </c>
      <c r="D290"/>
      <c r="E290" s="7">
        <f>IF(OR(D290="Invalid",D290&lt;0),"",D290)</f>
        <v>0</v>
      </c>
      <c r="F290" t="s">
        <v>1485</v>
      </c>
      <c r="G290" t="s">
        <v>180</v>
      </c>
      <c r="H290" t="str">
        <f>PROPER(TRIM(G290))</f>
        <v>Rohan Mehta</v>
      </c>
      <c r="I290" t="s">
        <v>41</v>
      </c>
      <c r="J290" t="str">
        <f>PROPER(TRIM(I290))</f>
        <v>Small Business</v>
      </c>
      <c r="K290" t="s">
        <v>42</v>
      </c>
      <c r="L290" t="s">
        <v>186</v>
      </c>
      <c r="M290" t="s">
        <v>187</v>
      </c>
      <c r="N290" t="s">
        <v>30</v>
      </c>
      <c r="O290" t="str">
        <f>TRIM(N290)</f>
        <v>Office Supplies</v>
      </c>
      <c r="P290" t="s">
        <v>198</v>
      </c>
      <c r="Q290" t="s">
        <v>1486</v>
      </c>
      <c r="R290" t="s">
        <v>48</v>
      </c>
      <c r="S290" t="s">
        <v>48</v>
      </c>
      <c r="T290">
        <v>2</v>
      </c>
      <c r="U290">
        <v>4359.8999999999996</v>
      </c>
      <c r="V290">
        <v>0.15</v>
      </c>
      <c r="W290">
        <v>7411.83</v>
      </c>
      <c r="X290">
        <v>4904.63</v>
      </c>
      <c r="Y290">
        <v>2507.1999999999998</v>
      </c>
      <c r="Z290" t="s">
        <v>34</v>
      </c>
      <c r="AA290" t="s">
        <v>35</v>
      </c>
    </row>
    <row r="291" spans="1:27">
      <c r="A291" t="s">
        <v>1487</v>
      </c>
      <c r="B291" t="s">
        <v>254</v>
      </c>
      <c r="C291" t="s">
        <v>649</v>
      </c>
      <c r="D291"/>
      <c r="E291" s="7">
        <f>IF(OR(D291="Invalid",D291&lt;0),"",D291)</f>
        <v>0</v>
      </c>
      <c r="F291" t="s">
        <v>1488</v>
      </c>
      <c r="G291" t="s">
        <v>25</v>
      </c>
      <c r="H291" t="str">
        <f>PROPER(TRIM(G291))</f>
        <v>Karan Malhotra</v>
      </c>
      <c r="I291" t="s">
        <v>115</v>
      </c>
      <c r="J291" t="str">
        <f>PROPER(TRIM(I291))</f>
        <v>Home Office</v>
      </c>
      <c r="K291" t="s">
        <v>62</v>
      </c>
      <c r="L291" t="s">
        <v>339</v>
      </c>
      <c r="M291" t="s">
        <v>340</v>
      </c>
      <c r="N291" t="s">
        <v>45</v>
      </c>
      <c r="O291" t="str">
        <f>TRIM(N291)</f>
        <v>Furniture</v>
      </c>
      <c r="P291" t="s">
        <v>204</v>
      </c>
      <c r="Q291" t="s">
        <v>1489</v>
      </c>
      <c r="R291" t="s">
        <v>56</v>
      </c>
      <c r="S291" t="s">
        <v>56</v>
      </c>
      <c r="T291">
        <v>2</v>
      </c>
      <c r="U291">
        <v>4346.6899999999996</v>
      </c>
      <c r="V291">
        <v>0.05</v>
      </c>
      <c r="W291">
        <v>8258.7099999999991</v>
      </c>
      <c r="X291">
        <v>7018.97</v>
      </c>
      <c r="Y291">
        <v>1239.74</v>
      </c>
      <c r="Z291" t="s">
        <v>34</v>
      </c>
      <c r="AA291" t="s">
        <v>35</v>
      </c>
    </row>
    <row r="292" spans="1:27">
      <c r="A292" t="s">
        <v>1490</v>
      </c>
      <c r="B292" t="s">
        <v>1491</v>
      </c>
      <c r="C292" t="s">
        <v>1492</v>
      </c>
      <c r="D292"/>
      <c r="E292" s="7">
        <f>IF(OR(D292="Invalid",D292&lt;0),"",D292)</f>
        <v>0</v>
      </c>
      <c r="F292" t="s">
        <v>1493</v>
      </c>
      <c r="G292" t="s">
        <v>210</v>
      </c>
      <c r="H292" t="str">
        <f>PROPER(TRIM(G292))</f>
        <v>Diya Patel</v>
      </c>
      <c r="I292" t="s">
        <v>115</v>
      </c>
      <c r="J292" t="str">
        <f>PROPER(TRIM(I292))</f>
        <v>Home Office</v>
      </c>
      <c r="K292" t="s">
        <v>42</v>
      </c>
      <c r="L292" t="s">
        <v>311</v>
      </c>
      <c r="M292" t="s">
        <v>312</v>
      </c>
      <c r="N292" t="s">
        <v>45</v>
      </c>
      <c r="O292" t="str">
        <f>TRIM(N292)</f>
        <v>Furniture</v>
      </c>
      <c r="P292" t="s">
        <v>46</v>
      </c>
      <c r="Q292" t="s">
        <v>1494</v>
      </c>
      <c r="R292" t="s">
        <v>67</v>
      </c>
      <c r="S292" t="s">
        <v>67</v>
      </c>
      <c r="T292">
        <v>1</v>
      </c>
      <c r="U292">
        <v>1842.63</v>
      </c>
      <c r="V292">
        <v>0.1</v>
      </c>
      <c r="W292">
        <v>1658.37</v>
      </c>
      <c r="X292">
        <v>971.12</v>
      </c>
      <c r="Y292">
        <v>687.25</v>
      </c>
      <c r="Z292" t="s">
        <v>34</v>
      </c>
      <c r="AA292" t="s">
        <v>35</v>
      </c>
    </row>
    <row r="293" spans="1:27">
      <c r="A293" t="s">
        <v>1495</v>
      </c>
      <c r="B293" t="s">
        <v>1496</v>
      </c>
      <c r="C293" t="s">
        <v>1497</v>
      </c>
      <c r="D293"/>
      <c r="E293" s="7">
        <f>IF(OR(D293="Invalid",D293&lt;0),"",D293)</f>
        <v>0</v>
      </c>
      <c r="F293" t="s">
        <v>1498</v>
      </c>
      <c r="G293" t="s">
        <v>142</v>
      </c>
      <c r="H293" t="str">
        <f>PROPER(TRIM(G293))</f>
        <v>Priya Menon</v>
      </c>
      <c r="I293" t="s">
        <v>115</v>
      </c>
      <c r="J293" t="str">
        <f>PROPER(TRIM(I293))</f>
        <v>Home Office</v>
      </c>
      <c r="K293" t="s">
        <v>27</v>
      </c>
      <c r="L293" t="s">
        <v>28</v>
      </c>
      <c r="M293" t="s">
        <v>29</v>
      </c>
      <c r="N293" t="s">
        <v>30</v>
      </c>
      <c r="O293" t="str">
        <f>TRIM(N293)</f>
        <v>Office Supplies</v>
      </c>
      <c r="P293" t="s">
        <v>198</v>
      </c>
      <c r="Q293" t="s">
        <v>1499</v>
      </c>
      <c r="R293" t="s">
        <v>67</v>
      </c>
      <c r="S293" t="s">
        <v>67</v>
      </c>
      <c r="T293">
        <v>4</v>
      </c>
      <c r="U293">
        <v>3228.66</v>
      </c>
      <c r="V293">
        <v>0.25</v>
      </c>
      <c r="W293">
        <v>9685.98</v>
      </c>
      <c r="X293">
        <v>7730.04</v>
      </c>
      <c r="Y293">
        <v>1955.94</v>
      </c>
      <c r="Z293" t="s">
        <v>34</v>
      </c>
      <c r="AA293" t="s">
        <v>35</v>
      </c>
    </row>
    <row r="294" spans="1:27">
      <c r="A294" t="s">
        <v>1500</v>
      </c>
      <c r="B294" t="s">
        <v>1501</v>
      </c>
      <c r="C294" t="s">
        <v>1502</v>
      </c>
      <c r="D294"/>
      <c r="E294" s="7">
        <f>IF(OR(D294="Invalid",D294&lt;0),"",D294)</f>
        <v>0</v>
      </c>
      <c r="F294" t="s">
        <v>1503</v>
      </c>
      <c r="G294" t="s">
        <v>366</v>
      </c>
      <c r="H294" t="str">
        <f>PROPER(TRIM(G294))</f>
        <v>Kabir Singh</v>
      </c>
      <c r="I294" t="s">
        <v>115</v>
      </c>
      <c r="J294" t="str">
        <f>PROPER(TRIM(I294))</f>
        <v>Home Office</v>
      </c>
      <c r="K294" t="s">
        <v>27</v>
      </c>
      <c r="L294" t="s">
        <v>323</v>
      </c>
      <c r="M294" t="s">
        <v>324</v>
      </c>
      <c r="N294" t="s">
        <v>30</v>
      </c>
      <c r="O294" t="str">
        <f>TRIM(N294)</f>
        <v>Office Supplies</v>
      </c>
      <c r="P294" t="s">
        <v>54</v>
      </c>
      <c r="Q294" t="s">
        <v>1504</v>
      </c>
      <c r="R294" t="s">
        <v>48</v>
      </c>
      <c r="S294" t="s">
        <v>48</v>
      </c>
      <c r="T294">
        <v>9</v>
      </c>
      <c r="U294">
        <v>3748.95</v>
      </c>
      <c r="V294">
        <v>0</v>
      </c>
      <c r="W294">
        <v>33740.550000000003</v>
      </c>
      <c r="X294">
        <v>24621.89</v>
      </c>
      <c r="Y294">
        <v>9118.66</v>
      </c>
      <c r="Z294" t="s">
        <v>137</v>
      </c>
      <c r="AA294" t="s">
        <v>78</v>
      </c>
    </row>
    <row r="295" spans="1:27">
      <c r="A295" t="s">
        <v>1505</v>
      </c>
      <c r="B295" t="s">
        <v>1506</v>
      </c>
      <c r="C295" t="s">
        <v>1507</v>
      </c>
      <c r="D295"/>
      <c r="E295" s="7">
        <f>IF(OR(D295="Invalid",D295&lt;0),"",D295)</f>
        <v>0</v>
      </c>
      <c r="F295" t="s">
        <v>1508</v>
      </c>
      <c r="G295" t="s">
        <v>61</v>
      </c>
      <c r="H295" t="str">
        <f>PROPER(TRIM(G295))</f>
        <v>Arjun Bose</v>
      </c>
      <c r="I295" t="s">
        <v>115</v>
      </c>
      <c r="J295" t="str">
        <f>PROPER(TRIM(I295))</f>
        <v>Home Office</v>
      </c>
      <c r="K295" t="s">
        <v>62</v>
      </c>
      <c r="L295" t="s">
        <v>63</v>
      </c>
      <c r="M295" t="s">
        <v>64</v>
      </c>
      <c r="N295" t="s">
        <v>86</v>
      </c>
      <c r="O295" t="str">
        <f>TRIM(N295)</f>
        <v>Technology</v>
      </c>
      <c r="P295" t="s">
        <v>223</v>
      </c>
      <c r="Q295" t="s">
        <v>1509</v>
      </c>
      <c r="R295" t="s">
        <v>56</v>
      </c>
      <c r="S295" t="s">
        <v>56</v>
      </c>
      <c r="T295">
        <v>2</v>
      </c>
      <c r="U295">
        <v>4401.51</v>
      </c>
      <c r="V295">
        <v>0.65</v>
      </c>
      <c r="W295">
        <v>8362.8700000000008</v>
      </c>
      <c r="X295">
        <v>6541.04</v>
      </c>
      <c r="Y295">
        <v>1821.83</v>
      </c>
      <c r="Z295" t="s">
        <v>34</v>
      </c>
      <c r="AA295" t="s">
        <v>35</v>
      </c>
    </row>
    <row r="296" spans="1:27">
      <c r="A296" t="s">
        <v>1510</v>
      </c>
      <c r="B296" t="s">
        <v>1511</v>
      </c>
      <c r="C296" t="s">
        <v>1512</v>
      </c>
      <c r="D296"/>
      <c r="E296" s="7">
        <f>IF(OR(D296="Invalid",D296&lt;0),"",D296)</f>
        <v>0</v>
      </c>
      <c r="F296" t="s">
        <v>1513</v>
      </c>
      <c r="G296" t="s">
        <v>142</v>
      </c>
      <c r="H296" t="str">
        <f>PROPER(TRIM(G296))</f>
        <v>Priya Menon</v>
      </c>
      <c r="I296" t="s">
        <v>26</v>
      </c>
      <c r="J296" t="str">
        <f>PROPER(TRIM(I296))</f>
        <v>Consumer</v>
      </c>
      <c r="K296" t="s">
        <v>42</v>
      </c>
      <c r="L296" t="s">
        <v>43</v>
      </c>
      <c r="M296" t="s">
        <v>44</v>
      </c>
      <c r="N296" t="s">
        <v>86</v>
      </c>
      <c r="O296" t="str">
        <f>TRIM(N296)</f>
        <v>Technology</v>
      </c>
      <c r="P296" t="s">
        <v>223</v>
      </c>
      <c r="Q296" t="s">
        <v>1514</v>
      </c>
      <c r="R296" t="s">
        <v>33</v>
      </c>
      <c r="S296" t="s">
        <v>33</v>
      </c>
      <c r="T296">
        <v>6</v>
      </c>
      <c r="U296">
        <v>4159.33</v>
      </c>
      <c r="V296">
        <v>0.25</v>
      </c>
      <c r="W296">
        <v>18716.990000000002</v>
      </c>
      <c r="X296">
        <v>12282.43</v>
      </c>
      <c r="Y296">
        <v>6434.56</v>
      </c>
      <c r="Z296" t="s">
        <v>34</v>
      </c>
      <c r="AA296" t="s">
        <v>125</v>
      </c>
    </row>
    <row r="297" spans="1:27">
      <c r="A297" t="s">
        <v>1515</v>
      </c>
      <c r="B297" t="s">
        <v>1516</v>
      </c>
      <c r="C297" t="s">
        <v>1517</v>
      </c>
      <c r="D297"/>
      <c r="E297" s="7">
        <f>IF(OR(D297="Invalid",D297&lt;0),"",D297)</f>
        <v>0</v>
      </c>
      <c r="F297" t="s">
        <v>1518</v>
      </c>
      <c r="G297" t="s">
        <v>107</v>
      </c>
      <c r="H297" t="str">
        <f>PROPER(TRIM(G297))</f>
        <v>Aditi Sen</v>
      </c>
      <c r="I297" t="s">
        <v>41</v>
      </c>
      <c r="J297" t="str">
        <f>PROPER(TRIM(I297))</f>
        <v>Small Business</v>
      </c>
      <c r="K297" t="s">
        <v>42</v>
      </c>
      <c r="L297" t="s">
        <v>216</v>
      </c>
      <c r="M297" t="s">
        <v>217</v>
      </c>
      <c r="N297" t="s">
        <v>30</v>
      </c>
      <c r="O297" t="str">
        <f>TRIM(N297)</f>
        <v>Office Supplies</v>
      </c>
      <c r="P297" t="s">
        <v>198</v>
      </c>
      <c r="Q297" t="s">
        <v>1519</v>
      </c>
      <c r="R297" t="s">
        <v>67</v>
      </c>
      <c r="S297" t="s">
        <v>67</v>
      </c>
      <c r="T297">
        <v>3</v>
      </c>
      <c r="U297">
        <v>3476.05</v>
      </c>
      <c r="V297">
        <v>0.1</v>
      </c>
      <c r="W297">
        <v>9385.34</v>
      </c>
      <c r="X297">
        <v>5828.54</v>
      </c>
      <c r="Y297">
        <v>3556.8</v>
      </c>
      <c r="Z297" t="s">
        <v>34</v>
      </c>
      <c r="AA297" t="s">
        <v>35</v>
      </c>
    </row>
    <row r="298" spans="1:27">
      <c r="A298" t="s">
        <v>1520</v>
      </c>
      <c r="B298" t="s">
        <v>1521</v>
      </c>
      <c r="C298" t="s">
        <v>1522</v>
      </c>
      <c r="D298"/>
      <c r="E298" s="7">
        <f>IF(OR(D298="Invalid",D298&lt;0),"",D298)</f>
        <v>0</v>
      </c>
      <c r="F298" t="s">
        <v>1523</v>
      </c>
      <c r="G298" t="s">
        <v>107</v>
      </c>
      <c r="H298" t="str">
        <f>PROPER(TRIM(G298))</f>
        <v>Aditi Sen</v>
      </c>
      <c r="I298" t="s">
        <v>115</v>
      </c>
      <c r="J298" t="str">
        <f>PROPER(TRIM(I298))</f>
        <v>Home Office</v>
      </c>
      <c r="K298" t="s">
        <v>27</v>
      </c>
      <c r="L298" t="s">
        <v>323</v>
      </c>
      <c r="M298" t="s">
        <v>324</v>
      </c>
      <c r="N298" t="s">
        <v>45</v>
      </c>
      <c r="O298" t="str">
        <f>TRIM(N298)</f>
        <v>Furniture</v>
      </c>
      <c r="P298" t="s">
        <v>65</v>
      </c>
      <c r="Q298" t="s">
        <v>1524</v>
      </c>
      <c r="R298" t="s">
        <v>48</v>
      </c>
      <c r="S298" t="s">
        <v>48</v>
      </c>
      <c r="T298">
        <v>6</v>
      </c>
      <c r="U298">
        <v>3495.41</v>
      </c>
      <c r="V298">
        <v>0.15</v>
      </c>
      <c r="W298">
        <v>17826.59</v>
      </c>
      <c r="X298">
        <v>10855.35</v>
      </c>
      <c r="Y298">
        <v>6971.24</v>
      </c>
      <c r="Z298" t="s">
        <v>34</v>
      </c>
      <c r="AA298" t="s">
        <v>35</v>
      </c>
    </row>
    <row r="299" spans="1:27">
      <c r="A299" t="s">
        <v>1525</v>
      </c>
      <c r="B299" t="s">
        <v>1526</v>
      </c>
      <c r="C299" t="s">
        <v>1527</v>
      </c>
      <c r="D299"/>
      <c r="E299" s="7">
        <f>IF(OR(D299="Invalid",D299&lt;0),"",D299)</f>
        <v>0</v>
      </c>
      <c r="F299" t="s">
        <v>1528</v>
      </c>
      <c r="G299" t="s">
        <v>168</v>
      </c>
      <c r="H299" t="str">
        <f>PROPER(TRIM(G299))</f>
        <v>Sneha Kapoor</v>
      </c>
      <c r="I299" t="s">
        <v>108</v>
      </c>
      <c r="J299" t="str">
        <f>PROPER(TRIM(I299))</f>
        <v>Corporate</v>
      </c>
      <c r="K299" t="s">
        <v>62</v>
      </c>
      <c r="L299" t="s">
        <v>339</v>
      </c>
      <c r="M299" t="s">
        <v>340</v>
      </c>
      <c r="N299" t="s">
        <v>86</v>
      </c>
      <c r="O299" t="str">
        <f>TRIM(N299)</f>
        <v>Technology</v>
      </c>
      <c r="P299" t="s">
        <v>94</v>
      </c>
      <c r="Q299" t="s">
        <v>1529</v>
      </c>
      <c r="R299" t="s">
        <v>48</v>
      </c>
      <c r="S299" t="s">
        <v>48</v>
      </c>
      <c r="T299">
        <v>6</v>
      </c>
      <c r="U299">
        <v>1169.92</v>
      </c>
      <c r="V299">
        <v>0.15</v>
      </c>
      <c r="W299">
        <v>5966.59</v>
      </c>
      <c r="X299">
        <v>3994.72</v>
      </c>
      <c r="Y299">
        <v>1971.87</v>
      </c>
      <c r="Z299" t="s">
        <v>34</v>
      </c>
      <c r="AA299" t="s">
        <v>35</v>
      </c>
    </row>
    <row r="300" spans="1:27">
      <c r="A300" t="s">
        <v>1530</v>
      </c>
      <c r="B300" t="s">
        <v>1531</v>
      </c>
      <c r="C300" t="s">
        <v>1532</v>
      </c>
      <c r="D300"/>
      <c r="E300" s="7">
        <f>IF(OR(D300="Invalid",D300&lt;0),"",D300)</f>
        <v>0</v>
      </c>
      <c r="F300" t="s">
        <v>1533</v>
      </c>
      <c r="G300" t="s">
        <v>53</v>
      </c>
      <c r="H300" t="str">
        <f>PROPER(TRIM(G300))</f>
        <v>Isha Nair</v>
      </c>
      <c r="I300" t="s">
        <v>26</v>
      </c>
      <c r="J300" t="str">
        <f>PROPER(TRIM(I300))</f>
        <v>Consumer</v>
      </c>
      <c r="K300" t="s">
        <v>62</v>
      </c>
      <c r="L300" t="s">
        <v>242</v>
      </c>
      <c r="M300" t="s">
        <v>243</v>
      </c>
      <c r="N300" t="s">
        <v>86</v>
      </c>
      <c r="O300" t="str">
        <f>TRIM(N300)</f>
        <v>Technology</v>
      </c>
      <c r="P300" t="s">
        <v>94</v>
      </c>
      <c r="Q300" t="s">
        <v>1534</v>
      </c>
      <c r="R300" t="s">
        <v>56</v>
      </c>
      <c r="S300" t="s">
        <v>56</v>
      </c>
      <c r="T300">
        <v>7</v>
      </c>
      <c r="U300">
        <v>348.49</v>
      </c>
      <c r="V300">
        <v>0.2</v>
      </c>
      <c r="W300">
        <v>1951.54</v>
      </c>
      <c r="X300">
        <v>1609.95</v>
      </c>
      <c r="Y300">
        <v>341.59</v>
      </c>
      <c r="Z300" t="s">
        <v>200</v>
      </c>
      <c r="AA300" t="s">
        <v>125</v>
      </c>
    </row>
    <row r="301" spans="1:27">
      <c r="A301" t="s">
        <v>1535</v>
      </c>
      <c r="B301" t="s">
        <v>1527</v>
      </c>
      <c r="C301" t="s">
        <v>1536</v>
      </c>
      <c r="D301"/>
      <c r="E301" s="7">
        <f>IF(OR(D301="Invalid",D301&lt;0),"",D301)</f>
        <v>0</v>
      </c>
      <c r="F301" t="s">
        <v>1537</v>
      </c>
      <c r="G301" t="s">
        <v>148</v>
      </c>
      <c r="H301" t="str">
        <f>PROPER(TRIM(G301))</f>
        <v>Rahul Verma</v>
      </c>
      <c r="I301" t="s">
        <v>41</v>
      </c>
      <c r="J301" t="str">
        <f>PROPER(TRIM(I301))</f>
        <v>Small Business</v>
      </c>
      <c r="K301" t="s">
        <v>73</v>
      </c>
      <c r="L301" t="s">
        <v>235</v>
      </c>
      <c r="M301" t="s">
        <v>236</v>
      </c>
      <c r="N301" t="s">
        <v>86</v>
      </c>
      <c r="O301" t="str">
        <f>TRIM(N301)</f>
        <v>Technology</v>
      </c>
      <c r="P301" t="s">
        <v>87</v>
      </c>
      <c r="Q301" t="s">
        <v>1538</v>
      </c>
      <c r="R301" t="s">
        <v>67</v>
      </c>
      <c r="S301" t="s">
        <v>67</v>
      </c>
      <c r="T301">
        <v>7</v>
      </c>
      <c r="U301">
        <v>1719.05</v>
      </c>
      <c r="V301">
        <v>0.1</v>
      </c>
      <c r="W301">
        <v>10830.02</v>
      </c>
      <c r="X301">
        <v>7055.31</v>
      </c>
      <c r="Y301">
        <v>3774.71</v>
      </c>
      <c r="Z301" t="s">
        <v>34</v>
      </c>
      <c r="AA301" t="s">
        <v>35</v>
      </c>
    </row>
    <row r="302" spans="1:27">
      <c r="A302" t="s">
        <v>1539</v>
      </c>
      <c r="B302" t="s">
        <v>1540</v>
      </c>
      <c r="C302" t="s">
        <v>1541</v>
      </c>
      <c r="D302"/>
      <c r="E302" s="7">
        <f>IF(OR(D302="Invalid",D302&lt;0),"",D302)</f>
        <v>0</v>
      </c>
      <c r="F302" t="s">
        <v>1542</v>
      </c>
      <c r="G302" t="s">
        <v>210</v>
      </c>
      <c r="H302" t="str">
        <f>PROPER(TRIM(G302))</f>
        <v>Diya Patel</v>
      </c>
      <c r="I302" t="s">
        <v>41</v>
      </c>
      <c r="J302" t="str">
        <f>PROPER(TRIM(I302))</f>
        <v>Small Business</v>
      </c>
      <c r="K302" t="s">
        <v>27</v>
      </c>
      <c r="L302" t="s">
        <v>154</v>
      </c>
      <c r="M302" t="s">
        <v>155</v>
      </c>
      <c r="N302" t="s">
        <v>86</v>
      </c>
      <c r="O302" t="str">
        <f>TRIM(N302)</f>
        <v>Technology</v>
      </c>
      <c r="P302" t="s">
        <v>87</v>
      </c>
      <c r="Q302" t="s">
        <v>1543</v>
      </c>
      <c r="R302" t="s">
        <v>33</v>
      </c>
      <c r="S302" t="s">
        <v>33</v>
      </c>
      <c r="T302">
        <v>9</v>
      </c>
      <c r="U302">
        <v>3893.74</v>
      </c>
      <c r="V302">
        <v>0.1</v>
      </c>
      <c r="W302">
        <v>31539.29</v>
      </c>
      <c r="X302">
        <v>22100.14</v>
      </c>
      <c r="Y302">
        <v>9439.15</v>
      </c>
      <c r="Z302" t="s">
        <v>34</v>
      </c>
      <c r="AA302" t="s">
        <v>35</v>
      </c>
    </row>
    <row r="303" spans="1:27">
      <c r="A303" t="s">
        <v>1544</v>
      </c>
      <c r="B303" t="s">
        <v>1018</v>
      </c>
      <c r="C303" t="s">
        <v>1545</v>
      </c>
      <c r="D303"/>
      <c r="E303" s="7">
        <f>IF(OR(D303="Invalid",D303&lt;0),"",D303)</f>
        <v>0</v>
      </c>
      <c r="F303" t="s">
        <v>1546</v>
      </c>
      <c r="G303" t="s">
        <v>53</v>
      </c>
      <c r="H303" t="str">
        <f>PROPER(TRIM(G303))</f>
        <v>Isha Nair</v>
      </c>
      <c r="I303" t="s">
        <v>115</v>
      </c>
      <c r="J303" t="str">
        <f>PROPER(TRIM(I303))</f>
        <v>Home Office</v>
      </c>
      <c r="K303" t="s">
        <v>42</v>
      </c>
      <c r="L303" t="s">
        <v>186</v>
      </c>
      <c r="M303" t="s">
        <v>187</v>
      </c>
      <c r="N303" t="s">
        <v>86</v>
      </c>
      <c r="O303" t="str">
        <f>TRIM(N303)</f>
        <v>Technology</v>
      </c>
      <c r="P303" t="s">
        <v>223</v>
      </c>
      <c r="Q303" t="s">
        <v>1547</v>
      </c>
      <c r="R303" t="s">
        <v>48</v>
      </c>
      <c r="S303" t="s">
        <v>48</v>
      </c>
      <c r="T303">
        <v>4</v>
      </c>
      <c r="U303">
        <v>1654.11</v>
      </c>
      <c r="V303">
        <v>0.05</v>
      </c>
      <c r="W303">
        <v>6285.62</v>
      </c>
      <c r="X303">
        <v>3705.38</v>
      </c>
      <c r="Y303">
        <v>2580.2399999999998</v>
      </c>
      <c r="Z303" t="s">
        <v>34</v>
      </c>
      <c r="AA303" t="s">
        <v>35</v>
      </c>
    </row>
    <row r="304" spans="1:27">
      <c r="A304" t="s">
        <v>1548</v>
      </c>
      <c r="B304" t="s">
        <v>1389</v>
      </c>
      <c r="C304" t="s">
        <v>1549</v>
      </c>
      <c r="D304"/>
      <c r="E304" s="7">
        <f>IF(OR(D304="Invalid",D304&lt;0),"",D304)</f>
        <v>0</v>
      </c>
      <c r="F304" t="s">
        <v>1550</v>
      </c>
      <c r="G304" t="s">
        <v>93</v>
      </c>
      <c r="H304" t="str">
        <f>PROPER(TRIM(G304))</f>
        <v>Neha Gupta</v>
      </c>
      <c r="I304" t="s">
        <v>26</v>
      </c>
      <c r="J304" t="str">
        <f>PROPER(TRIM(I304))</f>
        <v>Consumer</v>
      </c>
      <c r="K304" t="s">
        <v>73</v>
      </c>
      <c r="L304" t="s">
        <v>249</v>
      </c>
      <c r="M304" t="s">
        <v>250</v>
      </c>
      <c r="N304" t="s">
        <v>918</v>
      </c>
      <c r="O304" t="str">
        <f>TRIM(N304)</f>
        <v>OFFICE SUPPLIES</v>
      </c>
      <c r="P304" t="s">
        <v>156</v>
      </c>
      <c r="Q304" t="s">
        <v>1551</v>
      </c>
      <c r="R304" t="s">
        <v>48</v>
      </c>
      <c r="S304" t="s">
        <v>48</v>
      </c>
      <c r="T304">
        <v>2</v>
      </c>
      <c r="U304">
        <v>2703.28</v>
      </c>
      <c r="V304">
        <v>0.25</v>
      </c>
      <c r="W304">
        <v>4054.92</v>
      </c>
      <c r="X304">
        <v>2424.83</v>
      </c>
      <c r="Y304">
        <v>1630.09</v>
      </c>
      <c r="Z304" t="s">
        <v>34</v>
      </c>
      <c r="AA304" t="s">
        <v>35</v>
      </c>
    </row>
    <row r="305" spans="1:27">
      <c r="A305" t="s">
        <v>1552</v>
      </c>
      <c r="B305" t="s">
        <v>1553</v>
      </c>
      <c r="C305" t="s">
        <v>1043</v>
      </c>
      <c r="D305"/>
      <c r="E305" s="7">
        <f>IF(OR(D305="Invalid",D305&lt;0),"",D305)</f>
        <v>0</v>
      </c>
      <c r="F305" t="s">
        <v>1554</v>
      </c>
      <c r="G305" t="s">
        <v>210</v>
      </c>
      <c r="H305" t="str">
        <f>PROPER(TRIM(G305))</f>
        <v>Diya Patel</v>
      </c>
      <c r="I305" t="s">
        <v>115</v>
      </c>
      <c r="J305" t="str">
        <f>PROPER(TRIM(I305))</f>
        <v>Home Office</v>
      </c>
      <c r="K305" t="s">
        <v>73</v>
      </c>
      <c r="L305" t="s">
        <v>235</v>
      </c>
      <c r="M305" t="s">
        <v>236</v>
      </c>
      <c r="N305" t="s">
        <v>45</v>
      </c>
      <c r="O305" t="str">
        <f>TRIM(N305)</f>
        <v>Furniture</v>
      </c>
      <c r="P305" t="s">
        <v>76</v>
      </c>
      <c r="Q305" t="s">
        <v>1555</v>
      </c>
      <c r="R305" t="s">
        <v>67</v>
      </c>
      <c r="S305" t="s">
        <v>67</v>
      </c>
      <c r="T305">
        <v>2</v>
      </c>
      <c r="U305">
        <v>1313.14</v>
      </c>
      <c r="V305">
        <v>0.1</v>
      </c>
      <c r="W305">
        <v>2363.65</v>
      </c>
      <c r="X305">
        <v>1876.1</v>
      </c>
      <c r="Y305">
        <v>487.55</v>
      </c>
      <c r="Z305" t="s">
        <v>137</v>
      </c>
      <c r="AA305" t="s">
        <v>125</v>
      </c>
    </row>
    <row r="306" spans="1:27">
      <c r="A306" t="s">
        <v>1556</v>
      </c>
      <c r="B306" t="s">
        <v>1557</v>
      </c>
      <c r="C306" t="s">
        <v>1558</v>
      </c>
      <c r="D306"/>
      <c r="E306" s="7">
        <f>IF(OR(D306="Invalid",D306&lt;0),"",D306)</f>
        <v>0</v>
      </c>
      <c r="F306" t="s">
        <v>1559</v>
      </c>
      <c r="G306" t="s">
        <v>25</v>
      </c>
      <c r="H306" t="str">
        <f>PROPER(TRIM(G306))</f>
        <v>Karan Malhotra</v>
      </c>
      <c r="I306" t="s">
        <v>26</v>
      </c>
      <c r="J306" t="str">
        <f>PROPER(TRIM(I306))</f>
        <v>Consumer</v>
      </c>
      <c r="K306" t="s">
        <v>27</v>
      </c>
      <c r="L306" t="s">
        <v>154</v>
      </c>
      <c r="M306" t="s">
        <v>155</v>
      </c>
      <c r="N306" t="s">
        <v>45</v>
      </c>
      <c r="O306" t="str">
        <f>TRIM(N306)</f>
        <v>Furniture</v>
      </c>
      <c r="P306" t="s">
        <v>65</v>
      </c>
      <c r="Q306" t="s">
        <v>1560</v>
      </c>
      <c r="R306" t="s">
        <v>67</v>
      </c>
      <c r="S306" t="s">
        <v>67</v>
      </c>
      <c r="T306">
        <v>6</v>
      </c>
      <c r="U306">
        <v>2403.0500000000002</v>
      </c>
      <c r="V306">
        <v>0.1</v>
      </c>
      <c r="W306">
        <v>12976.47</v>
      </c>
      <c r="X306">
        <v>10019.98</v>
      </c>
      <c r="Y306">
        <v>2956.49</v>
      </c>
      <c r="Z306" t="s">
        <v>34</v>
      </c>
      <c r="AA306" t="s">
        <v>35</v>
      </c>
    </row>
    <row r="307" spans="1:27">
      <c r="A307" t="s">
        <v>1561</v>
      </c>
      <c r="B307" t="s">
        <v>1562</v>
      </c>
      <c r="C307" t="s">
        <v>1225</v>
      </c>
      <c r="D307"/>
      <c r="E307" s="7">
        <f>IF(OR(D307="Invalid",D307&lt;0),"",D307)</f>
        <v>0</v>
      </c>
      <c r="F307" t="s">
        <v>1563</v>
      </c>
      <c r="G307" t="s">
        <v>72</v>
      </c>
      <c r="H307" t="str">
        <f>PROPER(TRIM(G307))</f>
        <v>Ananya Rao</v>
      </c>
      <c r="I307" t="s">
        <v>26</v>
      </c>
      <c r="J307" t="str">
        <f>PROPER(TRIM(I307))</f>
        <v>Consumer</v>
      </c>
      <c r="K307" t="s">
        <v>42</v>
      </c>
      <c r="L307" t="s">
        <v>216</v>
      </c>
      <c r="M307" t="s">
        <v>217</v>
      </c>
      <c r="N307" t="s">
        <v>45</v>
      </c>
      <c r="O307" t="str">
        <f>TRIM(N307)</f>
        <v>Furniture</v>
      </c>
      <c r="P307" t="s">
        <v>76</v>
      </c>
      <c r="Q307" t="s">
        <v>1564</v>
      </c>
      <c r="R307" t="s">
        <v>56</v>
      </c>
      <c r="S307" t="s">
        <v>56</v>
      </c>
      <c r="T307">
        <v>4</v>
      </c>
      <c r="U307">
        <v>4156.0600000000004</v>
      </c>
      <c r="V307">
        <v>0.55000000000000004</v>
      </c>
      <c r="W307">
        <v>13299.39</v>
      </c>
      <c r="X307">
        <v>9851.91</v>
      </c>
      <c r="Y307">
        <v>3447.48</v>
      </c>
      <c r="Z307" t="s">
        <v>34</v>
      </c>
      <c r="AA307" t="s">
        <v>78</v>
      </c>
    </row>
    <row r="308" spans="1:27">
      <c r="A308" t="s">
        <v>1565</v>
      </c>
      <c r="B308" t="s">
        <v>1566</v>
      </c>
      <c r="C308" t="s">
        <v>97</v>
      </c>
      <c r="D308"/>
      <c r="E308" s="7">
        <f>IF(OR(D308="Invalid",D308&lt;0),"",D308)</f>
        <v>0</v>
      </c>
      <c r="F308" t="s">
        <v>1567</v>
      </c>
      <c r="G308" t="s">
        <v>162</v>
      </c>
      <c r="H308" t="str">
        <f>PROPER(TRIM(G308))</f>
        <v>Aarav Sharma</v>
      </c>
      <c r="I308" t="s">
        <v>26</v>
      </c>
      <c r="J308" t="str">
        <f>PROPER(TRIM(I308))</f>
        <v>Consumer</v>
      </c>
      <c r="K308" t="s">
        <v>27</v>
      </c>
      <c r="L308" t="s">
        <v>28</v>
      </c>
      <c r="M308" t="s">
        <v>29</v>
      </c>
      <c r="N308" t="s">
        <v>86</v>
      </c>
      <c r="O308" t="str">
        <f>TRIM(N308)</f>
        <v>Technology</v>
      </c>
      <c r="P308" t="s">
        <v>223</v>
      </c>
      <c r="Q308" t="s">
        <v>1568</v>
      </c>
      <c r="R308" t="s">
        <v>33</v>
      </c>
      <c r="S308" t="s">
        <v>33</v>
      </c>
      <c r="T308">
        <v>4</v>
      </c>
      <c r="U308">
        <v>3673.11</v>
      </c>
      <c r="V308">
        <v>0</v>
      </c>
      <c r="W308">
        <v>14692.44</v>
      </c>
      <c r="X308">
        <v>10082.19</v>
      </c>
      <c r="Y308">
        <v>4610.25</v>
      </c>
      <c r="Z308" t="s">
        <v>34</v>
      </c>
      <c r="AA308" t="s">
        <v>35</v>
      </c>
    </row>
    <row r="309" spans="1:27">
      <c r="A309" t="s">
        <v>1569</v>
      </c>
      <c r="B309" t="s">
        <v>1570</v>
      </c>
      <c r="C309" t="s">
        <v>1571</v>
      </c>
      <c r="D309"/>
      <c r="E309" s="7">
        <f>IF(OR(D309="Invalid",D309&lt;0),"",D309)</f>
        <v>0</v>
      </c>
      <c r="F309" t="s">
        <v>1572</v>
      </c>
      <c r="G309" t="s">
        <v>72</v>
      </c>
      <c r="H309" t="str">
        <f>PROPER(TRIM(G309))</f>
        <v>Ananya Rao</v>
      </c>
      <c r="I309" t="s">
        <v>108</v>
      </c>
      <c r="J309" t="str">
        <f>PROPER(TRIM(I309))</f>
        <v>Corporate</v>
      </c>
      <c r="K309" t="s">
        <v>27</v>
      </c>
      <c r="L309" t="s">
        <v>174</v>
      </c>
      <c r="M309" t="s">
        <v>175</v>
      </c>
      <c r="N309" t="s">
        <v>45</v>
      </c>
      <c r="O309" t="str">
        <f>TRIM(N309)</f>
        <v>Furniture</v>
      </c>
      <c r="P309" t="s">
        <v>46</v>
      </c>
      <c r="Q309" t="s">
        <v>1573</v>
      </c>
      <c r="R309" t="s">
        <v>56</v>
      </c>
      <c r="S309" t="s">
        <v>56</v>
      </c>
      <c r="T309">
        <v>9</v>
      </c>
      <c r="U309">
        <v>4093.04</v>
      </c>
      <c r="V309">
        <v>0.2</v>
      </c>
      <c r="W309">
        <v>29469.89</v>
      </c>
      <c r="X309">
        <v>18935.509999999998</v>
      </c>
      <c r="Y309">
        <v>10534.38</v>
      </c>
      <c r="Z309" t="s">
        <v>1574</v>
      </c>
      <c r="AA309" t="s">
        <v>78</v>
      </c>
    </row>
    <row r="310" spans="1:27">
      <c r="A310" t="s">
        <v>1575</v>
      </c>
      <c r="B310" t="s">
        <v>1576</v>
      </c>
      <c r="C310" t="s">
        <v>1577</v>
      </c>
      <c r="D310"/>
      <c r="E310" s="7">
        <f>IF(OR(D310="Invalid",D310&lt;0),"",D310)</f>
        <v>0</v>
      </c>
      <c r="F310" t="s">
        <v>1578</v>
      </c>
      <c r="G310" t="s">
        <v>180</v>
      </c>
      <c r="H310" t="str">
        <f>PROPER(TRIM(G310))</f>
        <v>Rohan Mehta</v>
      </c>
      <c r="I310" t="s">
        <v>26</v>
      </c>
      <c r="J310" t="str">
        <f>PROPER(TRIM(I310))</f>
        <v>Consumer</v>
      </c>
      <c r="K310" t="s">
        <v>27</v>
      </c>
      <c r="L310" t="s">
        <v>28</v>
      </c>
      <c r="M310" t="s">
        <v>29</v>
      </c>
      <c r="N310" t="s">
        <v>45</v>
      </c>
      <c r="O310" t="str">
        <f>TRIM(N310)</f>
        <v>Furniture</v>
      </c>
      <c r="P310" t="s">
        <v>46</v>
      </c>
      <c r="Q310" t="s">
        <v>1579</v>
      </c>
      <c r="R310" t="s">
        <v>56</v>
      </c>
      <c r="S310" t="s">
        <v>56</v>
      </c>
      <c r="T310">
        <v>4</v>
      </c>
      <c r="U310">
        <v>731.57</v>
      </c>
      <c r="V310">
        <v>0.2</v>
      </c>
      <c r="W310">
        <v>2341.02</v>
      </c>
      <c r="X310">
        <v>1565.49</v>
      </c>
      <c r="Y310">
        <v>775.53</v>
      </c>
      <c r="Z310" t="s">
        <v>34</v>
      </c>
      <c r="AA310" t="s">
        <v>35</v>
      </c>
    </row>
    <row r="311" spans="1:27">
      <c r="A311" t="s">
        <v>1580</v>
      </c>
      <c r="B311" t="s">
        <v>1581</v>
      </c>
      <c r="C311" t="s">
        <v>127</v>
      </c>
      <c r="D311"/>
      <c r="E311" s="7">
        <f>IF(OR(D311="Invalid",D311&lt;0),"",D311)</f>
        <v>0</v>
      </c>
      <c r="F311" t="s">
        <v>1582</v>
      </c>
      <c r="G311" t="s">
        <v>72</v>
      </c>
      <c r="H311" t="str">
        <f>PROPER(TRIM(G311))</f>
        <v>Ananya Rao</v>
      </c>
      <c r="I311" t="s">
        <v>26</v>
      </c>
      <c r="J311" t="str">
        <f>PROPER(TRIM(I311))</f>
        <v>Consumer</v>
      </c>
      <c r="K311" t="s">
        <v>62</v>
      </c>
      <c r="L311" t="s">
        <v>339</v>
      </c>
      <c r="M311" t="s">
        <v>340</v>
      </c>
      <c r="N311" t="s">
        <v>45</v>
      </c>
      <c r="O311" t="str">
        <f>TRIM(N311)</f>
        <v>Furniture</v>
      </c>
      <c r="P311" t="s">
        <v>46</v>
      </c>
      <c r="Q311" t="s">
        <v>1583</v>
      </c>
      <c r="R311" t="s">
        <v>56</v>
      </c>
      <c r="S311" t="s">
        <v>56</v>
      </c>
      <c r="T311">
        <v>7</v>
      </c>
      <c r="U311">
        <v>2060.73</v>
      </c>
      <c r="V311">
        <v>0.1</v>
      </c>
      <c r="W311">
        <v>12982.6</v>
      </c>
      <c r="X311">
        <v>7246.36</v>
      </c>
      <c r="Y311">
        <v>5736.24</v>
      </c>
      <c r="Z311" t="s">
        <v>34</v>
      </c>
      <c r="AA311" t="s">
        <v>78</v>
      </c>
    </row>
    <row r="312" spans="1:27">
      <c r="A312" t="s">
        <v>1584</v>
      </c>
      <c r="B312" t="s">
        <v>1585</v>
      </c>
      <c r="C312" t="s">
        <v>1586</v>
      </c>
      <c r="D312"/>
      <c r="E312" s="7">
        <f>IF(OR(D312="Invalid",D312&lt;0),"",D312)</f>
        <v>0</v>
      </c>
      <c r="F312" t="s">
        <v>1587</v>
      </c>
      <c r="G312" t="s">
        <v>180</v>
      </c>
      <c r="H312" t="str">
        <f>PROPER(TRIM(G312))</f>
        <v>Rohan Mehta</v>
      </c>
      <c r="I312" t="s">
        <v>41</v>
      </c>
      <c r="J312" t="str">
        <f>PROPER(TRIM(I312))</f>
        <v>Small Business</v>
      </c>
      <c r="K312" t="s">
        <v>62</v>
      </c>
      <c r="L312" t="s">
        <v>339</v>
      </c>
      <c r="M312" t="s">
        <v>340</v>
      </c>
      <c r="N312" t="s">
        <v>86</v>
      </c>
      <c r="O312" t="str">
        <f>TRIM(N312)</f>
        <v>Technology</v>
      </c>
      <c r="P312" t="s">
        <v>382</v>
      </c>
      <c r="Q312" t="s">
        <v>1588</v>
      </c>
      <c r="R312" t="s">
        <v>56</v>
      </c>
      <c r="S312" t="s">
        <v>56</v>
      </c>
      <c r="T312">
        <v>8</v>
      </c>
      <c r="U312">
        <v>2034.25</v>
      </c>
      <c r="V312">
        <v>0</v>
      </c>
      <c r="W312">
        <v>16274</v>
      </c>
      <c r="X312">
        <v>9424.25</v>
      </c>
      <c r="Y312">
        <v>6849.75</v>
      </c>
      <c r="Z312" t="s">
        <v>34</v>
      </c>
      <c r="AA312" t="s">
        <v>35</v>
      </c>
    </row>
    <row r="313" spans="1:27">
      <c r="A313" t="s">
        <v>1589</v>
      </c>
      <c r="B313" t="s">
        <v>1590</v>
      </c>
      <c r="C313" t="s">
        <v>948</v>
      </c>
      <c r="D313"/>
      <c r="E313" s="7">
        <f>IF(OR(D313="Invalid",D313&lt;0),"",D313)</f>
        <v>0</v>
      </c>
      <c r="F313" t="s">
        <v>1591</v>
      </c>
      <c r="G313" t="s">
        <v>40</v>
      </c>
      <c r="H313" t="str">
        <f>PROPER(TRIM(G313))</f>
        <v>Mira Das</v>
      </c>
      <c r="I313" t="s">
        <v>108</v>
      </c>
      <c r="J313" t="str">
        <f>PROPER(TRIM(I313))</f>
        <v>Corporate</v>
      </c>
      <c r="K313" t="s">
        <v>62</v>
      </c>
      <c r="L313" t="s">
        <v>229</v>
      </c>
      <c r="M313" t="s">
        <v>230</v>
      </c>
      <c r="N313" t="s">
        <v>30</v>
      </c>
      <c r="O313" t="str">
        <f>TRIM(N313)</f>
        <v>Office Supplies</v>
      </c>
      <c r="P313" t="s">
        <v>198</v>
      </c>
      <c r="Q313" t="s">
        <v>1592</v>
      </c>
      <c r="R313" t="s">
        <v>33</v>
      </c>
      <c r="S313" t="s">
        <v>33</v>
      </c>
      <c r="T313">
        <v>5</v>
      </c>
      <c r="U313">
        <v>554.04</v>
      </c>
      <c r="V313">
        <v>0.1</v>
      </c>
      <c r="W313">
        <v>2493.1799999999998</v>
      </c>
      <c r="X313">
        <v>1764</v>
      </c>
      <c r="Y313">
        <v>729.18</v>
      </c>
      <c r="Z313" t="s">
        <v>34</v>
      </c>
      <c r="AA313" t="s">
        <v>35</v>
      </c>
    </row>
    <row r="314" spans="1:27">
      <c r="A314" t="s">
        <v>1593</v>
      </c>
      <c r="B314" t="s">
        <v>1594</v>
      </c>
      <c r="C314" t="s">
        <v>516</v>
      </c>
      <c r="D314"/>
      <c r="E314" s="7">
        <f>IF(OR(D314="Invalid",D314&lt;0),"",D314)</f>
        <v>0</v>
      </c>
      <c r="F314" t="s">
        <v>1595</v>
      </c>
      <c r="G314" t="s">
        <v>25</v>
      </c>
      <c r="H314" t="str">
        <f>PROPER(TRIM(G314))</f>
        <v>Karan Malhotra</v>
      </c>
      <c r="I314" t="s">
        <v>41</v>
      </c>
      <c r="J314" t="str">
        <f>PROPER(TRIM(I314))</f>
        <v>Small Business</v>
      </c>
      <c r="K314" t="s">
        <v>42</v>
      </c>
      <c r="L314" t="s">
        <v>216</v>
      </c>
      <c r="M314" t="s">
        <v>217</v>
      </c>
      <c r="N314" t="s">
        <v>86</v>
      </c>
      <c r="O314" t="str">
        <f>TRIM(N314)</f>
        <v>Technology</v>
      </c>
      <c r="P314" t="s">
        <v>223</v>
      </c>
      <c r="Q314" t="s">
        <v>1596</v>
      </c>
      <c r="R314" t="s">
        <v>67</v>
      </c>
      <c r="S314" t="s">
        <v>67</v>
      </c>
      <c r="T314">
        <v>8</v>
      </c>
      <c r="U314">
        <v>2614.7399999999998</v>
      </c>
      <c r="W314">
        <v>15688.44</v>
      </c>
      <c r="X314">
        <v>10047.33</v>
      </c>
      <c r="Y314">
        <v>5641.11</v>
      </c>
      <c r="Z314" t="s">
        <v>34</v>
      </c>
      <c r="AA314" t="s">
        <v>78</v>
      </c>
    </row>
    <row r="315" spans="1:27">
      <c r="A315" t="s">
        <v>1597</v>
      </c>
      <c r="B315" t="s">
        <v>1598</v>
      </c>
      <c r="C315" t="s">
        <v>1599</v>
      </c>
      <c r="D315"/>
      <c r="E315" s="7">
        <f>IF(OR(D315="Invalid",D315&lt;0),"",D315)</f>
        <v>0</v>
      </c>
      <c r="F315" t="s">
        <v>1600</v>
      </c>
      <c r="G315" t="s">
        <v>148</v>
      </c>
      <c r="H315" t="str">
        <f>PROPER(TRIM(G315))</f>
        <v>Rahul Verma</v>
      </c>
      <c r="I315" t="s">
        <v>108</v>
      </c>
      <c r="J315" t="str">
        <f>PROPER(TRIM(I315))</f>
        <v>Corporate</v>
      </c>
      <c r="K315" t="s">
        <v>27</v>
      </c>
      <c r="L315" t="s">
        <v>174</v>
      </c>
      <c r="M315" t="s">
        <v>175</v>
      </c>
      <c r="N315" t="s">
        <v>86</v>
      </c>
      <c r="O315" t="str">
        <f>TRIM(N315)</f>
        <v>Technology</v>
      </c>
      <c r="P315" t="s">
        <v>223</v>
      </c>
      <c r="Q315" t="s">
        <v>1601</v>
      </c>
      <c r="R315" t="s">
        <v>56</v>
      </c>
      <c r="S315" t="s">
        <v>56</v>
      </c>
      <c r="T315">
        <v>8</v>
      </c>
      <c r="U315">
        <v>2081.4299999999998</v>
      </c>
      <c r="V315">
        <v>0.25</v>
      </c>
      <c r="W315">
        <v>12488.58</v>
      </c>
      <c r="X315">
        <v>10717.4</v>
      </c>
      <c r="Y315">
        <v>1771.18</v>
      </c>
      <c r="Z315" t="s">
        <v>124</v>
      </c>
      <c r="AA315" t="s">
        <v>78</v>
      </c>
    </row>
    <row r="316" spans="1:27">
      <c r="A316" t="s">
        <v>1602</v>
      </c>
      <c r="B316" t="s">
        <v>1104</v>
      </c>
      <c r="C316" t="s">
        <v>118</v>
      </c>
      <c r="D316"/>
      <c r="E316" s="7">
        <f>IF(OR(D316="Invalid",D316&lt;0),"",D316)</f>
        <v>0</v>
      </c>
      <c r="F316" t="s">
        <v>1603</v>
      </c>
      <c r="G316" t="s">
        <v>53</v>
      </c>
      <c r="H316" t="str">
        <f>PROPER(TRIM(G316))</f>
        <v>Isha Nair</v>
      </c>
      <c r="I316" t="s">
        <v>108</v>
      </c>
      <c r="J316" t="str">
        <f>PROPER(TRIM(I316))</f>
        <v>Corporate</v>
      </c>
      <c r="K316" t="s">
        <v>73</v>
      </c>
      <c r="L316" t="s">
        <v>84</v>
      </c>
      <c r="M316" t="s">
        <v>85</v>
      </c>
      <c r="N316" t="s">
        <v>30</v>
      </c>
      <c r="O316" t="str">
        <f>TRIM(N316)</f>
        <v>Office Supplies</v>
      </c>
      <c r="P316" t="s">
        <v>109</v>
      </c>
      <c r="Q316" t="s">
        <v>1604</v>
      </c>
      <c r="R316" t="s">
        <v>67</v>
      </c>
      <c r="S316" t="s">
        <v>67</v>
      </c>
      <c r="T316">
        <v>9</v>
      </c>
      <c r="U316">
        <v>847.76</v>
      </c>
      <c r="V316">
        <v>0.15</v>
      </c>
      <c r="W316">
        <v>6485.36</v>
      </c>
      <c r="X316">
        <v>5376.17</v>
      </c>
      <c r="Y316">
        <v>1109.19</v>
      </c>
      <c r="Z316" t="s">
        <v>200</v>
      </c>
      <c r="AA316" t="s">
        <v>125</v>
      </c>
    </row>
    <row r="317" spans="1:27">
      <c r="A317" t="s">
        <v>1605</v>
      </c>
      <c r="B317" t="s">
        <v>1606</v>
      </c>
      <c r="C317" t="s">
        <v>1607</v>
      </c>
      <c r="D317"/>
      <c r="E317" s="7">
        <f>IF(OR(D317="Invalid",D317&lt;0),"",D317)</f>
        <v>0</v>
      </c>
      <c r="F317" t="s">
        <v>1608</v>
      </c>
      <c r="G317" t="s">
        <v>180</v>
      </c>
      <c r="H317" t="str">
        <f>PROPER(TRIM(G317))</f>
        <v>Rohan Mehta</v>
      </c>
      <c r="I317" t="s">
        <v>26</v>
      </c>
      <c r="J317" t="str">
        <f>PROPER(TRIM(I317))</f>
        <v>Consumer</v>
      </c>
      <c r="K317" t="s">
        <v>27</v>
      </c>
      <c r="L317" t="s">
        <v>506</v>
      </c>
      <c r="M317" t="s">
        <v>507</v>
      </c>
      <c r="N317" t="s">
        <v>30</v>
      </c>
      <c r="O317" t="str">
        <f>TRIM(N317)</f>
        <v>Office Supplies</v>
      </c>
      <c r="P317" t="s">
        <v>31</v>
      </c>
      <c r="Q317" t="s">
        <v>1609</v>
      </c>
      <c r="R317" t="s">
        <v>67</v>
      </c>
      <c r="S317" t="s">
        <v>67</v>
      </c>
      <c r="T317">
        <v>9</v>
      </c>
      <c r="U317">
        <v>3450.4</v>
      </c>
      <c r="V317">
        <v>0.05</v>
      </c>
      <c r="W317">
        <v>29500.92</v>
      </c>
      <c r="X317">
        <v>17989.68</v>
      </c>
      <c r="Y317">
        <v>11511.24</v>
      </c>
      <c r="Z317" t="s">
        <v>137</v>
      </c>
      <c r="AA317" t="s">
        <v>125</v>
      </c>
    </row>
    <row r="318" spans="1:27">
      <c r="A318" t="s">
        <v>1610</v>
      </c>
      <c r="B318" t="s">
        <v>1611</v>
      </c>
      <c r="C318" t="s">
        <v>1612</v>
      </c>
      <c r="D318"/>
      <c r="E318" s="7">
        <f>IF(OR(D318="Invalid",D318&lt;0),"",D318)</f>
        <v>0</v>
      </c>
      <c r="F318" t="s">
        <v>1613</v>
      </c>
      <c r="G318" t="s">
        <v>25</v>
      </c>
      <c r="H318" t="str">
        <f>PROPER(TRIM(G318))</f>
        <v>Karan Malhotra</v>
      </c>
      <c r="I318" t="s">
        <v>108</v>
      </c>
      <c r="J318" t="str">
        <f>PROPER(TRIM(I318))</f>
        <v>Corporate</v>
      </c>
      <c r="K318" t="s">
        <v>27</v>
      </c>
      <c r="L318" t="s">
        <v>154</v>
      </c>
      <c r="M318" t="s">
        <v>155</v>
      </c>
      <c r="N318" t="s">
        <v>30</v>
      </c>
      <c r="O318" t="str">
        <f>TRIM(N318)</f>
        <v>Office Supplies</v>
      </c>
      <c r="P318" t="s">
        <v>109</v>
      </c>
      <c r="Q318" t="s">
        <v>1614</v>
      </c>
      <c r="R318" t="s">
        <v>67</v>
      </c>
      <c r="S318" t="s">
        <v>67</v>
      </c>
      <c r="T318">
        <v>2</v>
      </c>
      <c r="U318">
        <v>1947.53</v>
      </c>
      <c r="V318">
        <v>0.2</v>
      </c>
      <c r="W318">
        <v>3116.05</v>
      </c>
      <c r="X318">
        <v>1956.63</v>
      </c>
      <c r="Y318">
        <v>1159.42</v>
      </c>
      <c r="Z318" t="s">
        <v>34</v>
      </c>
      <c r="AA318" t="s">
        <v>78</v>
      </c>
    </row>
    <row r="319" spans="1:27">
      <c r="A319" t="s">
        <v>1615</v>
      </c>
      <c r="B319" t="s">
        <v>1616</v>
      </c>
      <c r="C319" t="s">
        <v>1617</v>
      </c>
      <c r="D319"/>
      <c r="E319" s="7">
        <f>IF(OR(D319="Invalid",D319&lt;0),"",D319)</f>
        <v>0</v>
      </c>
      <c r="F319" t="s">
        <v>1618</v>
      </c>
      <c r="G319" t="s">
        <v>93</v>
      </c>
      <c r="H319" t="str">
        <f>PROPER(TRIM(G319))</f>
        <v>Neha Gupta</v>
      </c>
      <c r="I319" t="s">
        <v>108</v>
      </c>
      <c r="J319" t="str">
        <f>PROPER(TRIM(I319))</f>
        <v>Corporate</v>
      </c>
      <c r="K319" t="s">
        <v>62</v>
      </c>
      <c r="L319" t="s">
        <v>242</v>
      </c>
      <c r="M319" t="s">
        <v>243</v>
      </c>
      <c r="N319" t="s">
        <v>45</v>
      </c>
      <c r="O319" t="str">
        <f>TRIM(N319)</f>
        <v>Furniture</v>
      </c>
      <c r="P319" t="s">
        <v>46</v>
      </c>
      <c r="Q319" t="s">
        <v>1619</v>
      </c>
      <c r="R319" t="s">
        <v>56</v>
      </c>
      <c r="S319" t="s">
        <v>56</v>
      </c>
      <c r="T319">
        <v>9</v>
      </c>
      <c r="U319">
        <v>2996.97</v>
      </c>
      <c r="V319">
        <v>0.15</v>
      </c>
      <c r="W319">
        <v>22926.82</v>
      </c>
      <c r="X319">
        <v>14621.59</v>
      </c>
      <c r="Y319">
        <v>8305.23</v>
      </c>
      <c r="Z319" t="s">
        <v>34</v>
      </c>
      <c r="AA319" t="s">
        <v>35</v>
      </c>
    </row>
    <row r="320" spans="1:27">
      <c r="A320" t="s">
        <v>1620</v>
      </c>
      <c r="B320" t="s">
        <v>1621</v>
      </c>
      <c r="C320" t="s">
        <v>1622</v>
      </c>
      <c r="D320"/>
      <c r="E320" s="7">
        <f>IF(OR(D320="Invalid",D320&lt;0),"",D320)</f>
        <v>0</v>
      </c>
      <c r="F320" t="s">
        <v>1623</v>
      </c>
      <c r="G320" t="s">
        <v>40</v>
      </c>
      <c r="H320" t="str">
        <f>PROPER(TRIM(G320))</f>
        <v>Mira Das</v>
      </c>
      <c r="I320" t="s">
        <v>41</v>
      </c>
      <c r="J320" t="str">
        <f>PROPER(TRIM(I320))</f>
        <v>Small Business</v>
      </c>
      <c r="K320" t="s">
        <v>62</v>
      </c>
      <c r="L320" t="s">
        <v>229</v>
      </c>
      <c r="M320" t="s">
        <v>230</v>
      </c>
      <c r="N320" t="s">
        <v>86</v>
      </c>
      <c r="O320" t="str">
        <f>TRIM(N320)</f>
        <v>Technology</v>
      </c>
      <c r="P320" t="s">
        <v>223</v>
      </c>
      <c r="Q320" t="s">
        <v>1624</v>
      </c>
      <c r="R320" t="s">
        <v>67</v>
      </c>
      <c r="S320" t="s">
        <v>67</v>
      </c>
      <c r="T320">
        <v>3</v>
      </c>
      <c r="U320">
        <v>4149.46</v>
      </c>
      <c r="V320">
        <v>0.1</v>
      </c>
      <c r="W320">
        <v>11203.54</v>
      </c>
      <c r="X320">
        <v>8452.93</v>
      </c>
      <c r="Y320">
        <v>2750.61</v>
      </c>
      <c r="Z320" t="s">
        <v>34</v>
      </c>
      <c r="AA320" t="s">
        <v>35</v>
      </c>
    </row>
    <row r="321" spans="1:27">
      <c r="A321" t="s">
        <v>1625</v>
      </c>
      <c r="B321" t="s">
        <v>1626</v>
      </c>
      <c r="C321" t="s">
        <v>1627</v>
      </c>
      <c r="D321"/>
      <c r="E321" s="7">
        <f>IF(OR(D321="Invalid",D321&lt;0),"",D321)</f>
        <v>0</v>
      </c>
      <c r="F321" t="s">
        <v>1628</v>
      </c>
      <c r="G321" t="s">
        <v>210</v>
      </c>
      <c r="H321" t="str">
        <f>PROPER(TRIM(G321))</f>
        <v>Diya Patel</v>
      </c>
      <c r="I321" t="s">
        <v>26</v>
      </c>
      <c r="J321" t="str">
        <f>PROPER(TRIM(I321))</f>
        <v>Consumer</v>
      </c>
      <c r="K321" t="s">
        <v>73</v>
      </c>
      <c r="L321" t="s">
        <v>235</v>
      </c>
      <c r="M321" t="s">
        <v>236</v>
      </c>
      <c r="N321" t="s">
        <v>30</v>
      </c>
      <c r="O321" t="str">
        <f>TRIM(N321)</f>
        <v>Office Supplies</v>
      </c>
      <c r="P321" t="s">
        <v>198</v>
      </c>
      <c r="Q321" t="s">
        <v>1629</v>
      </c>
      <c r="R321" t="s">
        <v>56</v>
      </c>
      <c r="S321" t="s">
        <v>56</v>
      </c>
      <c r="T321">
        <v>1</v>
      </c>
      <c r="U321">
        <v>270.27999999999997</v>
      </c>
      <c r="V321">
        <v>0</v>
      </c>
      <c r="W321">
        <v>270.27999999999997</v>
      </c>
      <c r="X321">
        <v>156.34</v>
      </c>
      <c r="Y321">
        <v>113.94</v>
      </c>
      <c r="Z321" t="s">
        <v>34</v>
      </c>
      <c r="AA321" t="s">
        <v>35</v>
      </c>
    </row>
    <row r="322" spans="1:27">
      <c r="A322" t="s">
        <v>1630</v>
      </c>
      <c r="B322" t="s">
        <v>1631</v>
      </c>
      <c r="C322" t="s">
        <v>1632</v>
      </c>
      <c r="D322"/>
      <c r="E322" s="7">
        <f>IF(OR(D322="Invalid",D322&lt;0),"",D322)</f>
        <v>0</v>
      </c>
      <c r="F322" t="s">
        <v>1633</v>
      </c>
      <c r="G322" t="s">
        <v>162</v>
      </c>
      <c r="H322" t="str">
        <f>PROPER(TRIM(G322))</f>
        <v>Aarav Sharma</v>
      </c>
      <c r="I322" t="s">
        <v>115</v>
      </c>
      <c r="J322" t="str">
        <f>PROPER(TRIM(I322))</f>
        <v>Home Office</v>
      </c>
      <c r="K322" t="s">
        <v>42</v>
      </c>
      <c r="L322" t="s">
        <v>121</v>
      </c>
      <c r="M322" t="s">
        <v>122</v>
      </c>
      <c r="N322" t="s">
        <v>30</v>
      </c>
      <c r="O322" t="str">
        <f>TRIM(N322)</f>
        <v>Office Supplies</v>
      </c>
      <c r="P322" t="s">
        <v>54</v>
      </c>
      <c r="Q322" t="s">
        <v>1634</v>
      </c>
      <c r="R322" t="s">
        <v>33</v>
      </c>
      <c r="S322" t="s">
        <v>33</v>
      </c>
      <c r="T322">
        <v>3</v>
      </c>
      <c r="U322">
        <v>876.14</v>
      </c>
      <c r="V322" t="s">
        <v>681</v>
      </c>
      <c r="W322">
        <v>2628.42</v>
      </c>
      <c r="X322">
        <v>1541.54</v>
      </c>
      <c r="Y322">
        <v>1086.8800000000001</v>
      </c>
      <c r="Z322" t="s">
        <v>137</v>
      </c>
      <c r="AA322" t="s">
        <v>125</v>
      </c>
    </row>
    <row r="323" spans="1:27">
      <c r="A323" t="s">
        <v>1635</v>
      </c>
      <c r="B323" t="s">
        <v>1636</v>
      </c>
      <c r="C323" t="s">
        <v>1637</v>
      </c>
      <c r="D323"/>
      <c r="E323" s="7">
        <f>IF(OR(D323="Invalid",D323&lt;0),"",D323)</f>
        <v>0</v>
      </c>
      <c r="F323" t="s">
        <v>1638</v>
      </c>
      <c r="G323" t="s">
        <v>93</v>
      </c>
      <c r="H323" t="str">
        <f>PROPER(TRIM(G323))</f>
        <v>Neha Gupta</v>
      </c>
      <c r="I323" t="s">
        <v>41</v>
      </c>
      <c r="J323" t="str">
        <f>PROPER(TRIM(I323))</f>
        <v>Small Business</v>
      </c>
      <c r="K323" t="s">
        <v>73</v>
      </c>
      <c r="L323" t="s">
        <v>249</v>
      </c>
      <c r="M323" t="s">
        <v>250</v>
      </c>
      <c r="N323" t="s">
        <v>86</v>
      </c>
      <c r="O323" t="str">
        <f>TRIM(N323)</f>
        <v>Technology</v>
      </c>
      <c r="P323" t="s">
        <v>87</v>
      </c>
      <c r="Q323" t="s">
        <v>1639</v>
      </c>
      <c r="R323" t="s">
        <v>48</v>
      </c>
      <c r="S323" t="s">
        <v>48</v>
      </c>
      <c r="T323">
        <v>4</v>
      </c>
      <c r="U323">
        <v>674.82</v>
      </c>
      <c r="V323">
        <v>0</v>
      </c>
      <c r="W323">
        <v>2699.28</v>
      </c>
      <c r="X323">
        <v>1759.76</v>
      </c>
      <c r="Y323">
        <v>939.52</v>
      </c>
      <c r="Z323" t="s">
        <v>200</v>
      </c>
      <c r="AA323" t="s">
        <v>78</v>
      </c>
    </row>
    <row r="324" spans="1:27">
      <c r="A324" t="s">
        <v>1640</v>
      </c>
      <c r="B324" t="s">
        <v>1536</v>
      </c>
      <c r="C324" t="s">
        <v>1641</v>
      </c>
      <c r="D324"/>
      <c r="E324" s="7">
        <f>IF(OR(D324="Invalid",D324&lt;0),"",D324)</f>
        <v>0</v>
      </c>
      <c r="F324" t="s">
        <v>1642</v>
      </c>
      <c r="G324" t="s">
        <v>53</v>
      </c>
      <c r="H324" t="str">
        <f>PROPER(TRIM(G324))</f>
        <v>Isha Nair</v>
      </c>
      <c r="I324" t="s">
        <v>26</v>
      </c>
      <c r="J324" t="str">
        <f>PROPER(TRIM(I324))</f>
        <v>Consumer</v>
      </c>
      <c r="K324" t="s">
        <v>27</v>
      </c>
      <c r="L324" t="s">
        <v>174</v>
      </c>
      <c r="M324" t="s">
        <v>175</v>
      </c>
      <c r="N324" t="s">
        <v>86</v>
      </c>
      <c r="O324" t="str">
        <f>TRIM(N324)</f>
        <v>Technology</v>
      </c>
      <c r="P324" t="s">
        <v>223</v>
      </c>
      <c r="Q324" t="s">
        <v>1643</v>
      </c>
      <c r="R324" t="s">
        <v>33</v>
      </c>
      <c r="S324" t="s">
        <v>33</v>
      </c>
      <c r="T324">
        <v>6</v>
      </c>
      <c r="U324">
        <v>1369.48</v>
      </c>
      <c r="V324">
        <v>0.15</v>
      </c>
      <c r="W324">
        <v>6984.35</v>
      </c>
      <c r="X324">
        <v>4023.63</v>
      </c>
      <c r="Y324">
        <v>2960.72</v>
      </c>
      <c r="Z324" t="s">
        <v>34</v>
      </c>
      <c r="AA324" t="s">
        <v>35</v>
      </c>
    </row>
    <row r="325" spans="1:27">
      <c r="A325" t="s">
        <v>1644</v>
      </c>
      <c r="B325" t="s">
        <v>1645</v>
      </c>
      <c r="C325" t="s">
        <v>1646</v>
      </c>
      <c r="D325"/>
      <c r="E325" s="7">
        <f>IF(OR(D325="Invalid",D325&lt;0),"",D325)</f>
        <v>0</v>
      </c>
      <c r="F325" t="s">
        <v>1647</v>
      </c>
      <c r="G325" t="s">
        <v>53</v>
      </c>
      <c r="H325" t="str">
        <f>PROPER(TRIM(G325))</f>
        <v>Isha Nair</v>
      </c>
      <c r="I325" t="s">
        <v>41</v>
      </c>
      <c r="J325" t="str">
        <f>PROPER(TRIM(I325))</f>
        <v>Small Business</v>
      </c>
      <c r="K325" t="s">
        <v>73</v>
      </c>
      <c r="L325" t="s">
        <v>249</v>
      </c>
      <c r="M325" t="s">
        <v>250</v>
      </c>
      <c r="N325" t="s">
        <v>45</v>
      </c>
      <c r="O325" t="str">
        <f>TRIM(N325)</f>
        <v>Furniture</v>
      </c>
      <c r="P325" t="s">
        <v>65</v>
      </c>
      <c r="Q325" t="s">
        <v>193</v>
      </c>
      <c r="R325" t="s">
        <v>67</v>
      </c>
      <c r="S325" t="s">
        <v>67</v>
      </c>
      <c r="T325">
        <v>9</v>
      </c>
      <c r="U325">
        <v>1331.46</v>
      </c>
      <c r="V325">
        <v>0.15</v>
      </c>
      <c r="W325">
        <v>10185.67</v>
      </c>
      <c r="X325">
        <v>6479.31</v>
      </c>
      <c r="Y325">
        <v>3706.36</v>
      </c>
      <c r="Z325" t="s">
        <v>34</v>
      </c>
      <c r="AA325" t="s">
        <v>35</v>
      </c>
    </row>
    <row r="326" spans="1:27">
      <c r="A326" t="s">
        <v>1648</v>
      </c>
      <c r="B326" t="s">
        <v>1649</v>
      </c>
      <c r="C326" t="s">
        <v>943</v>
      </c>
      <c r="D326"/>
      <c r="E326" s="7">
        <f>IF(OR(D326="Invalid",D326&lt;0),"",D326)</f>
        <v>0</v>
      </c>
      <c r="F326" t="s">
        <v>1650</v>
      </c>
      <c r="G326" t="s">
        <v>180</v>
      </c>
      <c r="H326" t="str">
        <f>PROPER(TRIM(G326))</f>
        <v>Rohan Mehta</v>
      </c>
      <c r="I326" t="s">
        <v>115</v>
      </c>
      <c r="J326" t="str">
        <f>PROPER(TRIM(I326))</f>
        <v>Home Office</v>
      </c>
      <c r="K326" t="s">
        <v>62</v>
      </c>
      <c r="L326" t="s">
        <v>100</v>
      </c>
      <c r="M326" t="s">
        <v>101</v>
      </c>
      <c r="N326" t="s">
        <v>30</v>
      </c>
      <c r="O326" t="str">
        <f>TRIM(N326)</f>
        <v>Office Supplies</v>
      </c>
      <c r="P326" t="s">
        <v>109</v>
      </c>
      <c r="Q326" t="s">
        <v>1651</v>
      </c>
      <c r="R326" t="s">
        <v>48</v>
      </c>
      <c r="S326" t="s">
        <v>48</v>
      </c>
      <c r="T326">
        <v>1</v>
      </c>
      <c r="U326">
        <v>1947.88</v>
      </c>
      <c r="V326">
        <v>0.15</v>
      </c>
      <c r="W326">
        <v>1655.7</v>
      </c>
      <c r="X326">
        <v>1354.8</v>
      </c>
      <c r="Y326">
        <v>300.89999999999998</v>
      </c>
      <c r="Z326" t="s">
        <v>34</v>
      </c>
      <c r="AA326" t="s">
        <v>125</v>
      </c>
    </row>
    <row r="327" spans="1:27">
      <c r="A327" t="s">
        <v>1652</v>
      </c>
      <c r="B327" t="s">
        <v>1653</v>
      </c>
      <c r="C327" t="s">
        <v>1654</v>
      </c>
      <c r="D327"/>
      <c r="E327" s="7">
        <f>IF(OR(D327="Invalid",D327&lt;0),"",D327)</f>
        <v>0</v>
      </c>
      <c r="F327" t="s">
        <v>1655</v>
      </c>
      <c r="G327" t="s">
        <v>168</v>
      </c>
      <c r="H327" t="str">
        <f>PROPER(TRIM(G327))</f>
        <v>Sneha Kapoor</v>
      </c>
      <c r="I327" t="s">
        <v>115</v>
      </c>
      <c r="J327" t="str">
        <f>PROPER(TRIM(I327))</f>
        <v>Home Office</v>
      </c>
      <c r="K327" t="s">
        <v>42</v>
      </c>
      <c r="L327" t="s">
        <v>121</v>
      </c>
      <c r="M327" t="s">
        <v>122</v>
      </c>
      <c r="N327" t="s">
        <v>86</v>
      </c>
      <c r="O327" t="str">
        <f>TRIM(N327)</f>
        <v>Technology</v>
      </c>
      <c r="P327" t="s">
        <v>94</v>
      </c>
      <c r="Q327" t="s">
        <v>1656</v>
      </c>
      <c r="R327" t="s">
        <v>33</v>
      </c>
      <c r="S327" t="s">
        <v>33</v>
      </c>
      <c r="T327">
        <v>5</v>
      </c>
      <c r="U327">
        <v>3671.2</v>
      </c>
      <c r="V327">
        <v>0.15</v>
      </c>
      <c r="W327">
        <v>15602.6</v>
      </c>
      <c r="X327">
        <v>11908.52</v>
      </c>
      <c r="Y327">
        <v>3694.08</v>
      </c>
      <c r="Z327" t="s">
        <v>34</v>
      </c>
      <c r="AA327" t="s">
        <v>35</v>
      </c>
    </row>
    <row r="328" spans="1:27">
      <c r="A328" t="s">
        <v>1657</v>
      </c>
      <c r="B328" t="s">
        <v>1658</v>
      </c>
      <c r="C328" t="s">
        <v>1512</v>
      </c>
      <c r="D328"/>
      <c r="E328" s="7">
        <f>IF(OR(D328="Invalid",D328&lt;0),"",D328)</f>
        <v>0</v>
      </c>
      <c r="F328" t="s">
        <v>1659</v>
      </c>
      <c r="G328" t="s">
        <v>168</v>
      </c>
      <c r="H328" t="str">
        <f>PROPER(TRIM(G328))</f>
        <v>Sneha Kapoor</v>
      </c>
      <c r="I328" t="s">
        <v>108</v>
      </c>
      <c r="J328" t="str">
        <f>PROPER(TRIM(I328))</f>
        <v>Corporate</v>
      </c>
      <c r="K328" t="s">
        <v>42</v>
      </c>
      <c r="L328" t="s">
        <v>311</v>
      </c>
      <c r="M328" t="s">
        <v>312</v>
      </c>
      <c r="N328" t="s">
        <v>45</v>
      </c>
      <c r="O328" t="str">
        <f>TRIM(N328)</f>
        <v>Furniture</v>
      </c>
      <c r="P328" t="s">
        <v>65</v>
      </c>
      <c r="Q328" t="s">
        <v>1660</v>
      </c>
      <c r="R328" t="s">
        <v>48</v>
      </c>
      <c r="S328" t="s">
        <v>48</v>
      </c>
      <c r="T328">
        <v>5</v>
      </c>
      <c r="U328">
        <v>3187.05</v>
      </c>
      <c r="V328">
        <v>0.05</v>
      </c>
      <c r="W328">
        <v>15138.49</v>
      </c>
      <c r="X328">
        <v>11235.72</v>
      </c>
      <c r="Y328">
        <v>3902.77</v>
      </c>
      <c r="Z328" t="s">
        <v>34</v>
      </c>
      <c r="AA328" t="s">
        <v>35</v>
      </c>
    </row>
    <row r="329" spans="1:27">
      <c r="A329" t="s">
        <v>1661</v>
      </c>
      <c r="B329" t="s">
        <v>1662</v>
      </c>
      <c r="C329" t="s">
        <v>264</v>
      </c>
      <c r="D329"/>
      <c r="E329" s="7">
        <f>IF(OR(D329="Invalid",D329&lt;0),"",D329)</f>
        <v>0</v>
      </c>
      <c r="F329" t="s">
        <v>1663</v>
      </c>
      <c r="G329" t="s">
        <v>53</v>
      </c>
      <c r="H329" t="str">
        <f>PROPER(TRIM(G329))</f>
        <v>Isha Nair</v>
      </c>
      <c r="I329" t="s">
        <v>26</v>
      </c>
      <c r="J329" t="str">
        <f>PROPER(TRIM(I329))</f>
        <v>Consumer</v>
      </c>
      <c r="K329" t="s">
        <v>73</v>
      </c>
      <c r="L329" t="s">
        <v>28</v>
      </c>
      <c r="M329" t="s">
        <v>135</v>
      </c>
      <c r="N329" t="s">
        <v>86</v>
      </c>
      <c r="O329" t="str">
        <f>TRIM(N329)</f>
        <v>Technology</v>
      </c>
      <c r="P329" t="s">
        <v>87</v>
      </c>
      <c r="Q329" t="s">
        <v>1664</v>
      </c>
      <c r="R329" t="s">
        <v>33</v>
      </c>
      <c r="S329" t="s">
        <v>33</v>
      </c>
      <c r="T329">
        <v>3</v>
      </c>
      <c r="U329">
        <v>1834.55</v>
      </c>
      <c r="V329">
        <v>0.2</v>
      </c>
      <c r="W329">
        <v>4402.92</v>
      </c>
      <c r="X329">
        <v>2993.94</v>
      </c>
      <c r="Y329">
        <v>1408.98</v>
      </c>
      <c r="Z329" t="s">
        <v>137</v>
      </c>
      <c r="AA329" t="s">
        <v>78</v>
      </c>
    </row>
    <row r="330" spans="1:27">
      <c r="A330" t="s">
        <v>1665</v>
      </c>
      <c r="B330" t="s">
        <v>1666</v>
      </c>
      <c r="C330" t="s">
        <v>1432</v>
      </c>
      <c r="D330"/>
      <c r="E330" s="7">
        <f>IF(OR(D330="Invalid",D330&lt;0),"",D330)</f>
        <v>0</v>
      </c>
      <c r="F330" t="s">
        <v>1667</v>
      </c>
      <c r="G330" t="s">
        <v>210</v>
      </c>
      <c r="H330" t="str">
        <f>PROPER(TRIM(G330))</f>
        <v>Diya Patel</v>
      </c>
      <c r="I330" t="s">
        <v>26</v>
      </c>
      <c r="J330" t="str">
        <f>PROPER(TRIM(I330))</f>
        <v>Consumer</v>
      </c>
      <c r="K330" t="s">
        <v>73</v>
      </c>
      <c r="L330" t="s">
        <v>74</v>
      </c>
      <c r="M330" t="s">
        <v>75</v>
      </c>
      <c r="N330" t="s">
        <v>30</v>
      </c>
      <c r="O330" t="str">
        <f>TRIM(N330)</f>
        <v>Office Supplies</v>
      </c>
      <c r="P330" t="s">
        <v>156</v>
      </c>
      <c r="Q330" t="s">
        <v>1668</v>
      </c>
      <c r="R330" t="s">
        <v>56</v>
      </c>
      <c r="S330" t="s">
        <v>56</v>
      </c>
      <c r="T330">
        <v>6</v>
      </c>
      <c r="U330">
        <v>3100.68</v>
      </c>
      <c r="V330">
        <v>0</v>
      </c>
      <c r="W330">
        <v>18604.080000000002</v>
      </c>
      <c r="X330">
        <v>15834.3</v>
      </c>
      <c r="Y330">
        <v>2769.78</v>
      </c>
      <c r="Z330" t="s">
        <v>34</v>
      </c>
      <c r="AA330" t="s">
        <v>35</v>
      </c>
    </row>
    <row r="331" spans="1:27">
      <c r="A331" t="s">
        <v>1669</v>
      </c>
      <c r="B331" t="s">
        <v>1670</v>
      </c>
      <c r="C331" t="s">
        <v>1671</v>
      </c>
      <c r="D331"/>
      <c r="E331" s="7">
        <f>IF(OR(D331="Invalid",D331&lt;0),"",D331)</f>
        <v>0</v>
      </c>
      <c r="F331" t="s">
        <v>1672</v>
      </c>
      <c r="G331" t="s">
        <v>93</v>
      </c>
      <c r="H331" t="str">
        <f>PROPER(TRIM(G331))</f>
        <v>Neha Gupta</v>
      </c>
      <c r="I331" t="s">
        <v>41</v>
      </c>
      <c r="J331" t="str">
        <f>PROPER(TRIM(I331))</f>
        <v>Small Business</v>
      </c>
      <c r="K331" t="s">
        <v>73</v>
      </c>
      <c r="L331" t="s">
        <v>74</v>
      </c>
      <c r="M331" t="s">
        <v>75</v>
      </c>
      <c r="N331" t="s">
        <v>30</v>
      </c>
      <c r="O331" t="str">
        <f>TRIM(N331)</f>
        <v>Office Supplies</v>
      </c>
      <c r="P331" t="s">
        <v>156</v>
      </c>
      <c r="Q331" t="s">
        <v>1673</v>
      </c>
      <c r="R331" t="s">
        <v>67</v>
      </c>
      <c r="S331" t="s">
        <v>67</v>
      </c>
      <c r="T331">
        <v>4</v>
      </c>
      <c r="U331">
        <v>4053.03</v>
      </c>
      <c r="V331">
        <v>0.05</v>
      </c>
      <c r="W331">
        <v>15401.51</v>
      </c>
      <c r="X331">
        <v>8650.42</v>
      </c>
      <c r="Y331">
        <v>6751.09</v>
      </c>
      <c r="Z331" t="s">
        <v>34</v>
      </c>
      <c r="AA331" t="s">
        <v>35</v>
      </c>
    </row>
    <row r="332" spans="1:27">
      <c r="A332" t="s">
        <v>1674</v>
      </c>
      <c r="B332" t="s">
        <v>1128</v>
      </c>
      <c r="C332" t="s">
        <v>709</v>
      </c>
      <c r="D332"/>
      <c r="E332" s="7">
        <f>IF(OR(D332="Invalid",D332&lt;0),"",D332)</f>
        <v>0</v>
      </c>
      <c r="F332" t="s">
        <v>1675</v>
      </c>
      <c r="G332" t="s">
        <v>61</v>
      </c>
      <c r="H332" t="str">
        <f>PROPER(TRIM(G332))</f>
        <v>Arjun Bose</v>
      </c>
      <c r="I332" t="s">
        <v>115</v>
      </c>
      <c r="J332" t="str">
        <f>PROPER(TRIM(I332))</f>
        <v>Home Office</v>
      </c>
      <c r="K332" t="s">
        <v>27</v>
      </c>
      <c r="L332" t="s">
        <v>154</v>
      </c>
      <c r="M332" t="s">
        <v>155</v>
      </c>
      <c r="N332" t="s">
        <v>86</v>
      </c>
      <c r="O332" t="str">
        <f>TRIM(N332)</f>
        <v>Technology</v>
      </c>
      <c r="P332" t="s">
        <v>87</v>
      </c>
      <c r="Q332" t="s">
        <v>1676</v>
      </c>
      <c r="R332" t="s">
        <v>48</v>
      </c>
      <c r="S332" t="s">
        <v>48</v>
      </c>
      <c r="T332">
        <v>1</v>
      </c>
      <c r="U332">
        <v>783.09</v>
      </c>
      <c r="V332">
        <v>0</v>
      </c>
      <c r="W332">
        <v>783.09</v>
      </c>
      <c r="X332">
        <v>503.89</v>
      </c>
      <c r="Y332">
        <v>279.2</v>
      </c>
      <c r="Z332" t="s">
        <v>200</v>
      </c>
      <c r="AA332" t="s">
        <v>78</v>
      </c>
    </row>
    <row r="333" spans="1:27">
      <c r="A333" t="s">
        <v>1677</v>
      </c>
      <c r="B333" t="s">
        <v>705</v>
      </c>
      <c r="C333" t="s">
        <v>1678</v>
      </c>
      <c r="D333"/>
      <c r="E333" s="7">
        <f>IF(OR(D333="Invalid",D333&lt;0),"",D333)</f>
        <v>0</v>
      </c>
      <c r="F333" t="s">
        <v>1679</v>
      </c>
      <c r="G333" t="s">
        <v>168</v>
      </c>
      <c r="H333" t="str">
        <f>PROPER(TRIM(G333))</f>
        <v>Sneha Kapoor</v>
      </c>
      <c r="I333" t="s">
        <v>115</v>
      </c>
      <c r="J333" t="str">
        <f>PROPER(TRIM(I333))</f>
        <v>Home Office</v>
      </c>
      <c r="K333" t="s">
        <v>42</v>
      </c>
      <c r="L333" t="s">
        <v>43</v>
      </c>
      <c r="M333" t="s">
        <v>44</v>
      </c>
      <c r="N333" t="s">
        <v>30</v>
      </c>
      <c r="O333" t="str">
        <f>TRIM(N333)</f>
        <v>Office Supplies</v>
      </c>
      <c r="P333" t="s">
        <v>198</v>
      </c>
      <c r="Q333" t="s">
        <v>1680</v>
      </c>
      <c r="R333" t="s">
        <v>33</v>
      </c>
      <c r="S333" t="s">
        <v>33</v>
      </c>
      <c r="T333">
        <v>4</v>
      </c>
      <c r="U333">
        <v>2685.66</v>
      </c>
      <c r="V333">
        <v>0</v>
      </c>
      <c r="W333">
        <v>10742.64</v>
      </c>
      <c r="X333">
        <v>6477.37</v>
      </c>
      <c r="Y333">
        <v>4265.2700000000004</v>
      </c>
      <c r="Z333" t="s">
        <v>34</v>
      </c>
      <c r="AA333" t="s">
        <v>125</v>
      </c>
    </row>
    <row r="334" spans="1:27">
      <c r="A334" t="s">
        <v>1681</v>
      </c>
      <c r="B334" t="s">
        <v>1682</v>
      </c>
      <c r="C334" t="s">
        <v>1683</v>
      </c>
      <c r="D334"/>
      <c r="E334" s="7">
        <f>IF(OR(D334="Invalid",D334&lt;0),"",D334)</f>
        <v>0</v>
      </c>
      <c r="F334" t="s">
        <v>1684</v>
      </c>
      <c r="G334" t="s">
        <v>162</v>
      </c>
      <c r="H334" t="str">
        <f>PROPER(TRIM(G334))</f>
        <v>Aarav Sharma</v>
      </c>
      <c r="I334" t="s">
        <v>26</v>
      </c>
      <c r="J334" t="str">
        <f>PROPER(TRIM(I334))</f>
        <v>Consumer</v>
      </c>
      <c r="K334" t="s">
        <v>62</v>
      </c>
      <c r="L334" t="s">
        <v>100</v>
      </c>
      <c r="M334" t="s">
        <v>101</v>
      </c>
      <c r="N334" t="s">
        <v>86</v>
      </c>
      <c r="O334" t="str">
        <f>TRIM(N334)</f>
        <v>Technology</v>
      </c>
      <c r="P334" t="s">
        <v>1685</v>
      </c>
      <c r="Q334" t="s">
        <v>1686</v>
      </c>
      <c r="R334" t="s">
        <v>33</v>
      </c>
      <c r="S334" t="s">
        <v>33</v>
      </c>
      <c r="T334">
        <v>2</v>
      </c>
      <c r="U334">
        <v>3911.96</v>
      </c>
      <c r="V334">
        <v>0</v>
      </c>
      <c r="W334">
        <v>7823.92</v>
      </c>
      <c r="X334">
        <v>6034.63</v>
      </c>
      <c r="Y334">
        <v>1789.29</v>
      </c>
      <c r="Z334" t="s">
        <v>34</v>
      </c>
      <c r="AA334" t="s">
        <v>35</v>
      </c>
    </row>
    <row r="335" spans="1:27">
      <c r="A335" t="s">
        <v>1687</v>
      </c>
      <c r="B335" s="4" t="s">
        <v>1688</v>
      </c>
      <c r="C335" s="4" t="s">
        <v>1689</v>
      </c>
      <c r="D335" s="4" t="str">
        <f>IF(C223&lt;B223,"Invalid","OK")</f>
        <v>OK</v>
      </c>
      <c r="E335" s="7" t="str">
        <f>IF(OR(D335="Invalid",D335&lt;0),"",D335)</f>
        <v>OK</v>
      </c>
      <c r="F335" t="s">
        <v>1690</v>
      </c>
      <c r="G335" t="s">
        <v>180</v>
      </c>
      <c r="H335" t="str">
        <f>PROPER(TRIM(G335))</f>
        <v>Rohan Mehta</v>
      </c>
      <c r="I335" t="s">
        <v>115</v>
      </c>
      <c r="J335" t="str">
        <f>PROPER(TRIM(I335))</f>
        <v>Home Office</v>
      </c>
      <c r="K335" t="s">
        <v>27</v>
      </c>
      <c r="L335" t="s">
        <v>506</v>
      </c>
      <c r="M335" t="s">
        <v>507</v>
      </c>
      <c r="N335" t="s">
        <v>86</v>
      </c>
      <c r="O335" t="str">
        <f>TRIM(N335)</f>
        <v>Technology</v>
      </c>
      <c r="P335" t="s">
        <v>223</v>
      </c>
      <c r="Q335" t="s">
        <v>1691</v>
      </c>
      <c r="R335" t="s">
        <v>56</v>
      </c>
      <c r="S335" t="s">
        <v>56</v>
      </c>
      <c r="T335">
        <v>2</v>
      </c>
      <c r="U335">
        <v>1468.05</v>
      </c>
      <c r="V335">
        <v>0</v>
      </c>
      <c r="W335">
        <v>2936.1</v>
      </c>
      <c r="X335">
        <v>1923.1</v>
      </c>
      <c r="Y335">
        <v>1013</v>
      </c>
      <c r="Z335" t="s">
        <v>34</v>
      </c>
      <c r="AA335" t="s">
        <v>35</v>
      </c>
    </row>
    <row r="336" spans="1:27">
      <c r="A336" t="s">
        <v>1692</v>
      </c>
      <c r="B336" t="s">
        <v>1693</v>
      </c>
      <c r="C336" t="s">
        <v>1694</v>
      </c>
      <c r="D336"/>
      <c r="E336" s="7">
        <f>IF(OR(D336="Invalid",D336&lt;0),"",D336)</f>
        <v>0</v>
      </c>
      <c r="F336" t="s">
        <v>1695</v>
      </c>
      <c r="G336" t="s">
        <v>72</v>
      </c>
      <c r="H336" t="str">
        <f>PROPER(TRIM(G336))</f>
        <v>Ananya Rao</v>
      </c>
      <c r="I336" t="s">
        <v>26</v>
      </c>
      <c r="J336" t="str">
        <f>PROPER(TRIM(I336))</f>
        <v>Consumer</v>
      </c>
      <c r="K336" t="s">
        <v>42</v>
      </c>
      <c r="L336" t="s">
        <v>311</v>
      </c>
      <c r="M336" t="s">
        <v>312</v>
      </c>
      <c r="N336" t="s">
        <v>30</v>
      </c>
      <c r="O336" t="str">
        <f>TRIM(N336)</f>
        <v>Office Supplies</v>
      </c>
      <c r="P336" t="s">
        <v>156</v>
      </c>
      <c r="Q336" t="s">
        <v>1696</v>
      </c>
      <c r="R336" t="s">
        <v>56</v>
      </c>
      <c r="S336" t="s">
        <v>56</v>
      </c>
      <c r="T336">
        <v>9</v>
      </c>
      <c r="U336">
        <v>1921.47</v>
      </c>
      <c r="V336">
        <v>0.25</v>
      </c>
      <c r="W336">
        <v>12969.92</v>
      </c>
      <c r="X336">
        <v>9398.4599999999991</v>
      </c>
      <c r="Y336">
        <v>3571.46</v>
      </c>
      <c r="Z336" t="s">
        <v>34</v>
      </c>
      <c r="AA336" t="s">
        <v>35</v>
      </c>
    </row>
    <row r="337" spans="1:27">
      <c r="A337" t="s">
        <v>1697</v>
      </c>
      <c r="B337" t="s">
        <v>1698</v>
      </c>
      <c r="C337" t="s">
        <v>1699</v>
      </c>
      <c r="D337"/>
      <c r="E337" s="7">
        <f>IF(OR(D337="Invalid",D337&lt;0),"",D337)</f>
        <v>0</v>
      </c>
      <c r="F337" t="s">
        <v>1700</v>
      </c>
      <c r="G337" t="s">
        <v>148</v>
      </c>
      <c r="H337" t="str">
        <f>PROPER(TRIM(G337))</f>
        <v>Rahul Verma</v>
      </c>
      <c r="I337" t="s">
        <v>115</v>
      </c>
      <c r="J337" t="str">
        <f>PROPER(TRIM(I337))</f>
        <v>Home Office</v>
      </c>
      <c r="K337" t="s">
        <v>73</v>
      </c>
      <c r="L337" t="s">
        <v>84</v>
      </c>
      <c r="M337" t="s">
        <v>85</v>
      </c>
      <c r="N337" t="s">
        <v>30</v>
      </c>
      <c r="O337" t="str">
        <f>TRIM(N337)</f>
        <v>Office Supplies</v>
      </c>
      <c r="P337" t="s">
        <v>31</v>
      </c>
      <c r="Q337" t="s">
        <v>1701</v>
      </c>
      <c r="R337" t="s">
        <v>56</v>
      </c>
      <c r="S337" t="s">
        <v>56</v>
      </c>
      <c r="T337">
        <v>3</v>
      </c>
      <c r="U337">
        <v>4289.37</v>
      </c>
      <c r="V337">
        <v>0.1</v>
      </c>
      <c r="W337">
        <v>11581.3</v>
      </c>
      <c r="X337">
        <v>6829.43</v>
      </c>
      <c r="Y337">
        <v>4751.87</v>
      </c>
      <c r="Z337" t="s">
        <v>34</v>
      </c>
      <c r="AA337" t="s">
        <v>35</v>
      </c>
    </row>
    <row r="338" spans="1:27">
      <c r="A338" t="s">
        <v>1702</v>
      </c>
      <c r="B338" t="s">
        <v>304</v>
      </c>
      <c r="C338" t="s">
        <v>1703</v>
      </c>
      <c r="D338"/>
      <c r="E338" s="7">
        <f>IF(OR(D338="Invalid",D338&lt;0),"",D338)</f>
        <v>0</v>
      </c>
      <c r="F338" t="s">
        <v>1321</v>
      </c>
      <c r="G338" t="s">
        <v>162</v>
      </c>
      <c r="H338" t="str">
        <f>PROPER(TRIM(G338))</f>
        <v>Aarav Sharma</v>
      </c>
      <c r="I338" t="s">
        <v>26</v>
      </c>
      <c r="J338" t="str">
        <f>PROPER(TRIM(I338))</f>
        <v>Consumer</v>
      </c>
      <c r="K338" t="s">
        <v>27</v>
      </c>
      <c r="L338" t="s">
        <v>28</v>
      </c>
      <c r="M338" t="s">
        <v>29</v>
      </c>
      <c r="N338" t="s">
        <v>86</v>
      </c>
      <c r="O338" t="str">
        <f>TRIM(N338)</f>
        <v>Technology</v>
      </c>
      <c r="P338" t="s">
        <v>94</v>
      </c>
      <c r="Q338" t="s">
        <v>1704</v>
      </c>
      <c r="R338" t="s">
        <v>56</v>
      </c>
      <c r="S338" t="s">
        <v>56</v>
      </c>
      <c r="T338">
        <v>8</v>
      </c>
      <c r="U338">
        <v>1992.57</v>
      </c>
      <c r="V338">
        <v>0</v>
      </c>
      <c r="W338">
        <v>15940.56</v>
      </c>
      <c r="X338">
        <v>12347.15</v>
      </c>
      <c r="Y338">
        <v>3593.41</v>
      </c>
      <c r="Z338" t="s">
        <v>34</v>
      </c>
      <c r="AA338" t="s">
        <v>35</v>
      </c>
    </row>
    <row r="339" spans="1:27">
      <c r="A339" t="s">
        <v>1705</v>
      </c>
      <c r="B339" t="s">
        <v>1706</v>
      </c>
      <c r="C339" t="s">
        <v>1707</v>
      </c>
      <c r="D339"/>
      <c r="E339" s="7">
        <f>IF(OR(D339="Invalid",D339&lt;0),"",D339)</f>
        <v>0</v>
      </c>
      <c r="F339" t="s">
        <v>1708</v>
      </c>
      <c r="G339" t="s">
        <v>72</v>
      </c>
      <c r="H339" t="str">
        <f>PROPER(TRIM(G339))</f>
        <v>Ananya Rao</v>
      </c>
      <c r="I339" t="s">
        <v>26</v>
      </c>
      <c r="J339" t="str">
        <f>PROPER(TRIM(I339))</f>
        <v>Consumer</v>
      </c>
      <c r="K339" t="s">
        <v>42</v>
      </c>
      <c r="L339" t="s">
        <v>216</v>
      </c>
      <c r="M339" t="s">
        <v>217</v>
      </c>
      <c r="N339" t="s">
        <v>30</v>
      </c>
      <c r="O339" t="str">
        <f>TRIM(N339)</f>
        <v>Office Supplies</v>
      </c>
      <c r="P339" t="s">
        <v>109</v>
      </c>
      <c r="Q339" t="s">
        <v>1709</v>
      </c>
      <c r="R339" t="s">
        <v>48</v>
      </c>
      <c r="S339" t="s">
        <v>48</v>
      </c>
      <c r="T339">
        <v>6</v>
      </c>
      <c r="U339">
        <v>1181.74</v>
      </c>
      <c r="V339">
        <v>0</v>
      </c>
      <c r="W339">
        <v>7090.44</v>
      </c>
      <c r="X339">
        <v>5672.27</v>
      </c>
      <c r="Y339">
        <v>1262.8699999999999</v>
      </c>
      <c r="Z339" t="s">
        <v>34</v>
      </c>
      <c r="AA339" t="s">
        <v>35</v>
      </c>
    </row>
    <row r="340" spans="1:27">
      <c r="A340" t="s">
        <v>1710</v>
      </c>
      <c r="B340" t="s">
        <v>1711</v>
      </c>
      <c r="C340" t="s">
        <v>1464</v>
      </c>
      <c r="D340"/>
      <c r="E340" s="7">
        <f>IF(OR(D340="Invalid",D340&lt;0),"",D340)</f>
        <v>0</v>
      </c>
      <c r="F340" t="s">
        <v>1712</v>
      </c>
      <c r="G340" t="s">
        <v>61</v>
      </c>
      <c r="H340" t="str">
        <f>PROPER(TRIM(G340))</f>
        <v>Arjun Bose</v>
      </c>
      <c r="I340" t="s">
        <v>41</v>
      </c>
      <c r="J340" t="str">
        <f>PROPER(TRIM(I340))</f>
        <v>Small Business</v>
      </c>
      <c r="K340" t="s">
        <v>62</v>
      </c>
      <c r="L340" t="s">
        <v>100</v>
      </c>
      <c r="M340" t="s">
        <v>101</v>
      </c>
      <c r="N340" t="s">
        <v>86</v>
      </c>
      <c r="O340" t="str">
        <f>TRIM(N340)</f>
        <v>Technology</v>
      </c>
      <c r="P340" t="s">
        <v>87</v>
      </c>
      <c r="Q340" t="s">
        <v>1713</v>
      </c>
      <c r="R340" t="s">
        <v>56</v>
      </c>
      <c r="S340" t="s">
        <v>56</v>
      </c>
      <c r="T340">
        <v>8</v>
      </c>
      <c r="U340">
        <v>4402.3599999999997</v>
      </c>
      <c r="V340">
        <v>0.25</v>
      </c>
      <c r="W340">
        <v>26414.16</v>
      </c>
      <c r="X340">
        <v>21822.53</v>
      </c>
      <c r="Y340">
        <v>4591.63</v>
      </c>
      <c r="Z340" t="s">
        <v>34</v>
      </c>
      <c r="AA340" t="s">
        <v>35</v>
      </c>
    </row>
    <row r="341" spans="1:27">
      <c r="A341" t="s">
        <v>1714</v>
      </c>
      <c r="B341" t="s">
        <v>916</v>
      </c>
      <c r="C341" t="s">
        <v>1715</v>
      </c>
      <c r="D341"/>
      <c r="E341" s="7">
        <f>IF(OR(D341="Invalid",D341&lt;0),"",D341)</f>
        <v>0</v>
      </c>
      <c r="F341" t="s">
        <v>1716</v>
      </c>
      <c r="G341" t="s">
        <v>93</v>
      </c>
      <c r="H341" t="str">
        <f>PROPER(TRIM(G341))</f>
        <v>Neha Gupta</v>
      </c>
      <c r="I341" t="s">
        <v>108</v>
      </c>
      <c r="J341" t="str">
        <f>PROPER(TRIM(I341))</f>
        <v>Corporate</v>
      </c>
      <c r="K341" t="s">
        <v>42</v>
      </c>
      <c r="L341" t="s">
        <v>311</v>
      </c>
      <c r="M341" t="s">
        <v>312</v>
      </c>
      <c r="N341" t="s">
        <v>45</v>
      </c>
      <c r="O341" t="str">
        <f>TRIM(N341)</f>
        <v>Furniture</v>
      </c>
      <c r="P341" t="s">
        <v>204</v>
      </c>
      <c r="Q341" t="s">
        <v>1717</v>
      </c>
      <c r="R341" t="s">
        <v>67</v>
      </c>
      <c r="S341" t="s">
        <v>67</v>
      </c>
      <c r="T341">
        <v>8</v>
      </c>
      <c r="U341">
        <v>3265.76</v>
      </c>
      <c r="V341">
        <v>0.2</v>
      </c>
      <c r="W341">
        <v>20900.86</v>
      </c>
      <c r="X341">
        <v>12513.14</v>
      </c>
      <c r="Y341">
        <v>8387.7199999999993</v>
      </c>
      <c r="Z341" t="s">
        <v>34</v>
      </c>
      <c r="AA341" t="s">
        <v>35</v>
      </c>
    </row>
    <row r="342" spans="1:27">
      <c r="A342" t="s">
        <v>1718</v>
      </c>
      <c r="B342" t="s">
        <v>1719</v>
      </c>
      <c r="C342" t="s">
        <v>1720</v>
      </c>
      <c r="D342"/>
      <c r="E342" s="7">
        <f>IF(OR(D342="Invalid",D342&lt;0),"",D342)</f>
        <v>0</v>
      </c>
      <c r="F342" t="s">
        <v>1721</v>
      </c>
      <c r="G342" t="s">
        <v>93</v>
      </c>
      <c r="H342" t="str">
        <f>PROPER(TRIM(G342))</f>
        <v>Neha Gupta</v>
      </c>
      <c r="I342" t="s">
        <v>26</v>
      </c>
      <c r="J342" t="str">
        <f>PROPER(TRIM(I342))</f>
        <v>Consumer</v>
      </c>
      <c r="K342" t="s">
        <v>62</v>
      </c>
      <c r="L342" t="s">
        <v>229</v>
      </c>
      <c r="M342" t="s">
        <v>230</v>
      </c>
      <c r="N342" t="s">
        <v>30</v>
      </c>
      <c r="O342" t="str">
        <f>TRIM(N342)</f>
        <v>Office Supplies</v>
      </c>
      <c r="P342" t="s">
        <v>198</v>
      </c>
      <c r="Q342" t="s">
        <v>1722</v>
      </c>
      <c r="R342" t="s">
        <v>67</v>
      </c>
      <c r="S342" t="s">
        <v>67</v>
      </c>
      <c r="T342">
        <v>5</v>
      </c>
      <c r="U342">
        <v>4058.08</v>
      </c>
      <c r="V342">
        <v>0.1</v>
      </c>
      <c r="W342">
        <v>18261.36</v>
      </c>
      <c r="X342">
        <v>11399.94</v>
      </c>
      <c r="Y342">
        <v>6861.42</v>
      </c>
      <c r="Z342" t="s">
        <v>34</v>
      </c>
      <c r="AA342" t="s">
        <v>35</v>
      </c>
    </row>
    <row r="343" spans="1:27">
      <c r="A343" t="s">
        <v>1723</v>
      </c>
      <c r="B343" t="s">
        <v>1724</v>
      </c>
      <c r="C343" t="s">
        <v>1725</v>
      </c>
      <c r="D343"/>
      <c r="E343" s="7">
        <f>IF(OR(D343="Invalid",D343&lt;0),"",D343)</f>
        <v>0</v>
      </c>
      <c r="F343" t="s">
        <v>1726</v>
      </c>
      <c r="G343" t="s">
        <v>180</v>
      </c>
      <c r="H343" t="str">
        <f>PROPER(TRIM(G343))</f>
        <v>Rohan Mehta</v>
      </c>
      <c r="I343" t="s">
        <v>115</v>
      </c>
      <c r="J343" t="str">
        <f>PROPER(TRIM(I343))</f>
        <v>Home Office</v>
      </c>
      <c r="K343" t="s">
        <v>73</v>
      </c>
      <c r="L343" t="s">
        <v>235</v>
      </c>
      <c r="M343" t="s">
        <v>236</v>
      </c>
      <c r="N343" t="s">
        <v>45</v>
      </c>
      <c r="O343" t="str">
        <f>TRIM(N343)</f>
        <v>Furniture</v>
      </c>
      <c r="P343" t="s">
        <v>76</v>
      </c>
      <c r="Q343" t="s">
        <v>1727</v>
      </c>
      <c r="R343" t="s">
        <v>33</v>
      </c>
      <c r="S343" t="s">
        <v>33</v>
      </c>
      <c r="T343">
        <v>2</v>
      </c>
      <c r="U343">
        <v>3960.33</v>
      </c>
      <c r="V343">
        <v>0.05</v>
      </c>
      <c r="W343">
        <v>7524.63</v>
      </c>
      <c r="X343">
        <v>6229.6</v>
      </c>
      <c r="Y343">
        <v>1295.03</v>
      </c>
      <c r="Z343" t="s">
        <v>34</v>
      </c>
      <c r="AA343" t="s">
        <v>35</v>
      </c>
    </row>
    <row r="344" spans="1:27">
      <c r="A344" t="s">
        <v>1728</v>
      </c>
      <c r="B344" t="s">
        <v>1729</v>
      </c>
      <c r="C344" t="s">
        <v>1730</v>
      </c>
      <c r="D344"/>
      <c r="E344" s="7">
        <f>IF(OR(D344="Invalid",D344&lt;0),"",D344)</f>
        <v>0</v>
      </c>
      <c r="F344" t="s">
        <v>1731</v>
      </c>
      <c r="G344" t="s">
        <v>366</v>
      </c>
      <c r="H344" t="str">
        <f>PROPER(TRIM(G344))</f>
        <v>Kabir Singh</v>
      </c>
      <c r="I344" t="s">
        <v>41</v>
      </c>
      <c r="J344" t="str">
        <f>PROPER(TRIM(I344))</f>
        <v>Small Business</v>
      </c>
      <c r="K344" t="s">
        <v>42</v>
      </c>
      <c r="L344" t="s">
        <v>311</v>
      </c>
      <c r="M344" t="s">
        <v>312</v>
      </c>
      <c r="N344" t="s">
        <v>30</v>
      </c>
      <c r="O344" t="str">
        <f>TRIM(N344)</f>
        <v>Office Supplies</v>
      </c>
      <c r="P344" t="s">
        <v>198</v>
      </c>
      <c r="Q344" t="s">
        <v>1732</v>
      </c>
      <c r="R344" t="s">
        <v>56</v>
      </c>
      <c r="S344" t="s">
        <v>56</v>
      </c>
      <c r="T344">
        <v>8</v>
      </c>
      <c r="U344">
        <v>1528.92</v>
      </c>
      <c r="V344">
        <v>0</v>
      </c>
      <c r="W344">
        <v>12231.36</v>
      </c>
      <c r="X344">
        <v>8766.9</v>
      </c>
      <c r="Y344">
        <v>3464.46</v>
      </c>
      <c r="Z344" t="s">
        <v>34</v>
      </c>
      <c r="AA344" t="s">
        <v>35</v>
      </c>
    </row>
    <row r="345" spans="1:27">
      <c r="A345" t="s">
        <v>1733</v>
      </c>
      <c r="B345" t="s">
        <v>1734</v>
      </c>
      <c r="C345" t="s">
        <v>1191</v>
      </c>
      <c r="D345"/>
      <c r="E345" s="7">
        <f>IF(OR(D345="Invalid",D345&lt;0),"",D345)</f>
        <v>0</v>
      </c>
      <c r="F345" t="s">
        <v>1735</v>
      </c>
      <c r="G345" t="s">
        <v>162</v>
      </c>
      <c r="H345" t="str">
        <f>PROPER(TRIM(G345))</f>
        <v>Aarav Sharma</v>
      </c>
      <c r="I345" t="s">
        <v>108</v>
      </c>
      <c r="J345" t="str">
        <f>PROPER(TRIM(I345))</f>
        <v>Corporate</v>
      </c>
      <c r="K345" t="s">
        <v>73</v>
      </c>
      <c r="L345" t="s">
        <v>84</v>
      </c>
      <c r="M345" t="s">
        <v>85</v>
      </c>
      <c r="N345" t="s">
        <v>86</v>
      </c>
      <c r="O345" t="str">
        <f>TRIM(N345)</f>
        <v>Technology</v>
      </c>
      <c r="P345" t="s">
        <v>382</v>
      </c>
      <c r="Q345" t="s">
        <v>1736</v>
      </c>
      <c r="R345" t="s">
        <v>48</v>
      </c>
      <c r="S345" t="s">
        <v>48</v>
      </c>
      <c r="T345">
        <v>9</v>
      </c>
      <c r="U345">
        <v>3837</v>
      </c>
      <c r="V345">
        <v>0.1</v>
      </c>
      <c r="W345">
        <v>31079.7</v>
      </c>
      <c r="X345">
        <v>17758.25</v>
      </c>
      <c r="Y345">
        <v>13321.45</v>
      </c>
      <c r="Z345" t="s">
        <v>34</v>
      </c>
      <c r="AA345" t="s">
        <v>35</v>
      </c>
    </row>
    <row r="346" spans="1:27">
      <c r="A346" t="s">
        <v>1737</v>
      </c>
      <c r="B346" t="s">
        <v>1507</v>
      </c>
      <c r="C346" t="s">
        <v>1507</v>
      </c>
      <c r="D346"/>
      <c r="E346" s="7">
        <f>IF(OR(D346="Invalid",D346&lt;0),"",D346)</f>
        <v>0</v>
      </c>
      <c r="F346" t="s">
        <v>1738</v>
      </c>
      <c r="G346" t="s">
        <v>142</v>
      </c>
      <c r="H346" t="str">
        <f>PROPER(TRIM(G346))</f>
        <v>Priya Menon</v>
      </c>
      <c r="I346" t="s">
        <v>26</v>
      </c>
      <c r="J346" t="str">
        <f>PROPER(TRIM(I346))</f>
        <v>Consumer</v>
      </c>
      <c r="K346" t="s">
        <v>27</v>
      </c>
      <c r="L346" t="s">
        <v>154</v>
      </c>
      <c r="M346" t="s">
        <v>155</v>
      </c>
      <c r="N346" t="s">
        <v>45</v>
      </c>
      <c r="O346" t="str">
        <f>TRIM(N346)</f>
        <v>Furniture</v>
      </c>
      <c r="P346" t="s">
        <v>204</v>
      </c>
      <c r="Q346" t="s">
        <v>1739</v>
      </c>
      <c r="R346" t="s">
        <v>48</v>
      </c>
      <c r="S346" t="s">
        <v>48</v>
      </c>
      <c r="T346">
        <v>9</v>
      </c>
      <c r="U346">
        <v>3456.38</v>
      </c>
      <c r="V346">
        <v>0</v>
      </c>
      <c r="W346">
        <v>31107.42</v>
      </c>
      <c r="X346">
        <v>20146.66</v>
      </c>
      <c r="Y346">
        <v>10960.76</v>
      </c>
      <c r="Z346" t="s">
        <v>137</v>
      </c>
      <c r="AA346" t="s">
        <v>125</v>
      </c>
    </row>
    <row r="347" spans="1:27">
      <c r="A347" t="s">
        <v>1740</v>
      </c>
      <c r="B347" t="s">
        <v>1741</v>
      </c>
      <c r="C347" t="s">
        <v>1742</v>
      </c>
      <c r="D347"/>
      <c r="E347" s="7">
        <f>IF(OR(D347="Invalid",D347&lt;0),"",D347)</f>
        <v>0</v>
      </c>
      <c r="F347" t="s">
        <v>1743</v>
      </c>
      <c r="G347" t="s">
        <v>25</v>
      </c>
      <c r="H347" t="str">
        <f>PROPER(TRIM(G347))</f>
        <v>Karan Malhotra</v>
      </c>
      <c r="I347" t="s">
        <v>26</v>
      </c>
      <c r="J347" t="str">
        <f>PROPER(TRIM(I347))</f>
        <v>Consumer</v>
      </c>
      <c r="K347" t="s">
        <v>73</v>
      </c>
      <c r="L347" t="s">
        <v>84</v>
      </c>
      <c r="M347" t="s">
        <v>85</v>
      </c>
      <c r="N347" t="s">
        <v>45</v>
      </c>
      <c r="O347" t="str">
        <f>TRIM(N347)</f>
        <v>Furniture</v>
      </c>
      <c r="P347" t="s">
        <v>65</v>
      </c>
      <c r="Q347" t="s">
        <v>1744</v>
      </c>
      <c r="R347" t="s">
        <v>33</v>
      </c>
      <c r="S347" t="s">
        <v>33</v>
      </c>
      <c r="T347">
        <v>2</v>
      </c>
      <c r="U347">
        <v>2765.3</v>
      </c>
      <c r="V347">
        <v>0</v>
      </c>
      <c r="W347">
        <v>5530.6</v>
      </c>
      <c r="X347">
        <v>4453.1099999999997</v>
      </c>
      <c r="Y347">
        <v>1077.49</v>
      </c>
      <c r="Z347" t="s">
        <v>34</v>
      </c>
      <c r="AA347" t="s">
        <v>35</v>
      </c>
    </row>
    <row r="348" spans="1:27">
      <c r="A348" t="s">
        <v>1745</v>
      </c>
      <c r="B348" t="s">
        <v>1658</v>
      </c>
      <c r="C348" t="s">
        <v>1746</v>
      </c>
      <c r="D348"/>
      <c r="E348" s="7">
        <f>IF(OR(D348="Invalid",D348&lt;0),"",D348)</f>
        <v>0</v>
      </c>
      <c r="F348" t="s">
        <v>1747</v>
      </c>
      <c r="G348" t="s">
        <v>148</v>
      </c>
      <c r="H348" t="str">
        <f>PROPER(TRIM(G348))</f>
        <v>Rahul Verma</v>
      </c>
      <c r="I348" t="s">
        <v>108</v>
      </c>
      <c r="J348" t="str">
        <f>PROPER(TRIM(I348))</f>
        <v>Corporate</v>
      </c>
      <c r="K348" t="s">
        <v>62</v>
      </c>
      <c r="L348" t="s">
        <v>242</v>
      </c>
      <c r="M348" t="s">
        <v>243</v>
      </c>
      <c r="N348" t="s">
        <v>45</v>
      </c>
      <c r="O348" t="str">
        <f>TRIM(N348)</f>
        <v>Furniture</v>
      </c>
      <c r="P348" t="s">
        <v>76</v>
      </c>
      <c r="Q348" t="s">
        <v>1748</v>
      </c>
      <c r="R348" t="s">
        <v>33</v>
      </c>
      <c r="S348" t="s">
        <v>33</v>
      </c>
      <c r="T348">
        <v>6</v>
      </c>
      <c r="U348">
        <v>1607.46</v>
      </c>
      <c r="V348">
        <v>0.2</v>
      </c>
      <c r="W348">
        <v>7715.81</v>
      </c>
      <c r="X348">
        <v>4258.42</v>
      </c>
      <c r="Y348">
        <v>3457.39</v>
      </c>
      <c r="Z348" t="s">
        <v>34</v>
      </c>
      <c r="AA348" t="s">
        <v>35</v>
      </c>
    </row>
    <row r="349" spans="1:27">
      <c r="A349" t="s">
        <v>1749</v>
      </c>
      <c r="B349" t="s">
        <v>1750</v>
      </c>
      <c r="C349" t="s">
        <v>1464</v>
      </c>
      <c r="D349"/>
      <c r="E349" s="7">
        <f>IF(OR(D349="Invalid",D349&lt;0),"",D349)</f>
        <v>0</v>
      </c>
      <c r="F349" t="s">
        <v>1751</v>
      </c>
      <c r="G349" t="s">
        <v>162</v>
      </c>
      <c r="H349" t="str">
        <f>PROPER(TRIM(G349))</f>
        <v>Aarav Sharma</v>
      </c>
      <c r="I349" t="s">
        <v>41</v>
      </c>
      <c r="J349" t="str">
        <f>PROPER(TRIM(I349))</f>
        <v>Small Business</v>
      </c>
      <c r="K349" t="s">
        <v>73</v>
      </c>
      <c r="L349" t="s">
        <v>249</v>
      </c>
      <c r="M349" t="s">
        <v>250</v>
      </c>
      <c r="N349" t="s">
        <v>45</v>
      </c>
      <c r="O349" t="str">
        <f>TRIM(N349)</f>
        <v>Furniture</v>
      </c>
      <c r="P349" t="s">
        <v>76</v>
      </c>
      <c r="Q349" t="s">
        <v>1752</v>
      </c>
      <c r="R349" t="s">
        <v>33</v>
      </c>
      <c r="S349" t="s">
        <v>33</v>
      </c>
      <c r="T349">
        <v>5</v>
      </c>
      <c r="U349">
        <v>2981.49</v>
      </c>
      <c r="V349">
        <v>0.2</v>
      </c>
      <c r="W349">
        <v>11925.96</v>
      </c>
      <c r="X349">
        <v>10103.51</v>
      </c>
      <c r="Y349">
        <v>1822.45</v>
      </c>
      <c r="Z349" t="s">
        <v>124</v>
      </c>
      <c r="AA349" t="s">
        <v>125</v>
      </c>
    </row>
    <row r="350" spans="1:27">
      <c r="A350" t="s">
        <v>1753</v>
      </c>
      <c r="B350" t="s">
        <v>1303</v>
      </c>
      <c r="C350" t="s">
        <v>1754</v>
      </c>
      <c r="D350"/>
      <c r="E350" s="7">
        <f>IF(OR(D350="Invalid",D350&lt;0),"",D350)</f>
        <v>0</v>
      </c>
      <c r="F350" t="s">
        <v>1755</v>
      </c>
      <c r="G350" t="s">
        <v>162</v>
      </c>
      <c r="H350" t="str">
        <f>PROPER(TRIM(G350))</f>
        <v>Aarav Sharma</v>
      </c>
      <c r="I350" t="s">
        <v>108</v>
      </c>
      <c r="J350" t="str">
        <f>PROPER(TRIM(I350))</f>
        <v>Corporate</v>
      </c>
      <c r="K350" t="s">
        <v>62</v>
      </c>
      <c r="L350" t="s">
        <v>229</v>
      </c>
      <c r="M350" t="s">
        <v>230</v>
      </c>
      <c r="N350" t="s">
        <v>86</v>
      </c>
      <c r="O350" t="str">
        <f>TRIM(N350)</f>
        <v>Technology</v>
      </c>
      <c r="P350" t="s">
        <v>223</v>
      </c>
      <c r="Q350" t="s">
        <v>1756</v>
      </c>
      <c r="R350" t="s">
        <v>48</v>
      </c>
      <c r="S350" t="s">
        <v>48</v>
      </c>
      <c r="T350">
        <v>9</v>
      </c>
      <c r="U350">
        <v>2860.26</v>
      </c>
      <c r="V350">
        <v>0.25</v>
      </c>
      <c r="W350">
        <v>19306.759999999998</v>
      </c>
      <c r="X350">
        <v>14442.38</v>
      </c>
      <c r="Y350">
        <v>4864.38</v>
      </c>
      <c r="Z350" t="s">
        <v>34</v>
      </c>
      <c r="AA350" t="s">
        <v>35</v>
      </c>
    </row>
    <row r="351" spans="1:27">
      <c r="A351" t="s">
        <v>1757</v>
      </c>
      <c r="B351" t="s">
        <v>1758</v>
      </c>
      <c r="C351" t="s">
        <v>747</v>
      </c>
      <c r="D351"/>
      <c r="E351" s="7">
        <f>IF(OR(D351="Invalid",D351&lt;0),"",D351)</f>
        <v>0</v>
      </c>
      <c r="F351" t="s">
        <v>1759</v>
      </c>
      <c r="G351" t="s">
        <v>366</v>
      </c>
      <c r="H351" t="str">
        <f>PROPER(TRIM(G351))</f>
        <v>Kabir Singh</v>
      </c>
      <c r="I351" t="s">
        <v>115</v>
      </c>
      <c r="J351" t="str">
        <f>PROPER(TRIM(I351))</f>
        <v>Home Office</v>
      </c>
      <c r="K351" t="s">
        <v>42</v>
      </c>
      <c r="L351" t="s">
        <v>311</v>
      </c>
      <c r="M351" t="s">
        <v>312</v>
      </c>
      <c r="N351" t="s">
        <v>45</v>
      </c>
      <c r="O351" t="str">
        <f>TRIM(N351)</f>
        <v>Furniture</v>
      </c>
      <c r="P351" t="s">
        <v>65</v>
      </c>
      <c r="Q351" t="s">
        <v>1760</v>
      </c>
      <c r="R351" t="s">
        <v>33</v>
      </c>
      <c r="S351" t="s">
        <v>33</v>
      </c>
      <c r="T351">
        <v>9</v>
      </c>
      <c r="U351">
        <v>2867.55</v>
      </c>
      <c r="V351">
        <v>0.25</v>
      </c>
      <c r="W351">
        <v>19355.96</v>
      </c>
      <c r="X351">
        <v>15012.45</v>
      </c>
      <c r="Y351">
        <v>4017.4</v>
      </c>
      <c r="Z351" t="s">
        <v>34</v>
      </c>
      <c r="AA351" t="s">
        <v>35</v>
      </c>
    </row>
    <row r="352" spans="1:27">
      <c r="A352" t="s">
        <v>1761</v>
      </c>
      <c r="B352" t="s">
        <v>1762</v>
      </c>
      <c r="C352" t="s">
        <v>1763</v>
      </c>
      <c r="D352"/>
      <c r="E352" s="7">
        <f>IF(OR(D352="Invalid",D352&lt;0),"",D352)</f>
        <v>0</v>
      </c>
      <c r="F352" t="s">
        <v>1764</v>
      </c>
      <c r="G352" t="s">
        <v>168</v>
      </c>
      <c r="H352" t="str">
        <f>PROPER(TRIM(G352))</f>
        <v>Sneha Kapoor</v>
      </c>
      <c r="I352" t="s">
        <v>41</v>
      </c>
      <c r="J352" t="str">
        <f>PROPER(TRIM(I352))</f>
        <v>Small Business</v>
      </c>
      <c r="K352" t="s">
        <v>42</v>
      </c>
      <c r="L352" t="s">
        <v>311</v>
      </c>
      <c r="M352" t="s">
        <v>312</v>
      </c>
      <c r="N352" t="s">
        <v>45</v>
      </c>
      <c r="O352" t="str">
        <f>TRIM(N352)</f>
        <v>Furniture</v>
      </c>
      <c r="P352" t="s">
        <v>65</v>
      </c>
      <c r="Q352" t="s">
        <v>1765</v>
      </c>
      <c r="R352" t="s">
        <v>33</v>
      </c>
      <c r="S352" t="s">
        <v>33</v>
      </c>
      <c r="T352">
        <v>4</v>
      </c>
      <c r="U352">
        <v>3309.54</v>
      </c>
      <c r="V352">
        <v>0.1</v>
      </c>
      <c r="W352">
        <v>11914.34</v>
      </c>
      <c r="X352">
        <v>9771.24</v>
      </c>
      <c r="Y352">
        <v>2143.1</v>
      </c>
      <c r="Z352" t="s">
        <v>124</v>
      </c>
      <c r="AA352" t="s">
        <v>125</v>
      </c>
    </row>
    <row r="353" spans="1:27">
      <c r="A353" t="s">
        <v>1766</v>
      </c>
      <c r="B353" t="s">
        <v>1767</v>
      </c>
      <c r="C353" t="s">
        <v>1682</v>
      </c>
      <c r="D353"/>
      <c r="E353" s="7">
        <f>IF(OR(D353="Invalid",D353&lt;0),"",D353)</f>
        <v>0</v>
      </c>
      <c r="F353" t="s">
        <v>1768</v>
      </c>
      <c r="G353" t="s">
        <v>83</v>
      </c>
      <c r="H353" t="str">
        <f>PROPER(TRIM(G353))</f>
        <v>Vikram Iyer</v>
      </c>
      <c r="I353" t="s">
        <v>41</v>
      </c>
      <c r="J353" t="str">
        <f>PROPER(TRIM(I353))</f>
        <v>Small Business</v>
      </c>
      <c r="K353" t="s">
        <v>62</v>
      </c>
      <c r="L353" t="s">
        <v>63</v>
      </c>
      <c r="M353" t="s">
        <v>64</v>
      </c>
      <c r="N353" t="s">
        <v>30</v>
      </c>
      <c r="O353" t="str">
        <f>TRIM(N353)</f>
        <v>Office Supplies</v>
      </c>
      <c r="P353" t="s">
        <v>156</v>
      </c>
      <c r="Q353" t="s">
        <v>1769</v>
      </c>
      <c r="R353" t="s">
        <v>56</v>
      </c>
      <c r="S353" t="s">
        <v>56</v>
      </c>
      <c r="T353">
        <v>6</v>
      </c>
      <c r="U353">
        <v>719.44</v>
      </c>
      <c r="V353">
        <v>0.25</v>
      </c>
      <c r="W353">
        <v>3237.48</v>
      </c>
      <c r="X353">
        <v>2118.34</v>
      </c>
      <c r="Y353">
        <v>1119.1400000000001</v>
      </c>
      <c r="Z353" t="s">
        <v>137</v>
      </c>
      <c r="AA353" t="s">
        <v>78</v>
      </c>
    </row>
    <row r="354" spans="1:27">
      <c r="A354" t="s">
        <v>1770</v>
      </c>
      <c r="B354" t="s">
        <v>1771</v>
      </c>
      <c r="C354" t="s">
        <v>1393</v>
      </c>
      <c r="D354"/>
      <c r="E354" s="7">
        <f>IF(OR(D354="Invalid",D354&lt;0),"",D354)</f>
        <v>0</v>
      </c>
      <c r="F354" t="s">
        <v>1772</v>
      </c>
      <c r="G354" t="s">
        <v>210</v>
      </c>
      <c r="H354" t="str">
        <f>PROPER(TRIM(G354))</f>
        <v>Diya Patel</v>
      </c>
      <c r="I354" t="s">
        <v>41</v>
      </c>
      <c r="J354" t="str">
        <f>PROPER(TRIM(I354))</f>
        <v>Small Business</v>
      </c>
      <c r="K354" t="s">
        <v>42</v>
      </c>
      <c r="L354" t="s">
        <v>216</v>
      </c>
      <c r="M354" t="s">
        <v>217</v>
      </c>
      <c r="N354" t="s">
        <v>86</v>
      </c>
      <c r="O354" t="str">
        <f>TRIM(N354)</f>
        <v>Technology</v>
      </c>
      <c r="P354" t="s">
        <v>94</v>
      </c>
      <c r="Q354" t="s">
        <v>1773</v>
      </c>
      <c r="R354" t="s">
        <v>56</v>
      </c>
      <c r="S354" t="s">
        <v>56</v>
      </c>
      <c r="T354">
        <v>5</v>
      </c>
      <c r="U354">
        <v>2862.6</v>
      </c>
      <c r="V354">
        <v>0.25</v>
      </c>
      <c r="W354">
        <v>10734.75</v>
      </c>
      <c r="X354">
        <v>6475.73</v>
      </c>
      <c r="Y354">
        <v>4259.0200000000004</v>
      </c>
      <c r="Z354" t="s">
        <v>34</v>
      </c>
      <c r="AA354" t="s">
        <v>35</v>
      </c>
    </row>
    <row r="355" spans="1:27">
      <c r="A355" t="s">
        <v>1774</v>
      </c>
      <c r="B355" t="s">
        <v>1775</v>
      </c>
      <c r="C355" t="s">
        <v>1163</v>
      </c>
      <c r="D355"/>
      <c r="E355" s="7">
        <f>IF(OR(D355="Invalid",D355&lt;0),"",D355)</f>
        <v>0</v>
      </c>
      <c r="F355" t="s">
        <v>1776</v>
      </c>
      <c r="G355" t="s">
        <v>72</v>
      </c>
      <c r="H355" t="str">
        <f>PROPER(TRIM(G355))</f>
        <v>Ananya Rao</v>
      </c>
      <c r="I355" t="s">
        <v>26</v>
      </c>
      <c r="J355" t="str">
        <f>PROPER(TRIM(I355))</f>
        <v>Consumer</v>
      </c>
      <c r="K355" t="s">
        <v>27</v>
      </c>
      <c r="L355" t="s">
        <v>28</v>
      </c>
      <c r="M355" t="s">
        <v>29</v>
      </c>
      <c r="N355" t="s">
        <v>30</v>
      </c>
      <c r="O355" t="str">
        <f>TRIM(N355)</f>
        <v>Office Supplies</v>
      </c>
      <c r="P355" t="s">
        <v>54</v>
      </c>
      <c r="Q355" t="s">
        <v>1777</v>
      </c>
      <c r="R355" t="s">
        <v>48</v>
      </c>
      <c r="S355" t="s">
        <v>48</v>
      </c>
      <c r="T355">
        <v>9</v>
      </c>
      <c r="U355">
        <v>1431.67</v>
      </c>
      <c r="V355">
        <v>0.2</v>
      </c>
      <c r="W355">
        <v>10308.02</v>
      </c>
      <c r="X355">
        <v>5822.31</v>
      </c>
      <c r="Y355">
        <v>4485.71</v>
      </c>
      <c r="Z355" t="s">
        <v>34</v>
      </c>
      <c r="AA355" t="s">
        <v>35</v>
      </c>
    </row>
    <row r="356" spans="1:27">
      <c r="A356" t="s">
        <v>1778</v>
      </c>
      <c r="B356" t="s">
        <v>145</v>
      </c>
      <c r="C356" t="s">
        <v>1779</v>
      </c>
      <c r="D356"/>
      <c r="E356" s="7">
        <f>IF(OR(D356="Invalid",D356&lt;0),"",D356)</f>
        <v>0</v>
      </c>
      <c r="F356" t="s">
        <v>1780</v>
      </c>
      <c r="G356" t="s">
        <v>366</v>
      </c>
      <c r="H356" t="str">
        <f>PROPER(TRIM(G356))</f>
        <v>Kabir Singh</v>
      </c>
      <c r="I356" t="s">
        <v>1781</v>
      </c>
      <c r="J356" t="str">
        <f>PROPER(TRIM(I356))</f>
        <v>Corporate</v>
      </c>
      <c r="K356" t="s">
        <v>27</v>
      </c>
      <c r="L356" t="s">
        <v>154</v>
      </c>
      <c r="M356" t="s">
        <v>155</v>
      </c>
      <c r="N356" t="s">
        <v>45</v>
      </c>
      <c r="O356" t="str">
        <f>TRIM(N356)</f>
        <v>Furniture</v>
      </c>
      <c r="P356" t="s">
        <v>65</v>
      </c>
      <c r="Q356" t="s">
        <v>1782</v>
      </c>
      <c r="R356" t="s">
        <v>67</v>
      </c>
      <c r="S356" t="s">
        <v>67</v>
      </c>
      <c r="T356">
        <v>6</v>
      </c>
      <c r="U356">
        <v>3346.78</v>
      </c>
      <c r="V356">
        <v>-0.06</v>
      </c>
      <c r="W356">
        <v>20080.68</v>
      </c>
      <c r="X356">
        <v>12908.84</v>
      </c>
      <c r="Y356">
        <v>7171.84</v>
      </c>
      <c r="Z356" t="s">
        <v>137</v>
      </c>
      <c r="AA356" t="s">
        <v>78</v>
      </c>
    </row>
    <row r="357" spans="1:27">
      <c r="A357" t="s">
        <v>1783</v>
      </c>
      <c r="B357" t="s">
        <v>1784</v>
      </c>
      <c r="C357" t="s">
        <v>1785</v>
      </c>
      <c r="D357"/>
      <c r="E357" s="7">
        <f>IF(OR(D357="Invalid",D357&lt;0),"",D357)</f>
        <v>0</v>
      </c>
      <c r="F357" t="s">
        <v>1786</v>
      </c>
      <c r="G357" t="s">
        <v>142</v>
      </c>
      <c r="H357" t="str">
        <f>PROPER(TRIM(G357))</f>
        <v>Priya Menon</v>
      </c>
      <c r="I357" t="s">
        <v>108</v>
      </c>
      <c r="J357" t="str">
        <f>PROPER(TRIM(I357))</f>
        <v>Corporate</v>
      </c>
      <c r="K357" t="s">
        <v>73</v>
      </c>
      <c r="L357" t="s">
        <v>28</v>
      </c>
      <c r="M357" t="s">
        <v>135</v>
      </c>
      <c r="N357" t="s">
        <v>45</v>
      </c>
      <c r="O357" t="str">
        <f>TRIM(N357)</f>
        <v>Furniture</v>
      </c>
      <c r="P357" t="s">
        <v>46</v>
      </c>
      <c r="Q357" t="s">
        <v>1787</v>
      </c>
      <c r="R357" t="s">
        <v>67</v>
      </c>
      <c r="S357" t="s">
        <v>67</v>
      </c>
      <c r="T357">
        <v>5</v>
      </c>
      <c r="U357">
        <v>3203.48</v>
      </c>
      <c r="V357">
        <v>0</v>
      </c>
      <c r="W357">
        <v>16017.4</v>
      </c>
      <c r="X357">
        <v>9557.7999999999993</v>
      </c>
      <c r="Y357">
        <v>6459.6</v>
      </c>
      <c r="Z357" t="s">
        <v>137</v>
      </c>
      <c r="AA357" t="s">
        <v>78</v>
      </c>
    </row>
    <row r="358" spans="1:27">
      <c r="A358" t="s">
        <v>1788</v>
      </c>
      <c r="B358" t="s">
        <v>1789</v>
      </c>
      <c r="C358" t="s">
        <v>1790</v>
      </c>
      <c r="D358"/>
      <c r="E358" s="7">
        <f>IF(OR(D358="Invalid",D358&lt;0),"",D358)</f>
        <v>0</v>
      </c>
      <c r="F358" t="s">
        <v>1791</v>
      </c>
      <c r="G358" t="s">
        <v>180</v>
      </c>
      <c r="H358" t="str">
        <f>PROPER(TRIM(G358))</f>
        <v>Rohan Mehta</v>
      </c>
      <c r="I358" t="s">
        <v>115</v>
      </c>
      <c r="J358" t="str">
        <f>PROPER(TRIM(I358))</f>
        <v>Home Office</v>
      </c>
      <c r="K358" t="s">
        <v>62</v>
      </c>
      <c r="L358" t="s">
        <v>63</v>
      </c>
      <c r="M358" t="s">
        <v>64</v>
      </c>
      <c r="N358" t="s">
        <v>45</v>
      </c>
      <c r="O358" t="str">
        <f>TRIM(N358)</f>
        <v>Furniture</v>
      </c>
      <c r="P358" t="s">
        <v>76</v>
      </c>
      <c r="Q358" t="s">
        <v>1792</v>
      </c>
      <c r="R358" t="s">
        <v>56</v>
      </c>
      <c r="S358" t="s">
        <v>56</v>
      </c>
      <c r="T358">
        <v>5</v>
      </c>
      <c r="U358">
        <v>621.70000000000005</v>
      </c>
      <c r="V358">
        <v>0.2</v>
      </c>
      <c r="W358">
        <v>2486.8000000000002</v>
      </c>
      <c r="X358">
        <v>2131.73</v>
      </c>
      <c r="Y358">
        <v>355.07</v>
      </c>
      <c r="Z358" t="s">
        <v>137</v>
      </c>
      <c r="AA358" t="s">
        <v>125</v>
      </c>
    </row>
    <row r="359" spans="1:27">
      <c r="A359" t="s">
        <v>1793</v>
      </c>
      <c r="B359" t="s">
        <v>196</v>
      </c>
      <c r="C359" t="s">
        <v>1794</v>
      </c>
      <c r="D359"/>
      <c r="E359" s="7">
        <f>IF(OR(D359="Invalid",D359&lt;0),"",D359)</f>
        <v>0</v>
      </c>
      <c r="F359" t="s">
        <v>1795</v>
      </c>
      <c r="G359" t="s">
        <v>40</v>
      </c>
      <c r="H359" t="str">
        <f>PROPER(TRIM(G359))</f>
        <v>Mira Das</v>
      </c>
      <c r="I359" t="s">
        <v>115</v>
      </c>
      <c r="J359" t="str">
        <f>PROPER(TRIM(I359))</f>
        <v>Home Office</v>
      </c>
      <c r="K359" t="s">
        <v>62</v>
      </c>
      <c r="L359" t="s">
        <v>100</v>
      </c>
      <c r="M359" t="s">
        <v>101</v>
      </c>
      <c r="N359" t="s">
        <v>86</v>
      </c>
      <c r="O359" t="str">
        <f>TRIM(N359)</f>
        <v>Technology</v>
      </c>
      <c r="P359" t="s">
        <v>382</v>
      </c>
      <c r="Q359" t="s">
        <v>1796</v>
      </c>
      <c r="R359" t="s">
        <v>33</v>
      </c>
      <c r="S359" t="s">
        <v>33</v>
      </c>
      <c r="T359">
        <v>8</v>
      </c>
      <c r="U359">
        <v>546.13</v>
      </c>
      <c r="V359">
        <v>0</v>
      </c>
      <c r="W359">
        <v>4369.04</v>
      </c>
      <c r="X359">
        <v>3716.88</v>
      </c>
      <c r="Y359">
        <v>652.16</v>
      </c>
      <c r="Z359" t="s">
        <v>34</v>
      </c>
      <c r="AA359" t="s">
        <v>78</v>
      </c>
    </row>
    <row r="360" spans="1:27">
      <c r="A360" t="s">
        <v>1797</v>
      </c>
      <c r="B360" t="s">
        <v>1798</v>
      </c>
      <c r="C360" t="s">
        <v>1799</v>
      </c>
      <c r="D360"/>
      <c r="E360" s="7">
        <f>IF(OR(D360="Invalid",D360&lt;0),"",D360)</f>
        <v>0</v>
      </c>
      <c r="F360" t="s">
        <v>1800</v>
      </c>
      <c r="G360" t="s">
        <v>83</v>
      </c>
      <c r="H360" t="str">
        <f>PROPER(TRIM(G360))</f>
        <v>Vikram Iyer</v>
      </c>
      <c r="I360" t="s">
        <v>115</v>
      </c>
      <c r="J360" t="str">
        <f>PROPER(TRIM(I360))</f>
        <v>Home Office</v>
      </c>
      <c r="K360" t="s">
        <v>73</v>
      </c>
      <c r="L360" t="s">
        <v>235</v>
      </c>
      <c r="M360" t="s">
        <v>236</v>
      </c>
      <c r="N360" t="s">
        <v>45</v>
      </c>
      <c r="O360" t="str">
        <f>TRIM(N360)</f>
        <v>Furniture</v>
      </c>
      <c r="P360" t="s">
        <v>204</v>
      </c>
      <c r="Q360" t="s">
        <v>1801</v>
      </c>
      <c r="R360" t="s">
        <v>33</v>
      </c>
      <c r="S360" t="s">
        <v>33</v>
      </c>
      <c r="T360">
        <v>5</v>
      </c>
      <c r="U360">
        <v>1253.92</v>
      </c>
      <c r="V360">
        <v>0.05</v>
      </c>
      <c r="W360">
        <v>5956.12</v>
      </c>
      <c r="X360">
        <v>4379.18</v>
      </c>
      <c r="Y360">
        <v>1576.94</v>
      </c>
      <c r="Z360" t="s">
        <v>137</v>
      </c>
      <c r="AA360" t="s">
        <v>125</v>
      </c>
    </row>
    <row r="361" spans="1:27">
      <c r="A361" t="s">
        <v>1802</v>
      </c>
      <c r="B361" t="s">
        <v>1626</v>
      </c>
      <c r="C361" t="s">
        <v>1803</v>
      </c>
      <c r="D361"/>
      <c r="E361" s="7">
        <f>IF(OR(D361="Invalid",D361&lt;0),"",D361)</f>
        <v>0</v>
      </c>
      <c r="F361" t="s">
        <v>1804</v>
      </c>
      <c r="G361" t="s">
        <v>53</v>
      </c>
      <c r="H361" t="str">
        <f>PROPER(TRIM(G361))</f>
        <v>Isha Nair</v>
      </c>
      <c r="I361" t="s">
        <v>26</v>
      </c>
      <c r="J361" t="str">
        <f>PROPER(TRIM(I361))</f>
        <v>Consumer</v>
      </c>
      <c r="K361" t="s">
        <v>62</v>
      </c>
      <c r="L361" t="s">
        <v>339</v>
      </c>
      <c r="M361" t="s">
        <v>340</v>
      </c>
      <c r="N361" t="s">
        <v>86</v>
      </c>
      <c r="O361" t="str">
        <f>TRIM(N361)</f>
        <v>Technology</v>
      </c>
      <c r="P361" t="s">
        <v>223</v>
      </c>
      <c r="Q361" t="s">
        <v>1805</v>
      </c>
      <c r="R361" t="s">
        <v>48</v>
      </c>
      <c r="S361" t="s">
        <v>48</v>
      </c>
      <c r="T361">
        <v>9</v>
      </c>
      <c r="U361">
        <v>616.96</v>
      </c>
      <c r="V361">
        <v>0.1</v>
      </c>
      <c r="W361">
        <v>4997.38</v>
      </c>
      <c r="X361">
        <v>2971.39</v>
      </c>
      <c r="Y361">
        <v>2025.99</v>
      </c>
      <c r="Z361" t="s">
        <v>34</v>
      </c>
      <c r="AA361" t="s">
        <v>35</v>
      </c>
    </row>
    <row r="362" spans="1:27">
      <c r="A362" t="s">
        <v>1806</v>
      </c>
      <c r="B362" t="s">
        <v>1807</v>
      </c>
      <c r="C362" t="s">
        <v>1808</v>
      </c>
      <c r="D362"/>
      <c r="E362" s="7">
        <f>IF(OR(D362="Invalid",D362&lt;0),"",D362)</f>
        <v>0</v>
      </c>
      <c r="F362" t="s">
        <v>1809</v>
      </c>
      <c r="G362" t="s">
        <v>168</v>
      </c>
      <c r="H362" t="str">
        <f>PROPER(TRIM(G362))</f>
        <v>Sneha Kapoor</v>
      </c>
      <c r="I362" t="s">
        <v>41</v>
      </c>
      <c r="J362" t="str">
        <f>PROPER(TRIM(I362))</f>
        <v>Small Business</v>
      </c>
      <c r="K362" t="s">
        <v>73</v>
      </c>
      <c r="L362" t="s">
        <v>235</v>
      </c>
      <c r="M362" t="s">
        <v>236</v>
      </c>
      <c r="N362" t="s">
        <v>45</v>
      </c>
      <c r="O362" t="str">
        <f>TRIM(N362)</f>
        <v>Furniture</v>
      </c>
      <c r="P362" t="s">
        <v>65</v>
      </c>
      <c r="Q362" t="s">
        <v>1810</v>
      </c>
      <c r="R362" t="s">
        <v>67</v>
      </c>
      <c r="S362" t="s">
        <v>67</v>
      </c>
      <c r="T362">
        <v>7</v>
      </c>
      <c r="U362">
        <v>3155.25</v>
      </c>
      <c r="V362">
        <v>0.2</v>
      </c>
      <c r="W362">
        <v>17669.400000000001</v>
      </c>
      <c r="X362">
        <v>13718.77</v>
      </c>
      <c r="Y362">
        <v>3950.63</v>
      </c>
      <c r="Z362" t="s">
        <v>124</v>
      </c>
      <c r="AA362" t="s">
        <v>78</v>
      </c>
    </row>
    <row r="363" spans="1:27">
      <c r="A363" t="s">
        <v>1811</v>
      </c>
      <c r="B363" t="s">
        <v>1157</v>
      </c>
      <c r="C363" t="s">
        <v>1812</v>
      </c>
      <c r="D363"/>
      <c r="E363" s="7">
        <f>IF(OR(D363="Invalid",D363&lt;0),"",D363)</f>
        <v>0</v>
      </c>
      <c r="F363" t="s">
        <v>1813</v>
      </c>
      <c r="G363" t="s">
        <v>180</v>
      </c>
      <c r="H363" t="str">
        <f>PROPER(TRIM(G363))</f>
        <v>Rohan Mehta</v>
      </c>
      <c r="I363" t="s">
        <v>108</v>
      </c>
      <c r="J363" t="str">
        <f>PROPER(TRIM(I363))</f>
        <v>Corporate</v>
      </c>
      <c r="K363" t="s">
        <v>42</v>
      </c>
      <c r="L363" t="s">
        <v>43</v>
      </c>
      <c r="M363" t="s">
        <v>44</v>
      </c>
      <c r="N363" t="s">
        <v>45</v>
      </c>
      <c r="O363" t="str">
        <f>TRIM(N363)</f>
        <v>Furniture</v>
      </c>
      <c r="P363" t="s">
        <v>76</v>
      </c>
      <c r="Q363" t="s">
        <v>1814</v>
      </c>
      <c r="R363" t="s">
        <v>33</v>
      </c>
      <c r="S363" t="s">
        <v>33</v>
      </c>
      <c r="T363">
        <v>9</v>
      </c>
      <c r="U363">
        <v>4165.58</v>
      </c>
      <c r="V363">
        <v>0.05</v>
      </c>
      <c r="W363">
        <v>35615.71</v>
      </c>
      <c r="X363">
        <v>20389.71</v>
      </c>
      <c r="Y363">
        <v>15226</v>
      </c>
      <c r="Z363" t="s">
        <v>137</v>
      </c>
      <c r="AA363" t="s">
        <v>125</v>
      </c>
    </row>
    <row r="364" spans="1:27">
      <c r="A364" t="s">
        <v>1815</v>
      </c>
      <c r="B364" t="s">
        <v>1816</v>
      </c>
      <c r="C364" t="s">
        <v>1817</v>
      </c>
      <c r="D364"/>
      <c r="E364" s="7">
        <f>IF(OR(D364="Invalid",D364&lt;0),"",D364)</f>
        <v>0</v>
      </c>
      <c r="F364" t="s">
        <v>1818</v>
      </c>
      <c r="G364" t="s">
        <v>83</v>
      </c>
      <c r="H364" t="str">
        <f>PROPER(TRIM(G364))</f>
        <v>Vikram Iyer</v>
      </c>
      <c r="I364" t="s">
        <v>26</v>
      </c>
      <c r="J364" t="str">
        <f>PROPER(TRIM(I364))</f>
        <v>Consumer</v>
      </c>
      <c r="K364" t="s">
        <v>73</v>
      </c>
      <c r="L364" t="s">
        <v>249</v>
      </c>
      <c r="M364" t="s">
        <v>250</v>
      </c>
      <c r="N364" t="s">
        <v>86</v>
      </c>
      <c r="O364" t="str">
        <f>TRIM(N364)</f>
        <v>Technology</v>
      </c>
      <c r="P364" t="s">
        <v>382</v>
      </c>
      <c r="Q364" t="s">
        <v>1819</v>
      </c>
      <c r="R364" t="s">
        <v>48</v>
      </c>
      <c r="S364" t="s">
        <v>48</v>
      </c>
      <c r="T364">
        <v>4</v>
      </c>
      <c r="U364">
        <v>491.16</v>
      </c>
      <c r="V364">
        <v>0.05</v>
      </c>
      <c r="W364">
        <v>1866.41</v>
      </c>
      <c r="X364">
        <v>1576.49</v>
      </c>
      <c r="Y364">
        <v>289.92</v>
      </c>
      <c r="Z364" t="s">
        <v>34</v>
      </c>
      <c r="AA364" t="s">
        <v>35</v>
      </c>
    </row>
    <row r="365" spans="1:27">
      <c r="A365" t="s">
        <v>1820</v>
      </c>
      <c r="B365" t="s">
        <v>1821</v>
      </c>
      <c r="C365" t="s">
        <v>1822</v>
      </c>
      <c r="D365"/>
      <c r="E365" s="7">
        <f>IF(OR(D365="Invalid",D365&lt;0),"",D365)</f>
        <v>0</v>
      </c>
      <c r="F365" t="s">
        <v>1823</v>
      </c>
      <c r="G365" t="s">
        <v>210</v>
      </c>
      <c r="H365" t="str">
        <f>PROPER(TRIM(G365))</f>
        <v>Diya Patel</v>
      </c>
      <c r="I365" t="s">
        <v>108</v>
      </c>
      <c r="J365" t="str">
        <f>PROPER(TRIM(I365))</f>
        <v>Corporate</v>
      </c>
      <c r="K365" t="s">
        <v>42</v>
      </c>
      <c r="L365" t="s">
        <v>121</v>
      </c>
      <c r="M365" t="s">
        <v>122</v>
      </c>
      <c r="N365" t="s">
        <v>45</v>
      </c>
      <c r="O365" t="str">
        <f>TRIM(N365)</f>
        <v>Furniture</v>
      </c>
      <c r="P365" t="s">
        <v>46</v>
      </c>
      <c r="Q365" t="s">
        <v>1824</v>
      </c>
      <c r="R365" t="s">
        <v>33</v>
      </c>
      <c r="S365" t="s">
        <v>33</v>
      </c>
      <c r="T365">
        <v>5</v>
      </c>
      <c r="U365">
        <v>1831.37</v>
      </c>
      <c r="V365">
        <v>0.25</v>
      </c>
      <c r="W365">
        <v>6867.64</v>
      </c>
      <c r="X365">
        <v>5205.3599999999997</v>
      </c>
      <c r="Y365">
        <v>1662.28</v>
      </c>
      <c r="Z365" t="s">
        <v>34</v>
      </c>
      <c r="AA365" t="s">
        <v>35</v>
      </c>
    </row>
    <row r="366" spans="1:27">
      <c r="A366" t="s">
        <v>1825</v>
      </c>
      <c r="B366" t="s">
        <v>1826</v>
      </c>
      <c r="C366" t="s">
        <v>1827</v>
      </c>
      <c r="D366"/>
      <c r="E366" s="7">
        <f>IF(OR(D366="Invalid",D366&lt;0),"",D366)</f>
        <v>0</v>
      </c>
      <c r="F366" t="s">
        <v>1828</v>
      </c>
      <c r="G366" t="s">
        <v>162</v>
      </c>
      <c r="H366" t="str">
        <f>PROPER(TRIM(G366))</f>
        <v>Aarav Sharma</v>
      </c>
      <c r="I366" t="s">
        <v>41</v>
      </c>
      <c r="J366" t="str">
        <f>PROPER(TRIM(I366))</f>
        <v>Small Business</v>
      </c>
      <c r="K366" t="s">
        <v>62</v>
      </c>
      <c r="L366" t="s">
        <v>100</v>
      </c>
      <c r="M366" t="s">
        <v>101</v>
      </c>
      <c r="N366" t="s">
        <v>45</v>
      </c>
      <c r="O366" t="str">
        <f>TRIM(N366)</f>
        <v>Furniture</v>
      </c>
      <c r="P366" t="s">
        <v>76</v>
      </c>
      <c r="Q366" t="s">
        <v>1829</v>
      </c>
      <c r="R366" t="s">
        <v>33</v>
      </c>
      <c r="S366" t="s">
        <v>33</v>
      </c>
      <c r="T366">
        <v>5</v>
      </c>
      <c r="U366">
        <v>1239.1500000000001</v>
      </c>
      <c r="V366">
        <v>0</v>
      </c>
      <c r="W366">
        <v>6195.75</v>
      </c>
      <c r="X366">
        <v>3967.02</v>
      </c>
      <c r="Y366">
        <v>2228.73</v>
      </c>
      <c r="Z366" t="s">
        <v>34</v>
      </c>
      <c r="AA366" t="s">
        <v>35</v>
      </c>
    </row>
    <row r="367" spans="1:27">
      <c r="A367" t="s">
        <v>1830</v>
      </c>
      <c r="B367" t="s">
        <v>1831</v>
      </c>
      <c r="C367" t="s">
        <v>1832</v>
      </c>
      <c r="D367"/>
      <c r="E367" s="7">
        <f>IF(OR(D367="Invalid",D367&lt;0),"",D367)</f>
        <v>0</v>
      </c>
      <c r="F367" t="s">
        <v>1833</v>
      </c>
      <c r="G367" t="s">
        <v>107</v>
      </c>
      <c r="H367" t="str">
        <f>PROPER(TRIM(G367))</f>
        <v>Aditi Sen</v>
      </c>
      <c r="I367" t="s">
        <v>108</v>
      </c>
      <c r="J367" t="str">
        <f>PROPER(TRIM(I367))</f>
        <v>Corporate</v>
      </c>
      <c r="K367" t="s">
        <v>73</v>
      </c>
      <c r="L367" t="s">
        <v>249</v>
      </c>
      <c r="M367" t="s">
        <v>250</v>
      </c>
      <c r="N367" t="s">
        <v>86</v>
      </c>
      <c r="O367" t="str">
        <f>TRIM(N367)</f>
        <v>Technology</v>
      </c>
      <c r="P367" t="s">
        <v>87</v>
      </c>
      <c r="Q367" t="s">
        <v>1834</v>
      </c>
      <c r="R367" t="s">
        <v>56</v>
      </c>
      <c r="S367" t="s">
        <v>56</v>
      </c>
      <c r="T367">
        <v>8</v>
      </c>
      <c r="U367">
        <v>1706.4</v>
      </c>
      <c r="W367">
        <v>12968.64</v>
      </c>
      <c r="X367">
        <v>10119.61</v>
      </c>
      <c r="Y367">
        <v>2849.03</v>
      </c>
      <c r="Z367" t="s">
        <v>34</v>
      </c>
      <c r="AA367" t="s">
        <v>35</v>
      </c>
    </row>
    <row r="368" spans="1:27">
      <c r="A368" t="s">
        <v>1835</v>
      </c>
      <c r="B368" t="s">
        <v>1836</v>
      </c>
      <c r="C368" t="s">
        <v>1837</v>
      </c>
      <c r="D368"/>
      <c r="E368" s="7">
        <f>IF(OR(D368="Invalid",D368&lt;0),"",D368)</f>
        <v>0</v>
      </c>
      <c r="F368" t="s">
        <v>1838</v>
      </c>
      <c r="G368" t="s">
        <v>168</v>
      </c>
      <c r="H368" t="str">
        <f>PROPER(TRIM(G368))</f>
        <v>Sneha Kapoor</v>
      </c>
      <c r="I368" t="s">
        <v>108</v>
      </c>
      <c r="J368" t="str">
        <f>PROPER(TRIM(I368))</f>
        <v>Corporate</v>
      </c>
      <c r="K368" t="s">
        <v>27</v>
      </c>
      <c r="L368" t="s">
        <v>28</v>
      </c>
      <c r="M368" t="s">
        <v>29</v>
      </c>
      <c r="N368" t="s">
        <v>45</v>
      </c>
      <c r="O368" t="str">
        <f>TRIM(N368)</f>
        <v>Furniture</v>
      </c>
      <c r="P368" t="s">
        <v>46</v>
      </c>
      <c r="Q368" t="s">
        <v>1839</v>
      </c>
      <c r="R368" t="s">
        <v>48</v>
      </c>
      <c r="S368" t="s">
        <v>48</v>
      </c>
      <c r="T368">
        <v>2</v>
      </c>
      <c r="U368">
        <v>4418.28</v>
      </c>
      <c r="V368">
        <v>0</v>
      </c>
      <c r="W368">
        <v>8836.56</v>
      </c>
      <c r="X368">
        <v>5867.75</v>
      </c>
      <c r="Y368">
        <v>2968.81</v>
      </c>
      <c r="Z368" t="s">
        <v>34</v>
      </c>
      <c r="AA368" t="s">
        <v>35</v>
      </c>
    </row>
    <row r="369" spans="1:27">
      <c r="A369" t="s">
        <v>1840</v>
      </c>
      <c r="B369" t="s">
        <v>978</v>
      </c>
      <c r="C369" t="s">
        <v>1841</v>
      </c>
      <c r="D369"/>
      <c r="E369" s="7">
        <f>IF(OR(D369="Invalid",D369&lt;0),"",D369)</f>
        <v>0</v>
      </c>
      <c r="F369" t="s">
        <v>1842</v>
      </c>
      <c r="G369" t="s">
        <v>180</v>
      </c>
      <c r="H369" t="str">
        <f>PROPER(TRIM(G369))</f>
        <v>Rohan Mehta</v>
      </c>
      <c r="I369" t="s">
        <v>26</v>
      </c>
      <c r="J369" t="str">
        <f>PROPER(TRIM(I369))</f>
        <v>Consumer</v>
      </c>
      <c r="K369" t="s">
        <v>27</v>
      </c>
      <c r="L369" t="s">
        <v>506</v>
      </c>
      <c r="M369" t="s">
        <v>507</v>
      </c>
      <c r="N369" t="s">
        <v>30</v>
      </c>
      <c r="O369" t="str">
        <f>TRIM(N369)</f>
        <v>Office Supplies</v>
      </c>
      <c r="P369" t="s">
        <v>54</v>
      </c>
      <c r="Q369" t="s">
        <v>1843</v>
      </c>
      <c r="R369" t="s">
        <v>67</v>
      </c>
      <c r="S369" t="s">
        <v>67</v>
      </c>
      <c r="T369">
        <v>6</v>
      </c>
      <c r="U369">
        <v>3815.09</v>
      </c>
      <c r="V369">
        <v>0.15</v>
      </c>
      <c r="W369">
        <v>19456.96</v>
      </c>
      <c r="X369">
        <v>14520.06</v>
      </c>
      <c r="Y369">
        <v>4936.8999999999996</v>
      </c>
      <c r="Z369" t="s">
        <v>200</v>
      </c>
      <c r="AA369" t="s">
        <v>78</v>
      </c>
    </row>
    <row r="370" spans="1:27">
      <c r="A370" t="s">
        <v>1844</v>
      </c>
      <c r="B370" t="s">
        <v>1272</v>
      </c>
      <c r="C370" t="s">
        <v>1272</v>
      </c>
      <c r="D370"/>
      <c r="E370" s="7">
        <f>IF(OR(D370="Invalid",D370&lt;0),"",D370)</f>
        <v>0</v>
      </c>
      <c r="F370" t="s">
        <v>1845</v>
      </c>
      <c r="G370" t="s">
        <v>162</v>
      </c>
      <c r="H370" t="str">
        <f>PROPER(TRIM(G370))</f>
        <v>Aarav Sharma</v>
      </c>
      <c r="I370" t="s">
        <v>115</v>
      </c>
      <c r="J370" t="str">
        <f>PROPER(TRIM(I370))</f>
        <v>Home Office</v>
      </c>
      <c r="K370" t="s">
        <v>27</v>
      </c>
      <c r="L370" t="s">
        <v>28</v>
      </c>
      <c r="M370" t="s">
        <v>29</v>
      </c>
      <c r="N370" t="s">
        <v>86</v>
      </c>
      <c r="O370" t="str">
        <f>TRIM(N370)</f>
        <v>Technology</v>
      </c>
      <c r="P370" t="s">
        <v>87</v>
      </c>
      <c r="Q370" t="s">
        <v>1846</v>
      </c>
      <c r="R370" t="s">
        <v>48</v>
      </c>
      <c r="S370" t="s">
        <v>48</v>
      </c>
      <c r="T370">
        <v>9</v>
      </c>
      <c r="U370">
        <v>243.19</v>
      </c>
      <c r="V370">
        <v>0.05</v>
      </c>
      <c r="W370">
        <v>2079.27</v>
      </c>
      <c r="X370">
        <v>1512.17</v>
      </c>
      <c r="Y370">
        <v>567.1</v>
      </c>
      <c r="Z370" t="s">
        <v>124</v>
      </c>
      <c r="AA370" t="s">
        <v>125</v>
      </c>
    </row>
    <row r="371" spans="1:27">
      <c r="A371" t="s">
        <v>1847</v>
      </c>
      <c r="B371" t="s">
        <v>1531</v>
      </c>
      <c r="C371" t="s">
        <v>191</v>
      </c>
      <c r="D371"/>
      <c r="E371" s="7">
        <f>IF(OR(D371="Invalid",D371&lt;0),"",D371)</f>
        <v>0</v>
      </c>
      <c r="F371" t="s">
        <v>1848</v>
      </c>
      <c r="G371" t="s">
        <v>142</v>
      </c>
      <c r="H371" t="str">
        <f>PROPER(TRIM(G371))</f>
        <v>Priya Menon</v>
      </c>
      <c r="I371" t="s">
        <v>26</v>
      </c>
      <c r="J371" t="str">
        <f>PROPER(TRIM(I371))</f>
        <v>Consumer</v>
      </c>
      <c r="K371" t="s">
        <v>27</v>
      </c>
      <c r="L371" t="s">
        <v>506</v>
      </c>
      <c r="M371" t="s">
        <v>507</v>
      </c>
      <c r="N371" t="s">
        <v>30</v>
      </c>
      <c r="O371" t="str">
        <f>TRIM(N371)</f>
        <v>Office Supplies</v>
      </c>
      <c r="P371" t="s">
        <v>109</v>
      </c>
      <c r="Q371" t="s">
        <v>1849</v>
      </c>
      <c r="R371" t="s">
        <v>67</v>
      </c>
      <c r="S371" t="s">
        <v>67</v>
      </c>
      <c r="T371">
        <v>9</v>
      </c>
      <c r="U371">
        <v>1169.3699999999999</v>
      </c>
      <c r="V371">
        <v>0.15</v>
      </c>
      <c r="W371">
        <v>8945.68</v>
      </c>
      <c r="X371">
        <v>6740.35</v>
      </c>
      <c r="Y371">
        <v>2205.33</v>
      </c>
      <c r="Z371" t="s">
        <v>34</v>
      </c>
      <c r="AA371" t="s">
        <v>35</v>
      </c>
    </row>
    <row r="372" spans="1:27">
      <c r="A372" t="s">
        <v>1850</v>
      </c>
      <c r="B372" t="s">
        <v>1851</v>
      </c>
      <c r="C372" t="s">
        <v>1626</v>
      </c>
      <c r="D372"/>
      <c r="E372" s="7">
        <f>IF(OR(D372="Invalid",D372&lt;0),"",D372)</f>
        <v>0</v>
      </c>
      <c r="F372" t="s">
        <v>1852</v>
      </c>
      <c r="G372" t="s">
        <v>72</v>
      </c>
      <c r="H372" t="str">
        <f>PROPER(TRIM(G372))</f>
        <v>Ananya Rao</v>
      </c>
      <c r="I372" t="s">
        <v>41</v>
      </c>
      <c r="J372" t="str">
        <f>PROPER(TRIM(I372))</f>
        <v>Small Business</v>
      </c>
      <c r="K372" t="s">
        <v>73</v>
      </c>
      <c r="L372" t="s">
        <v>28</v>
      </c>
      <c r="M372" t="s">
        <v>135</v>
      </c>
      <c r="N372" t="s">
        <v>86</v>
      </c>
      <c r="O372" t="str">
        <f>TRIM(N372)</f>
        <v>Technology</v>
      </c>
      <c r="P372" t="s">
        <v>94</v>
      </c>
      <c r="Q372" t="s">
        <v>1853</v>
      </c>
      <c r="R372" t="s">
        <v>56</v>
      </c>
      <c r="S372" t="s">
        <v>56</v>
      </c>
      <c r="T372">
        <v>7</v>
      </c>
      <c r="U372">
        <v>2333.81</v>
      </c>
      <c r="V372">
        <v>0.2</v>
      </c>
      <c r="W372">
        <v>13069.34</v>
      </c>
      <c r="X372">
        <v>8768.59</v>
      </c>
      <c r="Y372">
        <v>4300.75</v>
      </c>
      <c r="Z372" t="s">
        <v>34</v>
      </c>
      <c r="AA372" t="s">
        <v>35</v>
      </c>
    </row>
    <row r="373" spans="1:27">
      <c r="A373" t="s">
        <v>1854</v>
      </c>
      <c r="B373" t="s">
        <v>1058</v>
      </c>
      <c r="C373" t="s">
        <v>1855</v>
      </c>
      <c r="D373"/>
      <c r="E373" s="7">
        <f>IF(OR(D373="Invalid",D373&lt;0),"",D373)</f>
        <v>0</v>
      </c>
      <c r="F373" t="s">
        <v>1856</v>
      </c>
      <c r="G373" t="s">
        <v>210</v>
      </c>
      <c r="H373" t="str">
        <f>PROPER(TRIM(G373))</f>
        <v>Diya Patel</v>
      </c>
      <c r="I373" t="s">
        <v>115</v>
      </c>
      <c r="J373" t="str">
        <f>PROPER(TRIM(I373))</f>
        <v>Home Office</v>
      </c>
      <c r="K373" t="s">
        <v>73</v>
      </c>
      <c r="L373" t="s">
        <v>74</v>
      </c>
      <c r="M373" t="s">
        <v>75</v>
      </c>
      <c r="N373" t="s">
        <v>30</v>
      </c>
      <c r="O373" t="str">
        <f>TRIM(N373)</f>
        <v>Office Supplies</v>
      </c>
      <c r="P373" t="s">
        <v>54</v>
      </c>
      <c r="Q373" t="s">
        <v>1857</v>
      </c>
      <c r="R373" t="s">
        <v>67</v>
      </c>
      <c r="S373" t="s">
        <v>67</v>
      </c>
      <c r="T373">
        <v>6</v>
      </c>
      <c r="U373">
        <v>1026.06</v>
      </c>
      <c r="W373">
        <v>4617.2700000000004</v>
      </c>
      <c r="X373">
        <v>2981.94</v>
      </c>
      <c r="Y373">
        <v>1635.33</v>
      </c>
      <c r="Z373" t="s">
        <v>124</v>
      </c>
      <c r="AA373" t="s">
        <v>78</v>
      </c>
    </row>
    <row r="374" spans="1:27">
      <c r="A374" t="s">
        <v>1858</v>
      </c>
      <c r="B374" t="s">
        <v>1859</v>
      </c>
      <c r="C374" t="s">
        <v>921</v>
      </c>
      <c r="D374"/>
      <c r="E374" s="7">
        <f>IF(OR(D374="Invalid",D374&lt;0),"",D374)</f>
        <v>0</v>
      </c>
      <c r="F374" t="s">
        <v>970</v>
      </c>
      <c r="G374" t="s">
        <v>366</v>
      </c>
      <c r="H374" t="str">
        <f>PROPER(TRIM(G374))</f>
        <v>Kabir Singh</v>
      </c>
      <c r="I374" t="s">
        <v>26</v>
      </c>
      <c r="J374" t="str">
        <f>PROPER(TRIM(I374))</f>
        <v>Consumer</v>
      </c>
      <c r="K374" t="s">
        <v>42</v>
      </c>
      <c r="L374" t="s">
        <v>311</v>
      </c>
      <c r="M374" t="s">
        <v>312</v>
      </c>
      <c r="N374" t="s">
        <v>45</v>
      </c>
      <c r="O374" t="str">
        <f>TRIM(N374)</f>
        <v>Furniture</v>
      </c>
      <c r="P374" t="s">
        <v>76</v>
      </c>
      <c r="Q374" t="s">
        <v>1860</v>
      </c>
      <c r="R374" t="s">
        <v>48</v>
      </c>
      <c r="S374" t="s">
        <v>48</v>
      </c>
      <c r="T374">
        <v>5</v>
      </c>
      <c r="U374">
        <v>1530.36</v>
      </c>
      <c r="V374">
        <v>0</v>
      </c>
      <c r="W374">
        <v>7651.8</v>
      </c>
      <c r="X374">
        <v>5171.78</v>
      </c>
      <c r="Y374">
        <v>2480.02</v>
      </c>
      <c r="Z374" t="s">
        <v>34</v>
      </c>
      <c r="AA374" t="s">
        <v>35</v>
      </c>
    </row>
    <row r="375" spans="1:27">
      <c r="A375" t="s">
        <v>1861</v>
      </c>
      <c r="B375" t="s">
        <v>1862</v>
      </c>
      <c r="C375" t="s">
        <v>1862</v>
      </c>
      <c r="D375"/>
      <c r="E375" s="7">
        <f>IF(OR(D375="Invalid",D375&lt;0),"",D375)</f>
        <v>0</v>
      </c>
      <c r="F375" t="s">
        <v>1863</v>
      </c>
      <c r="G375" t="s">
        <v>168</v>
      </c>
      <c r="H375" t="str">
        <f>PROPER(TRIM(G375))</f>
        <v>Sneha Kapoor</v>
      </c>
      <c r="I375" t="s">
        <v>41</v>
      </c>
      <c r="J375" t="str">
        <f>PROPER(TRIM(I375))</f>
        <v>Small Business</v>
      </c>
      <c r="K375" t="s">
        <v>27</v>
      </c>
      <c r="L375" t="s">
        <v>174</v>
      </c>
      <c r="M375" t="s">
        <v>175</v>
      </c>
      <c r="N375" t="s">
        <v>30</v>
      </c>
      <c r="O375" t="str">
        <f>TRIM(N375)</f>
        <v>Office Supplies</v>
      </c>
      <c r="P375" t="s">
        <v>156</v>
      </c>
      <c r="Q375" t="s">
        <v>1864</v>
      </c>
      <c r="R375" t="s">
        <v>33</v>
      </c>
      <c r="S375" t="s">
        <v>33</v>
      </c>
      <c r="T375">
        <v>9</v>
      </c>
      <c r="U375">
        <v>1118.68</v>
      </c>
      <c r="V375">
        <v>0</v>
      </c>
      <c r="W375">
        <v>10068.120000000001</v>
      </c>
      <c r="X375">
        <v>8595.3700000000008</v>
      </c>
      <c r="Y375">
        <v>1472.75</v>
      </c>
      <c r="Z375" t="s">
        <v>34</v>
      </c>
      <c r="AA375" t="s">
        <v>35</v>
      </c>
    </row>
    <row r="376" spans="1:27">
      <c r="A376" t="s">
        <v>1865</v>
      </c>
      <c r="B376" t="s">
        <v>1866</v>
      </c>
      <c r="C376" t="s">
        <v>1867</v>
      </c>
      <c r="D376"/>
      <c r="E376" s="7">
        <f>IF(OR(D376="Invalid",D376&lt;0),"",D376)</f>
        <v>0</v>
      </c>
      <c r="F376" t="s">
        <v>1868</v>
      </c>
      <c r="G376" t="s">
        <v>107</v>
      </c>
      <c r="H376" t="str">
        <f>PROPER(TRIM(G376))</f>
        <v>Aditi Sen</v>
      </c>
      <c r="I376" t="s">
        <v>41</v>
      </c>
      <c r="J376" t="str">
        <f>PROPER(TRIM(I376))</f>
        <v>Small Business</v>
      </c>
      <c r="K376" t="s">
        <v>27</v>
      </c>
      <c r="L376" t="s">
        <v>174</v>
      </c>
      <c r="M376" t="s">
        <v>175</v>
      </c>
      <c r="N376" t="s">
        <v>30</v>
      </c>
      <c r="O376" t="str">
        <f>TRIM(N376)</f>
        <v>Office Supplies</v>
      </c>
      <c r="P376" t="s">
        <v>109</v>
      </c>
      <c r="Q376" t="s">
        <v>1869</v>
      </c>
      <c r="R376" t="s">
        <v>67</v>
      </c>
      <c r="S376" t="s">
        <v>67</v>
      </c>
      <c r="T376">
        <v>6</v>
      </c>
      <c r="U376">
        <v>2393.25</v>
      </c>
      <c r="V376">
        <v>0</v>
      </c>
      <c r="W376">
        <v>14359.5</v>
      </c>
      <c r="X376">
        <v>8117.71</v>
      </c>
      <c r="Y376">
        <v>6241.79</v>
      </c>
      <c r="Z376" t="s">
        <v>34</v>
      </c>
      <c r="AA376" t="s">
        <v>35</v>
      </c>
    </row>
    <row r="377" spans="1:27">
      <c r="A377" t="s">
        <v>1870</v>
      </c>
      <c r="B377" t="s">
        <v>1871</v>
      </c>
      <c r="C377" t="s">
        <v>1872</v>
      </c>
      <c r="D377"/>
      <c r="E377" s="7">
        <f>IF(OR(D377="Invalid",D377&lt;0),"",D377)</f>
        <v>0</v>
      </c>
      <c r="F377" t="s">
        <v>1873</v>
      </c>
      <c r="G377" t="s">
        <v>83</v>
      </c>
      <c r="H377" t="str">
        <f>PROPER(TRIM(G377))</f>
        <v>Vikram Iyer</v>
      </c>
      <c r="I377" t="s">
        <v>26</v>
      </c>
      <c r="J377" t="str">
        <f>PROPER(TRIM(I377))</f>
        <v>Consumer</v>
      </c>
      <c r="K377" t="s">
        <v>27</v>
      </c>
      <c r="L377" t="s">
        <v>506</v>
      </c>
      <c r="M377" t="s">
        <v>507</v>
      </c>
      <c r="N377" t="s">
        <v>45</v>
      </c>
      <c r="O377" t="str">
        <f>TRIM(N377)</f>
        <v>Furniture</v>
      </c>
      <c r="P377" t="s">
        <v>76</v>
      </c>
      <c r="Q377" t="s">
        <v>1874</v>
      </c>
      <c r="R377" t="s">
        <v>48</v>
      </c>
      <c r="S377" t="s">
        <v>48</v>
      </c>
      <c r="T377">
        <v>3</v>
      </c>
      <c r="U377">
        <v>1166.6099999999999</v>
      </c>
      <c r="V377">
        <v>0.25</v>
      </c>
      <c r="W377">
        <v>2624.87</v>
      </c>
      <c r="X377">
        <v>2253.88</v>
      </c>
      <c r="Y377">
        <v>370.99</v>
      </c>
      <c r="Z377" t="s">
        <v>34</v>
      </c>
      <c r="AA377" t="s">
        <v>35</v>
      </c>
    </row>
    <row r="378" spans="1:27">
      <c r="A378" t="s">
        <v>1875</v>
      </c>
      <c r="B378" t="s">
        <v>1876</v>
      </c>
      <c r="C378" t="s">
        <v>1779</v>
      </c>
      <c r="D378"/>
      <c r="E378" s="7">
        <f>IF(OR(D378="Invalid",D378&lt;0),"",D378)</f>
        <v>0</v>
      </c>
      <c r="F378" t="s">
        <v>1877</v>
      </c>
      <c r="G378" t="s">
        <v>53</v>
      </c>
      <c r="H378" t="str">
        <f>PROPER(TRIM(G378))</f>
        <v>Isha Nair</v>
      </c>
      <c r="I378" t="s">
        <v>41</v>
      </c>
      <c r="J378" t="str">
        <f>PROPER(TRIM(I378))</f>
        <v>Small Business</v>
      </c>
      <c r="K378" t="s">
        <v>42</v>
      </c>
      <c r="L378" t="s">
        <v>186</v>
      </c>
      <c r="M378" t="s">
        <v>187</v>
      </c>
      <c r="N378" t="s">
        <v>45</v>
      </c>
      <c r="O378" t="str">
        <f>TRIM(N378)</f>
        <v>Furniture</v>
      </c>
      <c r="P378" t="s">
        <v>76</v>
      </c>
      <c r="Q378" t="s">
        <v>1878</v>
      </c>
      <c r="R378" t="s">
        <v>56</v>
      </c>
      <c r="S378" t="s">
        <v>56</v>
      </c>
      <c r="T378">
        <v>6</v>
      </c>
      <c r="U378">
        <v>1844.78</v>
      </c>
      <c r="V378">
        <v>0.2</v>
      </c>
      <c r="W378">
        <v>8854.94</v>
      </c>
      <c r="X378">
        <v>7433.95</v>
      </c>
      <c r="Y378">
        <v>1420.99</v>
      </c>
      <c r="Z378" t="s">
        <v>34</v>
      </c>
      <c r="AA378" t="s">
        <v>35</v>
      </c>
    </row>
    <row r="379" spans="1:27">
      <c r="A379" t="s">
        <v>1879</v>
      </c>
      <c r="B379" t="s">
        <v>1521</v>
      </c>
      <c r="C379" t="s">
        <v>1880</v>
      </c>
      <c r="D379"/>
      <c r="E379" s="7">
        <f>IF(OR(D379="Invalid",D379&lt;0),"",D379)</f>
        <v>0</v>
      </c>
      <c r="F379" t="s">
        <v>1881</v>
      </c>
      <c r="G379" t="s">
        <v>366</v>
      </c>
      <c r="H379" t="str">
        <f>PROPER(TRIM(G379))</f>
        <v>Kabir Singh</v>
      </c>
      <c r="I379" t="s">
        <v>41</v>
      </c>
      <c r="J379" t="str">
        <f>PROPER(TRIM(I379))</f>
        <v>Small Business</v>
      </c>
      <c r="K379" t="s">
        <v>42</v>
      </c>
      <c r="L379" t="s">
        <v>43</v>
      </c>
      <c r="M379" t="s">
        <v>44</v>
      </c>
      <c r="N379" t="s">
        <v>30</v>
      </c>
      <c r="O379" t="str">
        <f>TRIM(N379)</f>
        <v>Office Supplies</v>
      </c>
      <c r="P379" t="s">
        <v>1882</v>
      </c>
      <c r="Q379" t="s">
        <v>1883</v>
      </c>
      <c r="R379" t="s">
        <v>48</v>
      </c>
      <c r="S379" t="s">
        <v>48</v>
      </c>
      <c r="T379">
        <v>1</v>
      </c>
      <c r="U379">
        <v>2564.7399999999998</v>
      </c>
      <c r="V379">
        <v>0</v>
      </c>
      <c r="W379">
        <v>2564.7399999999998</v>
      </c>
      <c r="X379">
        <v>1754.58</v>
      </c>
      <c r="Y379">
        <v>810.16</v>
      </c>
      <c r="Z379" t="s">
        <v>34</v>
      </c>
      <c r="AA379" t="s">
        <v>35</v>
      </c>
    </row>
    <row r="380" spans="1:27">
      <c r="A380" t="s">
        <v>1884</v>
      </c>
      <c r="B380" t="s">
        <v>1885</v>
      </c>
      <c r="C380" t="s">
        <v>1885</v>
      </c>
      <c r="D380"/>
      <c r="E380" s="7">
        <f>IF(OR(D380="Invalid",D380&lt;0),"",D380)</f>
        <v>0</v>
      </c>
      <c r="F380" t="s">
        <v>1886</v>
      </c>
      <c r="G380" t="s">
        <v>40</v>
      </c>
      <c r="H380" t="str">
        <f>PROPER(TRIM(G380))</f>
        <v>Mira Das</v>
      </c>
      <c r="I380" t="s">
        <v>26</v>
      </c>
      <c r="J380" t="str">
        <f>PROPER(TRIM(I380))</f>
        <v>Consumer</v>
      </c>
      <c r="K380" t="s">
        <v>73</v>
      </c>
      <c r="L380" t="s">
        <v>249</v>
      </c>
      <c r="M380" t="s">
        <v>250</v>
      </c>
      <c r="N380" t="s">
        <v>86</v>
      </c>
      <c r="O380" t="str">
        <f>TRIM(N380)</f>
        <v>Technology</v>
      </c>
      <c r="P380" t="s">
        <v>87</v>
      </c>
      <c r="Q380" t="s">
        <v>1887</v>
      </c>
      <c r="R380" t="s">
        <v>67</v>
      </c>
      <c r="S380" t="s">
        <v>67</v>
      </c>
      <c r="T380">
        <v>2</v>
      </c>
      <c r="U380">
        <v>3910.61</v>
      </c>
      <c r="V380">
        <v>0</v>
      </c>
      <c r="W380">
        <v>7821.22</v>
      </c>
      <c r="X380">
        <v>4994.46</v>
      </c>
      <c r="Y380">
        <v>2826.76</v>
      </c>
      <c r="Z380" t="s">
        <v>34</v>
      </c>
      <c r="AA380" t="s">
        <v>35</v>
      </c>
    </row>
    <row r="381" spans="1:27">
      <c r="A381" t="s">
        <v>1888</v>
      </c>
      <c r="B381" t="s">
        <v>1889</v>
      </c>
      <c r="C381" t="s">
        <v>1890</v>
      </c>
      <c r="D381"/>
      <c r="E381" s="7">
        <f>IF(OR(D381="Invalid",D381&lt;0),"",D381)</f>
        <v>0</v>
      </c>
      <c r="F381" t="s">
        <v>1891</v>
      </c>
      <c r="G381" t="s">
        <v>40</v>
      </c>
      <c r="H381" t="str">
        <f>PROPER(TRIM(G381))</f>
        <v>Mira Das</v>
      </c>
      <c r="I381" t="s">
        <v>41</v>
      </c>
      <c r="J381" t="str">
        <f>PROPER(TRIM(I381))</f>
        <v>Small Business</v>
      </c>
      <c r="K381" t="s">
        <v>62</v>
      </c>
      <c r="L381" t="s">
        <v>242</v>
      </c>
      <c r="M381" t="s">
        <v>243</v>
      </c>
      <c r="N381" t="s">
        <v>30</v>
      </c>
      <c r="O381" t="str">
        <f>TRIM(N381)</f>
        <v>Office Supplies</v>
      </c>
      <c r="P381" t="s">
        <v>31</v>
      </c>
      <c r="Q381" t="s">
        <v>1892</v>
      </c>
      <c r="R381" t="s">
        <v>67</v>
      </c>
      <c r="S381" t="s">
        <v>67</v>
      </c>
      <c r="T381">
        <v>7</v>
      </c>
      <c r="U381">
        <v>1136.68</v>
      </c>
      <c r="W381">
        <v>7956.76</v>
      </c>
      <c r="X381">
        <v>4799.54</v>
      </c>
      <c r="Y381">
        <v>3157.22</v>
      </c>
      <c r="Z381" t="s">
        <v>34</v>
      </c>
      <c r="AA381" t="s">
        <v>35</v>
      </c>
    </row>
    <row r="382" spans="1:27">
      <c r="A382" t="s">
        <v>1893</v>
      </c>
      <c r="B382" t="s">
        <v>1894</v>
      </c>
      <c r="C382" t="s">
        <v>1420</v>
      </c>
      <c r="D382"/>
      <c r="E382" s="7">
        <f>IF(OR(D382="Invalid",D382&lt;0),"",D382)</f>
        <v>0</v>
      </c>
      <c r="F382" t="s">
        <v>1895</v>
      </c>
      <c r="G382" t="s">
        <v>83</v>
      </c>
      <c r="H382" t="str">
        <f>PROPER(TRIM(G382))</f>
        <v>Vikram Iyer</v>
      </c>
      <c r="I382" t="s">
        <v>26</v>
      </c>
      <c r="J382" t="str">
        <f>PROPER(TRIM(I382))</f>
        <v>Consumer</v>
      </c>
      <c r="K382" t="s">
        <v>73</v>
      </c>
      <c r="L382" t="s">
        <v>74</v>
      </c>
      <c r="M382" t="s">
        <v>75</v>
      </c>
      <c r="N382" t="s">
        <v>45</v>
      </c>
      <c r="O382" t="str">
        <f>TRIM(N382)</f>
        <v>Furniture</v>
      </c>
      <c r="P382" t="s">
        <v>204</v>
      </c>
      <c r="Q382" t="s">
        <v>1896</v>
      </c>
      <c r="R382" t="s">
        <v>48</v>
      </c>
      <c r="S382" t="s">
        <v>48</v>
      </c>
      <c r="T382">
        <v>5</v>
      </c>
      <c r="U382">
        <v>2235.85</v>
      </c>
      <c r="V382">
        <v>0.25</v>
      </c>
      <c r="W382">
        <v>8384.44</v>
      </c>
      <c r="X382">
        <v>4765.96</v>
      </c>
      <c r="Y382">
        <v>3618.48</v>
      </c>
      <c r="Z382" t="s">
        <v>34</v>
      </c>
      <c r="AA382" t="s">
        <v>125</v>
      </c>
    </row>
    <row r="383" spans="1:27">
      <c r="A383" t="s">
        <v>1897</v>
      </c>
      <c r="B383" t="s">
        <v>1898</v>
      </c>
      <c r="C383" t="s">
        <v>1899</v>
      </c>
      <c r="D383"/>
      <c r="E383" s="7">
        <f>IF(OR(D383="Invalid",D383&lt;0),"",D383)</f>
        <v>0</v>
      </c>
      <c r="F383" t="s">
        <v>1900</v>
      </c>
      <c r="G383" t="s">
        <v>61</v>
      </c>
      <c r="H383" t="str">
        <f>PROPER(TRIM(G383))</f>
        <v>Arjun Bose</v>
      </c>
      <c r="I383" t="s">
        <v>1901</v>
      </c>
      <c r="J383" t="str">
        <f>PROPER(TRIM(I383))</f>
        <v>Home Office</v>
      </c>
      <c r="K383" t="s">
        <v>27</v>
      </c>
      <c r="L383" t="s">
        <v>506</v>
      </c>
      <c r="M383" t="s">
        <v>507</v>
      </c>
      <c r="N383" t="s">
        <v>30</v>
      </c>
      <c r="O383" t="str">
        <f>TRIM(N383)</f>
        <v>Office Supplies</v>
      </c>
      <c r="P383" t="s">
        <v>198</v>
      </c>
      <c r="Q383" t="s">
        <v>1902</v>
      </c>
      <c r="R383" t="s">
        <v>67</v>
      </c>
      <c r="S383" t="s">
        <v>67</v>
      </c>
      <c r="T383">
        <v>4</v>
      </c>
      <c r="U383">
        <v>4387.1499999999996</v>
      </c>
      <c r="V383">
        <v>0.05</v>
      </c>
      <c r="W383">
        <v>16671.169999999998</v>
      </c>
      <c r="X383">
        <v>10833.19</v>
      </c>
      <c r="Y383">
        <v>5837.98</v>
      </c>
      <c r="Z383" t="s">
        <v>200</v>
      </c>
      <c r="AA383" t="s">
        <v>78</v>
      </c>
    </row>
    <row r="384" spans="1:27">
      <c r="A384" t="s">
        <v>1903</v>
      </c>
      <c r="B384" t="s">
        <v>1904</v>
      </c>
      <c r="C384" t="s">
        <v>555</v>
      </c>
      <c r="D384"/>
      <c r="E384" s="7">
        <f>IF(OR(D384="Invalid",D384&lt;0),"",D384)</f>
        <v>0</v>
      </c>
      <c r="F384" t="s">
        <v>203</v>
      </c>
      <c r="G384" t="s">
        <v>61</v>
      </c>
      <c r="H384" t="str">
        <f>PROPER(TRIM(G384))</f>
        <v>Arjun Bose</v>
      </c>
      <c r="I384" t="s">
        <v>41</v>
      </c>
      <c r="J384" t="str">
        <f>PROPER(TRIM(I384))</f>
        <v>Small Business</v>
      </c>
      <c r="K384" t="s">
        <v>42</v>
      </c>
      <c r="L384" t="s">
        <v>186</v>
      </c>
      <c r="M384" t="s">
        <v>187</v>
      </c>
      <c r="N384" t="s">
        <v>1905</v>
      </c>
      <c r="O384" t="str">
        <f>TRIM(N384)</f>
        <v>TECHNOLOGY</v>
      </c>
      <c r="P384" t="s">
        <v>223</v>
      </c>
      <c r="Q384" t="s">
        <v>1906</v>
      </c>
      <c r="R384" t="s">
        <v>56</v>
      </c>
      <c r="S384" t="s">
        <v>56</v>
      </c>
      <c r="T384">
        <v>3</v>
      </c>
      <c r="U384">
        <v>4361.8500000000004</v>
      </c>
      <c r="V384">
        <v>0.2</v>
      </c>
      <c r="W384">
        <v>10468.44</v>
      </c>
      <c r="X384">
        <v>8399.8700000000008</v>
      </c>
      <c r="Y384">
        <v>2068.5700000000002</v>
      </c>
      <c r="Z384" t="s">
        <v>34</v>
      </c>
      <c r="AA384" t="s">
        <v>35</v>
      </c>
    </row>
    <row r="385" spans="1:27">
      <c r="A385" t="s">
        <v>1907</v>
      </c>
      <c r="B385" t="s">
        <v>1517</v>
      </c>
      <c r="C385" t="s">
        <v>1075</v>
      </c>
      <c r="D385"/>
      <c r="E385" s="7">
        <f>IF(OR(D385="Invalid",D385&lt;0),"",D385)</f>
        <v>0</v>
      </c>
      <c r="F385" t="s">
        <v>1908</v>
      </c>
      <c r="G385" t="s">
        <v>83</v>
      </c>
      <c r="H385" t="str">
        <f>PROPER(TRIM(G385))</f>
        <v>Vikram Iyer</v>
      </c>
      <c r="I385" t="s">
        <v>108</v>
      </c>
      <c r="J385" t="str">
        <f>PROPER(TRIM(I385))</f>
        <v>Corporate</v>
      </c>
      <c r="K385" t="s">
        <v>42</v>
      </c>
      <c r="L385" t="s">
        <v>121</v>
      </c>
      <c r="M385" t="s">
        <v>122</v>
      </c>
      <c r="N385" t="s">
        <v>30</v>
      </c>
      <c r="O385" t="str">
        <f>TRIM(N385)</f>
        <v>Office Supplies</v>
      </c>
      <c r="P385" t="s">
        <v>54</v>
      </c>
      <c r="Q385" t="s">
        <v>1909</v>
      </c>
      <c r="R385" t="s">
        <v>56</v>
      </c>
      <c r="S385" t="s">
        <v>56</v>
      </c>
      <c r="T385">
        <v>2</v>
      </c>
      <c r="U385">
        <v>2242.75</v>
      </c>
      <c r="V385">
        <v>0</v>
      </c>
      <c r="W385">
        <v>4485.5</v>
      </c>
      <c r="X385">
        <v>3131.86</v>
      </c>
      <c r="Y385">
        <v>1353.64</v>
      </c>
      <c r="Z385" t="s">
        <v>34</v>
      </c>
      <c r="AA385" t="s">
        <v>78</v>
      </c>
    </row>
    <row r="386" spans="1:27">
      <c r="A386" t="s">
        <v>1910</v>
      </c>
      <c r="B386" t="s">
        <v>1911</v>
      </c>
      <c r="C386" t="s">
        <v>1912</v>
      </c>
      <c r="D386"/>
      <c r="E386" s="7">
        <f>IF(OR(D386="Invalid",D386&lt;0),"",D386)</f>
        <v>0</v>
      </c>
      <c r="F386" t="s">
        <v>1913</v>
      </c>
      <c r="G386" t="s">
        <v>180</v>
      </c>
      <c r="H386" t="str">
        <f>PROPER(TRIM(G386))</f>
        <v>Rohan Mehta</v>
      </c>
      <c r="I386" t="s">
        <v>26</v>
      </c>
      <c r="J386" t="str">
        <f>PROPER(TRIM(I386))</f>
        <v>Consumer</v>
      </c>
      <c r="K386" t="s">
        <v>42</v>
      </c>
      <c r="L386" t="s">
        <v>311</v>
      </c>
      <c r="M386" t="s">
        <v>312</v>
      </c>
      <c r="N386" t="s">
        <v>86</v>
      </c>
      <c r="O386" t="str">
        <f>TRIM(N386)</f>
        <v>Technology</v>
      </c>
      <c r="P386" t="s">
        <v>94</v>
      </c>
      <c r="Q386" t="s">
        <v>1914</v>
      </c>
      <c r="R386" t="s">
        <v>67</v>
      </c>
      <c r="S386" t="s">
        <v>67</v>
      </c>
      <c r="T386">
        <v>2</v>
      </c>
      <c r="U386">
        <v>1881.4</v>
      </c>
      <c r="V386">
        <v>0.25</v>
      </c>
      <c r="W386">
        <v>2822.1</v>
      </c>
      <c r="X386">
        <v>1624.57</v>
      </c>
      <c r="Y386">
        <v>1197.53</v>
      </c>
      <c r="Z386" t="s">
        <v>34</v>
      </c>
      <c r="AA386" t="s">
        <v>125</v>
      </c>
    </row>
    <row r="387" spans="1:27">
      <c r="A387" t="s">
        <v>1915</v>
      </c>
      <c r="B387" t="s">
        <v>996</v>
      </c>
      <c r="C387" t="s">
        <v>1916</v>
      </c>
      <c r="D387"/>
      <c r="E387" s="7">
        <f>IF(OR(D387="Invalid",D387&lt;0),"",D387)</f>
        <v>0</v>
      </c>
      <c r="F387" t="s">
        <v>1917</v>
      </c>
      <c r="G387" t="s">
        <v>61</v>
      </c>
      <c r="H387" t="str">
        <f>PROPER(TRIM(G387))</f>
        <v>Arjun Bose</v>
      </c>
      <c r="I387" t="s">
        <v>26</v>
      </c>
      <c r="J387" t="str">
        <f>PROPER(TRIM(I387))</f>
        <v>Consumer</v>
      </c>
      <c r="K387" t="s">
        <v>27</v>
      </c>
      <c r="L387" t="s">
        <v>323</v>
      </c>
      <c r="M387" t="s">
        <v>324</v>
      </c>
      <c r="N387" t="s">
        <v>30</v>
      </c>
      <c r="O387" t="str">
        <f>TRIM(N387)</f>
        <v>Office Supplies</v>
      </c>
      <c r="P387" t="s">
        <v>109</v>
      </c>
      <c r="Q387" t="s">
        <v>1918</v>
      </c>
      <c r="R387" t="s">
        <v>67</v>
      </c>
      <c r="S387" t="s">
        <v>67</v>
      </c>
      <c r="T387">
        <v>6</v>
      </c>
      <c r="U387">
        <v>365.76</v>
      </c>
      <c r="V387">
        <v>0.1</v>
      </c>
      <c r="W387">
        <v>1975.1</v>
      </c>
      <c r="X387">
        <v>1115.3499999999999</v>
      </c>
      <c r="Y387">
        <v>859.75</v>
      </c>
      <c r="Z387" t="s">
        <v>34</v>
      </c>
      <c r="AA387" t="s">
        <v>35</v>
      </c>
    </row>
    <row r="388" spans="1:27">
      <c r="A388" t="s">
        <v>1919</v>
      </c>
      <c r="B388" t="s">
        <v>1397</v>
      </c>
      <c r="C388" t="s">
        <v>1920</v>
      </c>
      <c r="D388"/>
      <c r="E388" s="7">
        <f>IF(OR(D388="Invalid",D388&lt;0),"",D388)</f>
        <v>0</v>
      </c>
      <c r="F388" t="s">
        <v>1921</v>
      </c>
      <c r="G388" t="s">
        <v>168</v>
      </c>
      <c r="H388" t="str">
        <f>PROPER(TRIM(G388))</f>
        <v>Sneha Kapoor</v>
      </c>
      <c r="I388" t="s">
        <v>26</v>
      </c>
      <c r="J388" t="str">
        <f>PROPER(TRIM(I388))</f>
        <v>Consumer</v>
      </c>
      <c r="K388" t="s">
        <v>73</v>
      </c>
      <c r="L388" t="s">
        <v>74</v>
      </c>
      <c r="M388" t="s">
        <v>75</v>
      </c>
      <c r="N388" t="s">
        <v>45</v>
      </c>
      <c r="O388" t="str">
        <f>TRIM(N388)</f>
        <v>Furniture</v>
      </c>
      <c r="P388" t="s">
        <v>65</v>
      </c>
      <c r="Q388" t="s">
        <v>1922</v>
      </c>
      <c r="R388" t="s">
        <v>33</v>
      </c>
      <c r="S388" t="s">
        <v>33</v>
      </c>
      <c r="T388">
        <v>8</v>
      </c>
      <c r="U388">
        <v>2786.66</v>
      </c>
      <c r="V388">
        <v>0.1</v>
      </c>
      <c r="W388">
        <v>20063.95</v>
      </c>
      <c r="X388">
        <v>14363.38</v>
      </c>
      <c r="Y388">
        <v>5700.57</v>
      </c>
      <c r="Z388" t="s">
        <v>34</v>
      </c>
      <c r="AA388" t="s">
        <v>35</v>
      </c>
    </row>
    <row r="389" spans="1:27">
      <c r="A389" t="s">
        <v>1923</v>
      </c>
      <c r="B389" t="s">
        <v>944</v>
      </c>
      <c r="C389" t="s">
        <v>1118</v>
      </c>
      <c r="D389"/>
      <c r="E389" s="7">
        <f>IF(OR(D389="Invalid",D389&lt;0),"",D389)</f>
        <v>0</v>
      </c>
      <c r="F389" t="s">
        <v>1924</v>
      </c>
      <c r="G389" t="s">
        <v>142</v>
      </c>
      <c r="H389" t="str">
        <f>PROPER(TRIM(G389))</f>
        <v>Priya Menon</v>
      </c>
      <c r="I389" t="s">
        <v>41</v>
      </c>
      <c r="J389" t="str">
        <f>PROPER(TRIM(I389))</f>
        <v>Small Business</v>
      </c>
      <c r="K389" t="s">
        <v>73</v>
      </c>
      <c r="L389" t="s">
        <v>84</v>
      </c>
      <c r="M389" t="s">
        <v>85</v>
      </c>
      <c r="N389" t="s">
        <v>45</v>
      </c>
      <c r="O389" t="str">
        <f>TRIM(N389)</f>
        <v>Furniture</v>
      </c>
      <c r="P389" t="s">
        <v>76</v>
      </c>
      <c r="Q389" t="s">
        <v>1925</v>
      </c>
      <c r="R389" t="s">
        <v>67</v>
      </c>
      <c r="S389" t="s">
        <v>67</v>
      </c>
      <c r="T389">
        <v>5</v>
      </c>
      <c r="U389">
        <v>352.86</v>
      </c>
      <c r="V389">
        <v>0</v>
      </c>
      <c r="W389">
        <v>1764.3</v>
      </c>
      <c r="X389">
        <v>1332.49</v>
      </c>
      <c r="Y389">
        <v>431.81</v>
      </c>
      <c r="Z389" t="s">
        <v>137</v>
      </c>
      <c r="AA389" t="s">
        <v>78</v>
      </c>
    </row>
    <row r="390" spans="1:27">
      <c r="A390" t="s">
        <v>1926</v>
      </c>
      <c r="B390" t="s">
        <v>1927</v>
      </c>
      <c r="C390" t="s">
        <v>1928</v>
      </c>
      <c r="D390"/>
      <c r="E390" s="7">
        <f>IF(OR(D390="Invalid",D390&lt;0),"",D390)</f>
        <v>0</v>
      </c>
      <c r="F390" t="s">
        <v>1929</v>
      </c>
      <c r="G390" t="s">
        <v>53</v>
      </c>
      <c r="H390" t="str">
        <f>PROPER(TRIM(G390))</f>
        <v>Isha Nair</v>
      </c>
      <c r="I390" t="s">
        <v>41</v>
      </c>
      <c r="J390" t="str">
        <f>PROPER(TRIM(I390))</f>
        <v>Small Business</v>
      </c>
      <c r="K390" t="s">
        <v>73</v>
      </c>
      <c r="L390" t="s">
        <v>235</v>
      </c>
      <c r="M390" t="s">
        <v>236</v>
      </c>
      <c r="N390" t="s">
        <v>45</v>
      </c>
      <c r="O390" t="str">
        <f>TRIM(N390)</f>
        <v>Furniture</v>
      </c>
      <c r="P390" t="s">
        <v>76</v>
      </c>
      <c r="Q390" t="s">
        <v>1930</v>
      </c>
      <c r="R390" t="s">
        <v>67</v>
      </c>
      <c r="S390" t="s">
        <v>67</v>
      </c>
      <c r="T390">
        <v>3</v>
      </c>
      <c r="U390">
        <v>3128.59</v>
      </c>
      <c r="V390">
        <v>0</v>
      </c>
      <c r="W390">
        <v>9385.77</v>
      </c>
      <c r="X390">
        <v>6872.44</v>
      </c>
      <c r="Y390">
        <v>2783.66</v>
      </c>
      <c r="Z390" t="s">
        <v>34</v>
      </c>
      <c r="AA390" t="s">
        <v>35</v>
      </c>
    </row>
    <row r="391" spans="1:27">
      <c r="A391" t="s">
        <v>1931</v>
      </c>
      <c r="B391" t="s">
        <v>1932</v>
      </c>
      <c r="C391" t="s">
        <v>349</v>
      </c>
      <c r="D391"/>
      <c r="E391" s="7">
        <f>IF(OR(D391="Invalid",D391&lt;0),"",D391)</f>
        <v>0</v>
      </c>
      <c r="F391" t="s">
        <v>1933</v>
      </c>
      <c r="G391" t="s">
        <v>210</v>
      </c>
      <c r="H391" t="str">
        <f>PROPER(TRIM(G391))</f>
        <v>Diya Patel</v>
      </c>
      <c r="I391" t="s">
        <v>108</v>
      </c>
      <c r="J391" t="str">
        <f>PROPER(TRIM(I391))</f>
        <v>Corporate</v>
      </c>
      <c r="K391" t="s">
        <v>73</v>
      </c>
      <c r="L391" t="s">
        <v>235</v>
      </c>
      <c r="M391" t="s">
        <v>236</v>
      </c>
      <c r="N391" t="s">
        <v>86</v>
      </c>
      <c r="O391" t="str">
        <f>TRIM(N391)</f>
        <v>Technology</v>
      </c>
      <c r="P391" t="s">
        <v>382</v>
      </c>
      <c r="Q391" t="s">
        <v>1934</v>
      </c>
      <c r="R391" t="s">
        <v>33</v>
      </c>
      <c r="S391" t="s">
        <v>33</v>
      </c>
      <c r="T391">
        <v>5</v>
      </c>
      <c r="U391">
        <v>1937.54</v>
      </c>
      <c r="V391">
        <v>0.2</v>
      </c>
      <c r="W391">
        <v>7750.16</v>
      </c>
      <c r="X391">
        <v>5434.3</v>
      </c>
      <c r="Y391">
        <v>2315.86</v>
      </c>
      <c r="Z391" t="s">
        <v>137</v>
      </c>
      <c r="AA391" t="s">
        <v>78</v>
      </c>
    </row>
    <row r="392" spans="1:27">
      <c r="A392" t="s">
        <v>1935</v>
      </c>
      <c r="B392" t="s">
        <v>1936</v>
      </c>
      <c r="C392" t="s">
        <v>484</v>
      </c>
      <c r="D392"/>
      <c r="E392" s="7">
        <f>IF(OR(D392="Invalid",D392&lt;0),"",D392)</f>
        <v>0</v>
      </c>
      <c r="F392" t="s">
        <v>1937</v>
      </c>
      <c r="G392" t="s">
        <v>53</v>
      </c>
      <c r="H392" t="str">
        <f>PROPER(TRIM(G392))</f>
        <v>Isha Nair</v>
      </c>
      <c r="I392" t="s">
        <v>26</v>
      </c>
      <c r="J392" t="str">
        <f>PROPER(TRIM(I392))</f>
        <v>Consumer</v>
      </c>
      <c r="K392" t="s">
        <v>73</v>
      </c>
      <c r="L392" t="s">
        <v>235</v>
      </c>
      <c r="M392" t="s">
        <v>236</v>
      </c>
      <c r="N392" t="s">
        <v>45</v>
      </c>
      <c r="O392" t="str">
        <f>TRIM(N392)</f>
        <v>Furniture</v>
      </c>
      <c r="P392" t="s">
        <v>65</v>
      </c>
      <c r="Q392" t="s">
        <v>1938</v>
      </c>
      <c r="R392" t="s">
        <v>67</v>
      </c>
      <c r="S392" t="s">
        <v>67</v>
      </c>
      <c r="T392">
        <v>4</v>
      </c>
      <c r="U392">
        <v>1917.26</v>
      </c>
      <c r="V392">
        <v>0.2</v>
      </c>
      <c r="W392">
        <v>6135.23</v>
      </c>
      <c r="X392">
        <v>3439.79</v>
      </c>
      <c r="Y392">
        <v>2695.44</v>
      </c>
      <c r="Z392" t="s">
        <v>34</v>
      </c>
      <c r="AA392" t="s">
        <v>35</v>
      </c>
    </row>
    <row r="393" spans="1:27">
      <c r="A393" t="s">
        <v>1939</v>
      </c>
      <c r="B393" t="s">
        <v>1920</v>
      </c>
      <c r="C393" t="s">
        <v>1940</v>
      </c>
      <c r="D393"/>
      <c r="E393" s="7">
        <f>IF(OR(D393="Invalid",D393&lt;0),"",D393)</f>
        <v>0</v>
      </c>
      <c r="F393" t="s">
        <v>1941</v>
      </c>
      <c r="G393" t="s">
        <v>210</v>
      </c>
      <c r="H393" t="str">
        <f>PROPER(TRIM(G393))</f>
        <v>Diya Patel</v>
      </c>
      <c r="I393" t="s">
        <v>26</v>
      </c>
      <c r="J393" t="str">
        <f>PROPER(TRIM(I393))</f>
        <v>Consumer</v>
      </c>
      <c r="K393" t="s">
        <v>62</v>
      </c>
      <c r="L393" t="s">
        <v>229</v>
      </c>
      <c r="M393" t="s">
        <v>230</v>
      </c>
      <c r="N393" t="s">
        <v>30</v>
      </c>
      <c r="O393" t="str">
        <f>TRIM(N393)</f>
        <v>Office Supplies</v>
      </c>
      <c r="P393" t="s">
        <v>156</v>
      </c>
      <c r="Q393" t="s">
        <v>1942</v>
      </c>
      <c r="R393" t="s">
        <v>56</v>
      </c>
      <c r="S393" t="s">
        <v>56</v>
      </c>
      <c r="T393">
        <v>1</v>
      </c>
      <c r="U393">
        <v>714.43</v>
      </c>
      <c r="V393">
        <v>0</v>
      </c>
      <c r="W393">
        <v>714.43</v>
      </c>
      <c r="X393">
        <v>565.44000000000005</v>
      </c>
      <c r="Y393">
        <v>148.99</v>
      </c>
      <c r="Z393" t="s">
        <v>34</v>
      </c>
      <c r="AA393" t="s">
        <v>35</v>
      </c>
    </row>
    <row r="394" spans="1:27">
      <c r="A394" t="s">
        <v>1943</v>
      </c>
      <c r="B394" t="s">
        <v>1944</v>
      </c>
      <c r="C394" t="s">
        <v>1945</v>
      </c>
      <c r="D394"/>
      <c r="E394" s="7">
        <f>IF(OR(D394="Invalid",D394&lt;0),"",D394)</f>
        <v>0</v>
      </c>
      <c r="F394" t="s">
        <v>1946</v>
      </c>
      <c r="G394" t="s">
        <v>107</v>
      </c>
      <c r="H394" t="str">
        <f>PROPER(TRIM(G394))</f>
        <v>Aditi Sen</v>
      </c>
      <c r="I394" t="s">
        <v>41</v>
      </c>
      <c r="J394" t="str">
        <f>PROPER(TRIM(I394))</f>
        <v>Small Business</v>
      </c>
      <c r="K394" t="s">
        <v>62</v>
      </c>
      <c r="L394" t="s">
        <v>242</v>
      </c>
      <c r="M394" t="s">
        <v>243</v>
      </c>
      <c r="N394" t="s">
        <v>45</v>
      </c>
      <c r="O394" t="str">
        <f>TRIM(N394)</f>
        <v>Furniture</v>
      </c>
      <c r="P394" t="s">
        <v>65</v>
      </c>
      <c r="Q394" t="s">
        <v>1947</v>
      </c>
      <c r="R394" t="s">
        <v>48</v>
      </c>
      <c r="S394" t="s">
        <v>48</v>
      </c>
      <c r="T394">
        <v>9</v>
      </c>
      <c r="U394">
        <v>4053.01</v>
      </c>
      <c r="V394">
        <v>0</v>
      </c>
      <c r="W394">
        <v>36477.089999999997</v>
      </c>
      <c r="X394">
        <v>24525.48</v>
      </c>
      <c r="Y394">
        <v>11951.61</v>
      </c>
      <c r="Z394" t="s">
        <v>34</v>
      </c>
      <c r="AA394" t="s">
        <v>35</v>
      </c>
    </row>
    <row r="395" spans="1:27">
      <c r="A395" t="s">
        <v>1948</v>
      </c>
      <c r="B395" t="s">
        <v>1949</v>
      </c>
      <c r="C395" t="s">
        <v>1950</v>
      </c>
      <c r="D395"/>
      <c r="E395" s="7">
        <f>IF(OR(D395="Invalid",D395&lt;0),"",D395)</f>
        <v>0</v>
      </c>
      <c r="F395" t="s">
        <v>1951</v>
      </c>
      <c r="G395" t="s">
        <v>40</v>
      </c>
      <c r="H395" t="str">
        <f>PROPER(TRIM(G395))</f>
        <v>Mira Das</v>
      </c>
      <c r="I395" t="s">
        <v>108</v>
      </c>
      <c r="J395" t="str">
        <f>PROPER(TRIM(I395))</f>
        <v>Corporate</v>
      </c>
      <c r="K395" t="s">
        <v>27</v>
      </c>
      <c r="L395" t="s">
        <v>174</v>
      </c>
      <c r="M395" t="s">
        <v>175</v>
      </c>
      <c r="N395" t="s">
        <v>30</v>
      </c>
      <c r="O395" t="str">
        <f>TRIM(N395)</f>
        <v>Office Supplies</v>
      </c>
      <c r="P395" t="s">
        <v>109</v>
      </c>
      <c r="Q395" t="s">
        <v>1952</v>
      </c>
      <c r="R395" t="s">
        <v>48</v>
      </c>
      <c r="S395" t="s">
        <v>48</v>
      </c>
      <c r="T395">
        <v>2</v>
      </c>
      <c r="U395">
        <v>1936.91</v>
      </c>
      <c r="V395">
        <v>0.05</v>
      </c>
      <c r="W395">
        <v>3680.13</v>
      </c>
      <c r="X395">
        <v>2967.46</v>
      </c>
      <c r="Y395">
        <v>712.67</v>
      </c>
      <c r="Z395" t="s">
        <v>34</v>
      </c>
      <c r="AA395" t="s">
        <v>35</v>
      </c>
    </row>
    <row r="396" spans="1:27">
      <c r="A396" t="s">
        <v>1953</v>
      </c>
      <c r="B396" t="s">
        <v>1954</v>
      </c>
      <c r="C396" t="s">
        <v>1955</v>
      </c>
      <c r="D396"/>
      <c r="E396" s="7">
        <f>IF(OR(D396="Invalid",D396&lt;0),"",D396)</f>
        <v>0</v>
      </c>
      <c r="F396" t="s">
        <v>1956</v>
      </c>
      <c r="G396" t="s">
        <v>366</v>
      </c>
      <c r="H396" t="str">
        <f>PROPER(TRIM(G396))</f>
        <v>Kabir Singh</v>
      </c>
      <c r="I396" t="s">
        <v>26</v>
      </c>
      <c r="J396" t="str">
        <f>PROPER(TRIM(I396))</f>
        <v>Consumer</v>
      </c>
      <c r="K396" t="s">
        <v>73</v>
      </c>
      <c r="L396" t="s">
        <v>74</v>
      </c>
      <c r="M396" t="s">
        <v>75</v>
      </c>
      <c r="N396" t="s">
        <v>45</v>
      </c>
      <c r="O396" t="str">
        <f>TRIM(N396)</f>
        <v>Furniture</v>
      </c>
      <c r="P396" t="s">
        <v>65</v>
      </c>
      <c r="Q396" t="s">
        <v>1957</v>
      </c>
      <c r="R396" t="s">
        <v>56</v>
      </c>
      <c r="S396" t="s">
        <v>56</v>
      </c>
      <c r="T396">
        <v>7</v>
      </c>
      <c r="U396">
        <v>3945.21</v>
      </c>
      <c r="V396">
        <v>0</v>
      </c>
      <c r="W396">
        <v>27616.47</v>
      </c>
      <c r="X396">
        <v>21225.26</v>
      </c>
      <c r="Y396">
        <v>6391.21</v>
      </c>
      <c r="Z396" t="s">
        <v>34</v>
      </c>
      <c r="AA396" t="s">
        <v>35</v>
      </c>
    </row>
    <row r="397" spans="1:27">
      <c r="A397" t="s">
        <v>1958</v>
      </c>
      <c r="B397" t="s">
        <v>1067</v>
      </c>
      <c r="C397" t="s">
        <v>1754</v>
      </c>
      <c r="D397"/>
      <c r="E397" s="7">
        <f>IF(OR(D397="Invalid",D397&lt;0),"",D397)</f>
        <v>0</v>
      </c>
      <c r="F397" t="s">
        <v>1959</v>
      </c>
      <c r="G397" t="s">
        <v>148</v>
      </c>
      <c r="H397" t="str">
        <f>PROPER(TRIM(G397))</f>
        <v>Rahul Verma</v>
      </c>
      <c r="I397" t="s">
        <v>115</v>
      </c>
      <c r="J397" t="str">
        <f>PROPER(TRIM(I397))</f>
        <v>Home Office</v>
      </c>
      <c r="K397" t="s">
        <v>62</v>
      </c>
      <c r="L397" t="s">
        <v>339</v>
      </c>
      <c r="M397" t="s">
        <v>340</v>
      </c>
      <c r="N397" t="s">
        <v>45</v>
      </c>
      <c r="O397" t="str">
        <f>TRIM(N397)</f>
        <v>Furniture</v>
      </c>
      <c r="P397" t="s">
        <v>46</v>
      </c>
      <c r="Q397" t="s">
        <v>1960</v>
      </c>
      <c r="R397" t="s">
        <v>48</v>
      </c>
      <c r="S397" t="s">
        <v>48</v>
      </c>
      <c r="T397">
        <v>7</v>
      </c>
      <c r="U397">
        <v>861.91</v>
      </c>
      <c r="V397">
        <v>0.05</v>
      </c>
      <c r="W397">
        <v>5731.7</v>
      </c>
      <c r="X397">
        <v>4115.5600000000004</v>
      </c>
      <c r="Y397">
        <v>1616.14</v>
      </c>
      <c r="Z397" t="s">
        <v>34</v>
      </c>
      <c r="AA397" t="s">
        <v>35</v>
      </c>
    </row>
    <row r="398" spans="1:27">
      <c r="A398" t="s">
        <v>1961</v>
      </c>
      <c r="B398" t="s">
        <v>1962</v>
      </c>
      <c r="C398" t="s">
        <v>1963</v>
      </c>
      <c r="D398"/>
      <c r="E398" s="7">
        <f>IF(OR(D398="Invalid",D398&lt;0),"",D398)</f>
        <v>0</v>
      </c>
      <c r="F398" t="s">
        <v>1964</v>
      </c>
      <c r="G398" t="s">
        <v>107</v>
      </c>
      <c r="H398" t="str">
        <f>PROPER(TRIM(G398))</f>
        <v>Aditi Sen</v>
      </c>
      <c r="I398" t="s">
        <v>41</v>
      </c>
      <c r="J398" t="str">
        <f>PROPER(TRIM(I398))</f>
        <v>Small Business</v>
      </c>
      <c r="K398" t="s">
        <v>62</v>
      </c>
      <c r="L398" t="s">
        <v>229</v>
      </c>
      <c r="M398" t="s">
        <v>230</v>
      </c>
      <c r="N398" t="s">
        <v>86</v>
      </c>
      <c r="O398" t="str">
        <f>TRIM(N398)</f>
        <v>Technology</v>
      </c>
      <c r="P398" t="s">
        <v>382</v>
      </c>
      <c r="Q398" t="s">
        <v>1965</v>
      </c>
      <c r="R398" t="s">
        <v>67</v>
      </c>
      <c r="S398" t="s">
        <v>67</v>
      </c>
      <c r="T398">
        <v>2</v>
      </c>
      <c r="U398">
        <v>638.73</v>
      </c>
      <c r="V398">
        <v>0.05</v>
      </c>
      <c r="W398">
        <v>1213.5899999999999</v>
      </c>
      <c r="X398">
        <v>956.22</v>
      </c>
      <c r="Y398">
        <v>257.37</v>
      </c>
      <c r="Z398" t="s">
        <v>34</v>
      </c>
      <c r="AA398" t="s">
        <v>35</v>
      </c>
    </row>
    <row r="399" spans="1:27">
      <c r="A399" t="s">
        <v>1966</v>
      </c>
      <c r="B399" t="s">
        <v>1967</v>
      </c>
      <c r="C399" t="s">
        <v>1968</v>
      </c>
      <c r="D399"/>
      <c r="E399" s="7">
        <f>IF(OR(D399="Invalid",D399&lt;0),"",D399)</f>
        <v>0</v>
      </c>
      <c r="F399" t="s">
        <v>1969</v>
      </c>
      <c r="G399" t="s">
        <v>168</v>
      </c>
      <c r="H399" t="str">
        <f>PROPER(TRIM(G399))</f>
        <v>Sneha Kapoor</v>
      </c>
      <c r="I399" t="s">
        <v>41</v>
      </c>
      <c r="J399" t="str">
        <f>PROPER(TRIM(I399))</f>
        <v>Small Business</v>
      </c>
      <c r="K399" t="s">
        <v>27</v>
      </c>
      <c r="L399" t="s">
        <v>174</v>
      </c>
      <c r="M399" t="s">
        <v>175</v>
      </c>
      <c r="N399" t="s">
        <v>45</v>
      </c>
      <c r="O399" t="str">
        <f>TRIM(N399)</f>
        <v>Furniture</v>
      </c>
      <c r="P399" t="s">
        <v>46</v>
      </c>
      <c r="Q399" t="s">
        <v>1970</v>
      </c>
      <c r="R399" t="s">
        <v>33</v>
      </c>
      <c r="S399" t="s">
        <v>33</v>
      </c>
      <c r="T399">
        <v>2</v>
      </c>
      <c r="U399">
        <v>1731.88</v>
      </c>
      <c r="V399">
        <v>0</v>
      </c>
      <c r="W399">
        <v>3463.76</v>
      </c>
      <c r="X399">
        <v>2143.7399999999998</v>
      </c>
      <c r="Y399">
        <v>1320.02</v>
      </c>
      <c r="Z399" t="s">
        <v>34</v>
      </c>
      <c r="AA399" t="s">
        <v>35</v>
      </c>
    </row>
    <row r="400" spans="1:27">
      <c r="A400" t="s">
        <v>1971</v>
      </c>
      <c r="B400" t="s">
        <v>1972</v>
      </c>
      <c r="C400" t="s">
        <v>1973</v>
      </c>
      <c r="D400"/>
      <c r="E400" s="7">
        <f>IF(OR(D400="Invalid",D400&lt;0),"",D400)</f>
        <v>0</v>
      </c>
      <c r="F400" t="s">
        <v>1974</v>
      </c>
      <c r="G400" t="s">
        <v>83</v>
      </c>
      <c r="H400" t="str">
        <f>PROPER(TRIM(G400))</f>
        <v>Vikram Iyer</v>
      </c>
      <c r="I400" t="s">
        <v>108</v>
      </c>
      <c r="J400" t="str">
        <f>PROPER(TRIM(I400))</f>
        <v>Corporate</v>
      </c>
      <c r="K400" t="s">
        <v>27</v>
      </c>
      <c r="L400" t="s">
        <v>154</v>
      </c>
      <c r="M400" t="s">
        <v>155</v>
      </c>
      <c r="N400" t="s">
        <v>86</v>
      </c>
      <c r="O400" t="str">
        <f>TRIM(N400)</f>
        <v>Technology</v>
      </c>
      <c r="P400" t="s">
        <v>382</v>
      </c>
      <c r="Q400" t="s">
        <v>1975</v>
      </c>
      <c r="R400" t="s">
        <v>48</v>
      </c>
      <c r="S400" t="s">
        <v>48</v>
      </c>
      <c r="T400">
        <v>2</v>
      </c>
      <c r="U400">
        <v>1263.6500000000001</v>
      </c>
      <c r="V400">
        <v>0.2</v>
      </c>
      <c r="W400">
        <v>2021.84</v>
      </c>
      <c r="X400">
        <v>1355.22</v>
      </c>
      <c r="Y400">
        <v>666.62</v>
      </c>
      <c r="Z400" t="s">
        <v>34</v>
      </c>
      <c r="AA400" t="s">
        <v>35</v>
      </c>
    </row>
    <row r="401" spans="1:27">
      <c r="A401" t="s">
        <v>1976</v>
      </c>
      <c r="B401" t="s">
        <v>1977</v>
      </c>
      <c r="C401" t="s">
        <v>1978</v>
      </c>
      <c r="D401"/>
      <c r="E401" s="7">
        <f>IF(OR(D401="Invalid",D401&lt;0),"",D401)</f>
        <v>0</v>
      </c>
      <c r="F401" t="s">
        <v>1979</v>
      </c>
      <c r="G401" t="s">
        <v>210</v>
      </c>
      <c r="H401" t="str">
        <f>PROPER(TRIM(G401))</f>
        <v>Diya Patel</v>
      </c>
      <c r="I401" t="s">
        <v>41</v>
      </c>
      <c r="J401" t="str">
        <f>PROPER(TRIM(I401))</f>
        <v>Small Business</v>
      </c>
      <c r="K401" t="s">
        <v>62</v>
      </c>
      <c r="L401" t="s">
        <v>100</v>
      </c>
      <c r="M401" t="s">
        <v>101</v>
      </c>
      <c r="N401" t="s">
        <v>30</v>
      </c>
      <c r="O401" t="str">
        <f>TRIM(N401)</f>
        <v>Office Supplies</v>
      </c>
      <c r="P401" t="s">
        <v>31</v>
      </c>
      <c r="Q401" t="s">
        <v>1980</v>
      </c>
      <c r="R401" t="s">
        <v>48</v>
      </c>
      <c r="S401" t="s">
        <v>48</v>
      </c>
      <c r="T401">
        <v>1</v>
      </c>
      <c r="U401">
        <v>4358.5</v>
      </c>
      <c r="V401">
        <v>0.25</v>
      </c>
      <c r="W401">
        <v>3268.88</v>
      </c>
      <c r="X401">
        <v>1993.74</v>
      </c>
      <c r="Y401">
        <v>1275.1400000000001</v>
      </c>
      <c r="Z401" t="s">
        <v>34</v>
      </c>
      <c r="AA401" t="s">
        <v>35</v>
      </c>
    </row>
    <row r="402" spans="1:27">
      <c r="A402" t="s">
        <v>1981</v>
      </c>
      <c r="B402" t="s">
        <v>1982</v>
      </c>
      <c r="C402" t="s">
        <v>1983</v>
      </c>
      <c r="D402"/>
      <c r="E402" s="7">
        <f>IF(OR(D402="Invalid",D402&lt;0),"",D402)</f>
        <v>0</v>
      </c>
      <c r="F402" t="s">
        <v>1984</v>
      </c>
      <c r="G402" t="s">
        <v>168</v>
      </c>
      <c r="H402" t="str">
        <f>PROPER(TRIM(G402))</f>
        <v>Sneha Kapoor</v>
      </c>
      <c r="I402" t="s">
        <v>41</v>
      </c>
      <c r="J402" t="str">
        <f>PROPER(TRIM(I402))</f>
        <v>Small Business</v>
      </c>
      <c r="K402" t="s">
        <v>27</v>
      </c>
      <c r="L402" t="s">
        <v>174</v>
      </c>
      <c r="M402" t="s">
        <v>175</v>
      </c>
      <c r="N402" t="s">
        <v>30</v>
      </c>
      <c r="O402" t="str">
        <f>TRIM(N402)</f>
        <v>Office Supplies</v>
      </c>
      <c r="P402" t="s">
        <v>31</v>
      </c>
      <c r="Q402" t="s">
        <v>1985</v>
      </c>
      <c r="R402" t="s">
        <v>48</v>
      </c>
      <c r="S402" t="s">
        <v>48</v>
      </c>
      <c r="T402">
        <v>7</v>
      </c>
      <c r="U402">
        <v>878.09</v>
      </c>
      <c r="V402">
        <v>-0.1</v>
      </c>
      <c r="W402">
        <v>5839.3</v>
      </c>
      <c r="X402">
        <v>4877.38</v>
      </c>
      <c r="Y402">
        <v>961.92</v>
      </c>
      <c r="Z402" t="s">
        <v>34</v>
      </c>
      <c r="AA402" t="s">
        <v>35</v>
      </c>
    </row>
    <row r="403" spans="1:27">
      <c r="A403" t="s">
        <v>1986</v>
      </c>
      <c r="B403" t="s">
        <v>1987</v>
      </c>
      <c r="C403" t="s">
        <v>1988</v>
      </c>
      <c r="D403"/>
      <c r="E403" s="7">
        <f>IF(OR(D403="Invalid",D403&lt;0),"",D403)</f>
        <v>0</v>
      </c>
      <c r="F403" t="s">
        <v>1989</v>
      </c>
      <c r="G403" t="s">
        <v>61</v>
      </c>
      <c r="H403" t="str">
        <f>PROPER(TRIM(G403))</f>
        <v>Arjun Bose</v>
      </c>
      <c r="I403" t="s">
        <v>41</v>
      </c>
      <c r="J403" t="str">
        <f>PROPER(TRIM(I403))</f>
        <v>Small Business</v>
      </c>
      <c r="K403" t="s">
        <v>42</v>
      </c>
      <c r="L403" t="s">
        <v>311</v>
      </c>
      <c r="M403" t="s">
        <v>312</v>
      </c>
      <c r="N403" t="s">
        <v>45</v>
      </c>
      <c r="O403" t="str">
        <f>TRIM(N403)</f>
        <v>Furniture</v>
      </c>
      <c r="P403" t="s">
        <v>46</v>
      </c>
      <c r="Q403" t="s">
        <v>1990</v>
      </c>
      <c r="R403" t="s">
        <v>48</v>
      </c>
      <c r="S403" t="s">
        <v>48</v>
      </c>
      <c r="T403">
        <v>3</v>
      </c>
      <c r="U403">
        <v>2625.85</v>
      </c>
      <c r="V403">
        <v>0</v>
      </c>
      <c r="W403">
        <v>7877.55</v>
      </c>
      <c r="X403">
        <v>5562.77</v>
      </c>
      <c r="Y403">
        <v>2314.7800000000002</v>
      </c>
      <c r="Z403" t="s">
        <v>34</v>
      </c>
      <c r="AA403" t="s">
        <v>35</v>
      </c>
    </row>
    <row r="404" spans="1:27">
      <c r="A404" t="s">
        <v>1991</v>
      </c>
      <c r="B404" t="s">
        <v>1992</v>
      </c>
      <c r="C404" t="s">
        <v>1993</v>
      </c>
      <c r="D404"/>
      <c r="E404" s="7">
        <f>IF(OR(D404="Invalid",D404&lt;0),"",D404)</f>
        <v>0</v>
      </c>
      <c r="F404" t="s">
        <v>1994</v>
      </c>
      <c r="G404" t="s">
        <v>142</v>
      </c>
      <c r="H404" t="str">
        <f>PROPER(TRIM(G404))</f>
        <v>Priya Menon</v>
      </c>
      <c r="I404" t="s">
        <v>41</v>
      </c>
      <c r="J404" t="str">
        <f>PROPER(TRIM(I404))</f>
        <v>Small Business</v>
      </c>
      <c r="K404" t="s">
        <v>62</v>
      </c>
      <c r="L404" t="s">
        <v>229</v>
      </c>
      <c r="M404" t="s">
        <v>230</v>
      </c>
      <c r="N404" t="s">
        <v>45</v>
      </c>
      <c r="O404" t="str">
        <f>TRIM(N404)</f>
        <v>Furniture</v>
      </c>
      <c r="P404" t="s">
        <v>46</v>
      </c>
      <c r="Q404" t="s">
        <v>1995</v>
      </c>
      <c r="R404" t="s">
        <v>4124</v>
      </c>
      <c r="S404" t="s">
        <v>4111</v>
      </c>
      <c r="T404">
        <v>3</v>
      </c>
      <c r="U404">
        <v>1365.26</v>
      </c>
      <c r="V404">
        <v>0</v>
      </c>
      <c r="W404">
        <v>4095.78</v>
      </c>
      <c r="X404">
        <v>2807.77</v>
      </c>
      <c r="Y404">
        <v>1288.01</v>
      </c>
      <c r="Z404" t="s">
        <v>34</v>
      </c>
      <c r="AA404" t="s">
        <v>35</v>
      </c>
    </row>
    <row r="405" spans="1:27">
      <c r="A405" t="s">
        <v>1996</v>
      </c>
      <c r="B405" t="s">
        <v>1997</v>
      </c>
      <c r="C405" t="s">
        <v>1998</v>
      </c>
      <c r="D405"/>
      <c r="E405" s="7">
        <f>IF(OR(D405="Invalid",D405&lt;0),"",D405)</f>
        <v>0</v>
      </c>
      <c r="F405" t="s">
        <v>1999</v>
      </c>
      <c r="G405" t="s">
        <v>61</v>
      </c>
      <c r="H405" t="str">
        <f>PROPER(TRIM(G405))</f>
        <v>Arjun Bose</v>
      </c>
      <c r="I405" t="s">
        <v>41</v>
      </c>
      <c r="J405" t="str">
        <f>PROPER(TRIM(I405))</f>
        <v>Small Business</v>
      </c>
      <c r="K405" t="s">
        <v>62</v>
      </c>
      <c r="L405" t="s">
        <v>242</v>
      </c>
      <c r="M405" t="s">
        <v>243</v>
      </c>
      <c r="N405" t="s">
        <v>30</v>
      </c>
      <c r="O405" t="str">
        <f>TRIM(N405)</f>
        <v>Office Supplies</v>
      </c>
      <c r="P405" t="s">
        <v>2000</v>
      </c>
      <c r="Q405" t="s">
        <v>2001</v>
      </c>
      <c r="R405" t="s">
        <v>48</v>
      </c>
      <c r="S405" t="s">
        <v>48</v>
      </c>
      <c r="T405">
        <v>5</v>
      </c>
      <c r="U405">
        <v>3512.25</v>
      </c>
      <c r="V405">
        <v>0.05</v>
      </c>
      <c r="W405">
        <v>16683.189999999999</v>
      </c>
      <c r="X405">
        <v>10301.16</v>
      </c>
      <c r="Y405">
        <v>6382.03</v>
      </c>
      <c r="Z405" t="s">
        <v>34</v>
      </c>
      <c r="AA405" t="s">
        <v>125</v>
      </c>
    </row>
    <row r="406" spans="1:27">
      <c r="A406" t="s">
        <v>2002</v>
      </c>
      <c r="B406" t="s">
        <v>2003</v>
      </c>
      <c r="C406" t="s">
        <v>2004</v>
      </c>
      <c r="D406"/>
      <c r="E406" s="7">
        <f>IF(OR(D406="Invalid",D406&lt;0),"",D406)</f>
        <v>0</v>
      </c>
      <c r="F406" t="s">
        <v>2005</v>
      </c>
      <c r="G406" t="s">
        <v>107</v>
      </c>
      <c r="H406" t="str">
        <f>PROPER(TRIM(G406))</f>
        <v>Aditi Sen</v>
      </c>
      <c r="I406" t="s">
        <v>108</v>
      </c>
      <c r="J406" t="str">
        <f>PROPER(TRIM(I406))</f>
        <v>Corporate</v>
      </c>
      <c r="K406" t="s">
        <v>73</v>
      </c>
      <c r="L406" t="s">
        <v>28</v>
      </c>
      <c r="M406" t="s">
        <v>135</v>
      </c>
      <c r="N406" t="s">
        <v>45</v>
      </c>
      <c r="O406" t="str">
        <f>TRIM(N406)</f>
        <v>Furniture</v>
      </c>
      <c r="P406" t="s">
        <v>76</v>
      </c>
      <c r="Q406" t="s">
        <v>2006</v>
      </c>
      <c r="R406" t="s">
        <v>48</v>
      </c>
      <c r="S406" t="s">
        <v>48</v>
      </c>
      <c r="T406">
        <v>3</v>
      </c>
      <c r="U406">
        <v>359.61</v>
      </c>
      <c r="V406">
        <v>0</v>
      </c>
      <c r="W406">
        <v>1078.83</v>
      </c>
      <c r="X406">
        <v>926.35</v>
      </c>
      <c r="Y406">
        <v>152.47999999999999</v>
      </c>
      <c r="Z406" t="s">
        <v>34</v>
      </c>
      <c r="AA406" t="s">
        <v>35</v>
      </c>
    </row>
    <row r="407" spans="1:27">
      <c r="A407" t="s">
        <v>2007</v>
      </c>
      <c r="B407" t="s">
        <v>2008</v>
      </c>
      <c r="C407" t="s">
        <v>2009</v>
      </c>
      <c r="D407"/>
      <c r="E407" s="7">
        <f>IF(OR(D407="Invalid",D407&lt;0),"",D407)</f>
        <v>0</v>
      </c>
      <c r="F407" t="s">
        <v>2010</v>
      </c>
      <c r="G407" t="s">
        <v>107</v>
      </c>
      <c r="H407" t="str">
        <f>PROPER(TRIM(G407))</f>
        <v>Aditi Sen</v>
      </c>
      <c r="I407" t="s">
        <v>115</v>
      </c>
      <c r="J407" t="str">
        <f>PROPER(TRIM(I407))</f>
        <v>Home Office</v>
      </c>
      <c r="K407" t="s">
        <v>73</v>
      </c>
      <c r="L407" t="s">
        <v>235</v>
      </c>
      <c r="M407" t="s">
        <v>236</v>
      </c>
      <c r="N407" t="s">
        <v>45</v>
      </c>
      <c r="O407" t="str">
        <f>TRIM(N407)</f>
        <v>Furniture</v>
      </c>
      <c r="P407" t="s">
        <v>204</v>
      </c>
      <c r="Q407" t="s">
        <v>2011</v>
      </c>
      <c r="R407" t="s">
        <v>4124</v>
      </c>
      <c r="S407" t="s">
        <v>4111</v>
      </c>
      <c r="T407">
        <v>7</v>
      </c>
      <c r="U407">
        <v>3878.01</v>
      </c>
      <c r="V407">
        <v>0.1</v>
      </c>
      <c r="W407">
        <v>24431.46</v>
      </c>
      <c r="X407">
        <v>18202.36</v>
      </c>
      <c r="Y407">
        <v>6229.1</v>
      </c>
      <c r="Z407" t="s">
        <v>34</v>
      </c>
      <c r="AA407" t="s">
        <v>35</v>
      </c>
    </row>
    <row r="408" spans="1:27">
      <c r="A408" t="s">
        <v>2012</v>
      </c>
      <c r="B408" t="s">
        <v>2013</v>
      </c>
      <c r="C408" t="s">
        <v>2013</v>
      </c>
      <c r="D408"/>
      <c r="E408" s="7">
        <f>IF(OR(D408="Invalid",D408&lt;0),"",D408)</f>
        <v>0</v>
      </c>
      <c r="F408" t="s">
        <v>2014</v>
      </c>
      <c r="G408" t="s">
        <v>366</v>
      </c>
      <c r="H408" t="str">
        <f>PROPER(TRIM(G408))</f>
        <v>Kabir Singh</v>
      </c>
      <c r="I408" t="s">
        <v>41</v>
      </c>
      <c r="J408" t="str">
        <f>PROPER(TRIM(I408))</f>
        <v>Small Business</v>
      </c>
      <c r="K408" t="s">
        <v>73</v>
      </c>
      <c r="L408" t="s">
        <v>249</v>
      </c>
      <c r="M408" t="s">
        <v>250</v>
      </c>
      <c r="N408" t="s">
        <v>45</v>
      </c>
      <c r="O408" t="str">
        <f>TRIM(N408)</f>
        <v>Furniture</v>
      </c>
      <c r="P408" t="s">
        <v>65</v>
      </c>
      <c r="Q408" t="s">
        <v>2015</v>
      </c>
      <c r="R408" t="s">
        <v>67</v>
      </c>
      <c r="S408" t="s">
        <v>67</v>
      </c>
      <c r="T408">
        <v>2</v>
      </c>
      <c r="U408">
        <v>3924.2</v>
      </c>
      <c r="V408">
        <v>0.25</v>
      </c>
      <c r="W408">
        <v>5886.3</v>
      </c>
      <c r="X408">
        <v>3621.76</v>
      </c>
      <c r="Y408">
        <v>2264.54</v>
      </c>
      <c r="Z408" t="s">
        <v>137</v>
      </c>
      <c r="AA408" t="s">
        <v>125</v>
      </c>
    </row>
    <row r="409" spans="1:27">
      <c r="A409" t="s">
        <v>2016</v>
      </c>
      <c r="B409" t="s">
        <v>2017</v>
      </c>
      <c r="C409" t="s">
        <v>2018</v>
      </c>
      <c r="D409"/>
      <c r="E409" s="7">
        <f>IF(OR(D409="Invalid",D409&lt;0),"",D409)</f>
        <v>0</v>
      </c>
      <c r="F409" t="s">
        <v>2019</v>
      </c>
      <c r="G409" t="s">
        <v>148</v>
      </c>
      <c r="H409" t="str">
        <f>PROPER(TRIM(G409))</f>
        <v>Rahul Verma</v>
      </c>
      <c r="I409" t="s">
        <v>108</v>
      </c>
      <c r="J409" t="str">
        <f>PROPER(TRIM(I409))</f>
        <v>Corporate</v>
      </c>
      <c r="K409" t="s">
        <v>73</v>
      </c>
      <c r="L409" t="s">
        <v>249</v>
      </c>
      <c r="M409" t="s">
        <v>250</v>
      </c>
      <c r="N409" t="s">
        <v>30</v>
      </c>
      <c r="O409" t="str">
        <f>TRIM(N409)</f>
        <v>Office Supplies</v>
      </c>
      <c r="P409" t="s">
        <v>109</v>
      </c>
      <c r="Q409" t="s">
        <v>2020</v>
      </c>
      <c r="R409" t="s">
        <v>33</v>
      </c>
      <c r="S409" t="s">
        <v>33</v>
      </c>
      <c r="T409">
        <v>3</v>
      </c>
      <c r="U409">
        <v>2644.55</v>
      </c>
      <c r="V409">
        <v>0</v>
      </c>
      <c r="W409">
        <v>7933.65</v>
      </c>
      <c r="X409">
        <v>5698.42</v>
      </c>
      <c r="Y409">
        <v>2235.23</v>
      </c>
      <c r="Z409" t="s">
        <v>34</v>
      </c>
      <c r="AA409" t="s">
        <v>35</v>
      </c>
    </row>
    <row r="410" spans="1:27">
      <c r="A410" t="s">
        <v>2021</v>
      </c>
      <c r="B410" t="s">
        <v>820</v>
      </c>
      <c r="C410" t="s">
        <v>1080</v>
      </c>
      <c r="D410"/>
      <c r="E410" s="7">
        <f>IF(OR(D410="Invalid",D410&lt;0),"",D410)</f>
        <v>0</v>
      </c>
      <c r="F410" t="s">
        <v>2022</v>
      </c>
      <c r="G410" t="s">
        <v>168</v>
      </c>
      <c r="H410" t="str">
        <f>PROPER(TRIM(G410))</f>
        <v>Sneha Kapoor</v>
      </c>
      <c r="I410" t="s">
        <v>26</v>
      </c>
      <c r="J410" t="str">
        <f>PROPER(TRIM(I410))</f>
        <v>Consumer</v>
      </c>
      <c r="K410" t="s">
        <v>73</v>
      </c>
      <c r="L410" t="s">
        <v>74</v>
      </c>
      <c r="M410" t="s">
        <v>75</v>
      </c>
      <c r="N410" t="s">
        <v>45</v>
      </c>
      <c r="O410" t="str">
        <f>TRIM(N410)</f>
        <v>Furniture</v>
      </c>
      <c r="P410" t="s">
        <v>76</v>
      </c>
      <c r="Q410" t="s">
        <v>2023</v>
      </c>
      <c r="R410" t="s">
        <v>56</v>
      </c>
      <c r="S410" t="s">
        <v>56</v>
      </c>
      <c r="T410">
        <v>4</v>
      </c>
      <c r="U410">
        <v>1773.46</v>
      </c>
      <c r="V410">
        <v>0</v>
      </c>
      <c r="W410">
        <v>7093.84</v>
      </c>
      <c r="X410">
        <v>4587.49</v>
      </c>
      <c r="Y410">
        <v>2506.35</v>
      </c>
      <c r="Z410" t="s">
        <v>200</v>
      </c>
      <c r="AA410" t="s">
        <v>125</v>
      </c>
    </row>
    <row r="411" spans="1:27">
      <c r="A411" t="s">
        <v>2024</v>
      </c>
      <c r="B411" t="s">
        <v>830</v>
      </c>
      <c r="C411" t="s">
        <v>771</v>
      </c>
      <c r="D411"/>
      <c r="E411" s="7">
        <f>IF(OR(D411="Invalid",D411&lt;0),"",D411)</f>
        <v>0</v>
      </c>
      <c r="F411" t="s">
        <v>2025</v>
      </c>
      <c r="G411" t="s">
        <v>25</v>
      </c>
      <c r="H411" t="str">
        <f>PROPER(TRIM(G411))</f>
        <v>Karan Malhotra</v>
      </c>
      <c r="I411" t="s">
        <v>26</v>
      </c>
      <c r="J411" t="str">
        <f>PROPER(TRIM(I411))</f>
        <v>Consumer</v>
      </c>
      <c r="K411" t="s">
        <v>42</v>
      </c>
      <c r="L411" t="s">
        <v>216</v>
      </c>
      <c r="M411" t="s">
        <v>217</v>
      </c>
      <c r="N411" t="s">
        <v>86</v>
      </c>
      <c r="O411" t="str">
        <f>TRIM(N411)</f>
        <v>Technology</v>
      </c>
      <c r="P411" t="s">
        <v>87</v>
      </c>
      <c r="Q411" t="s">
        <v>2026</v>
      </c>
      <c r="R411" t="s">
        <v>48</v>
      </c>
      <c r="S411" t="s">
        <v>48</v>
      </c>
      <c r="T411">
        <v>1</v>
      </c>
      <c r="U411">
        <v>3025.46</v>
      </c>
      <c r="V411">
        <v>0.25</v>
      </c>
      <c r="W411">
        <v>2269.1</v>
      </c>
      <c r="X411">
        <v>1593.59</v>
      </c>
      <c r="Y411">
        <v>675.51</v>
      </c>
      <c r="Z411" t="s">
        <v>124</v>
      </c>
      <c r="AA411" t="s">
        <v>125</v>
      </c>
    </row>
    <row r="412" spans="1:27">
      <c r="A412" t="s">
        <v>2027</v>
      </c>
      <c r="B412" t="s">
        <v>2028</v>
      </c>
      <c r="C412" t="s">
        <v>2029</v>
      </c>
      <c r="D412"/>
      <c r="E412" s="7">
        <f>IF(OR(D412="Invalid",D412&lt;0),"",D412)</f>
        <v>0</v>
      </c>
      <c r="F412" t="s">
        <v>2030</v>
      </c>
      <c r="G412" t="s">
        <v>210</v>
      </c>
      <c r="H412" t="str">
        <f>PROPER(TRIM(G412))</f>
        <v>Diya Patel</v>
      </c>
      <c r="I412" t="s">
        <v>26</v>
      </c>
      <c r="J412" t="str">
        <f>PROPER(TRIM(I412))</f>
        <v>Consumer</v>
      </c>
      <c r="K412" t="s">
        <v>73</v>
      </c>
      <c r="L412" t="s">
        <v>249</v>
      </c>
      <c r="M412" t="s">
        <v>250</v>
      </c>
      <c r="N412" t="s">
        <v>45</v>
      </c>
      <c r="O412" t="str">
        <f>TRIM(N412)</f>
        <v>Furniture</v>
      </c>
      <c r="P412" t="s">
        <v>46</v>
      </c>
      <c r="Q412" t="s">
        <v>2031</v>
      </c>
      <c r="R412" t="s">
        <v>56</v>
      </c>
      <c r="S412" t="s">
        <v>56</v>
      </c>
      <c r="T412">
        <v>9</v>
      </c>
      <c r="U412">
        <v>1302.6099999999999</v>
      </c>
      <c r="V412">
        <v>0.2</v>
      </c>
      <c r="W412">
        <v>9378.7900000000009</v>
      </c>
      <c r="X412">
        <v>6774.48</v>
      </c>
      <c r="Y412">
        <v>2604.31</v>
      </c>
      <c r="Z412" t="s">
        <v>34</v>
      </c>
      <c r="AA412" t="s">
        <v>35</v>
      </c>
    </row>
    <row r="413" spans="1:27">
      <c r="A413" t="s">
        <v>2032</v>
      </c>
      <c r="B413" t="s">
        <v>2033</v>
      </c>
      <c r="C413" t="s">
        <v>2034</v>
      </c>
      <c r="D413"/>
      <c r="E413" s="7">
        <f>IF(OR(D413="Invalid",D413&lt;0),"",D413)</f>
        <v>0</v>
      </c>
      <c r="F413" t="s">
        <v>2035</v>
      </c>
      <c r="G413" t="s">
        <v>61</v>
      </c>
      <c r="H413" t="str">
        <f>PROPER(TRIM(G413))</f>
        <v>Arjun Bose</v>
      </c>
      <c r="I413" t="s">
        <v>115</v>
      </c>
      <c r="J413" t="str">
        <f>PROPER(TRIM(I413))</f>
        <v>Home Office</v>
      </c>
      <c r="K413" t="s">
        <v>73</v>
      </c>
      <c r="L413" t="s">
        <v>28</v>
      </c>
      <c r="M413" t="s">
        <v>135</v>
      </c>
      <c r="N413" t="s">
        <v>45</v>
      </c>
      <c r="O413" t="str">
        <f>TRIM(N413)</f>
        <v>Furniture</v>
      </c>
      <c r="P413" t="s">
        <v>46</v>
      </c>
      <c r="Q413" t="s">
        <v>2036</v>
      </c>
      <c r="R413" t="s">
        <v>56</v>
      </c>
      <c r="S413" t="s">
        <v>56</v>
      </c>
      <c r="T413">
        <v>1</v>
      </c>
      <c r="U413">
        <v>4167.8100000000004</v>
      </c>
      <c r="V413">
        <v>0.2</v>
      </c>
      <c r="W413">
        <v>3334.25</v>
      </c>
      <c r="X413">
        <v>2768.77</v>
      </c>
      <c r="Y413">
        <v>565.48</v>
      </c>
      <c r="Z413" t="s">
        <v>200</v>
      </c>
      <c r="AA413" t="s">
        <v>125</v>
      </c>
    </row>
    <row r="414" spans="1:27">
      <c r="A414" t="s">
        <v>2037</v>
      </c>
      <c r="B414" t="s">
        <v>2038</v>
      </c>
      <c r="C414" t="s">
        <v>834</v>
      </c>
      <c r="D414"/>
      <c r="E414" s="7">
        <f>IF(OR(D414="Invalid",D414&lt;0),"",D414)</f>
        <v>0</v>
      </c>
      <c r="F414" t="s">
        <v>2039</v>
      </c>
      <c r="G414" t="s">
        <v>53</v>
      </c>
      <c r="H414" t="str">
        <f>PROPER(TRIM(G414))</f>
        <v>Isha Nair</v>
      </c>
      <c r="I414" t="s">
        <v>108</v>
      </c>
      <c r="J414" t="str">
        <f>PROPER(TRIM(I414))</f>
        <v>Corporate</v>
      </c>
      <c r="K414" t="s">
        <v>62</v>
      </c>
      <c r="L414" t="s">
        <v>229</v>
      </c>
      <c r="M414" t="s">
        <v>230</v>
      </c>
      <c r="N414" t="s">
        <v>45</v>
      </c>
      <c r="O414" t="str">
        <f>TRIM(N414)</f>
        <v>Furniture</v>
      </c>
      <c r="P414" t="s">
        <v>76</v>
      </c>
      <c r="Q414" t="s">
        <v>2040</v>
      </c>
      <c r="R414" t="s">
        <v>48</v>
      </c>
      <c r="S414" t="s">
        <v>48</v>
      </c>
      <c r="T414">
        <v>1</v>
      </c>
      <c r="U414">
        <v>2111.39</v>
      </c>
      <c r="V414">
        <v>0.25</v>
      </c>
      <c r="W414">
        <v>1583.54</v>
      </c>
      <c r="X414">
        <v>1014.19</v>
      </c>
      <c r="Y414">
        <v>569.35</v>
      </c>
      <c r="Z414" t="s">
        <v>34</v>
      </c>
      <c r="AA414" t="s">
        <v>35</v>
      </c>
    </row>
    <row r="415" spans="1:27">
      <c r="A415" t="s">
        <v>2041</v>
      </c>
      <c r="B415" t="s">
        <v>240</v>
      </c>
      <c r="C415" t="s">
        <v>2042</v>
      </c>
      <c r="D415"/>
      <c r="E415" s="7">
        <f>IF(OR(D415="Invalid",D415&lt;0),"",D415)</f>
        <v>0</v>
      </c>
      <c r="F415" t="s">
        <v>2043</v>
      </c>
      <c r="G415" t="s">
        <v>93</v>
      </c>
      <c r="H415" t="str">
        <f>PROPER(TRIM(G415))</f>
        <v>Neha Gupta</v>
      </c>
      <c r="I415" t="s">
        <v>115</v>
      </c>
      <c r="J415" t="str">
        <f>PROPER(TRIM(I415))</f>
        <v>Home Office</v>
      </c>
      <c r="K415" t="s">
        <v>73</v>
      </c>
      <c r="L415" t="s">
        <v>84</v>
      </c>
      <c r="M415" t="s">
        <v>85</v>
      </c>
      <c r="N415" t="s">
        <v>86</v>
      </c>
      <c r="O415" t="str">
        <f>TRIM(N415)</f>
        <v>Technology</v>
      </c>
      <c r="P415" t="s">
        <v>87</v>
      </c>
      <c r="Q415" t="s">
        <v>2044</v>
      </c>
      <c r="R415" t="s">
        <v>33</v>
      </c>
      <c r="S415" t="s">
        <v>33</v>
      </c>
      <c r="T415">
        <v>8</v>
      </c>
      <c r="U415">
        <v>1918.23</v>
      </c>
      <c r="V415">
        <v>0</v>
      </c>
      <c r="W415">
        <v>15345.84</v>
      </c>
      <c r="X415">
        <v>10735.33</v>
      </c>
      <c r="Y415">
        <v>4610.51</v>
      </c>
      <c r="Z415" t="s">
        <v>137</v>
      </c>
      <c r="AA415" t="s">
        <v>78</v>
      </c>
    </row>
    <row r="416" spans="1:27">
      <c r="A416" t="s">
        <v>2045</v>
      </c>
      <c r="B416" t="s">
        <v>2046</v>
      </c>
      <c r="C416" t="s">
        <v>2047</v>
      </c>
      <c r="D416"/>
      <c r="E416" s="7">
        <f>IF(OR(D416="Invalid",D416&lt;0),"",D416)</f>
        <v>0</v>
      </c>
      <c r="F416" t="s">
        <v>2048</v>
      </c>
      <c r="G416" t="s">
        <v>61</v>
      </c>
      <c r="H416" t="str">
        <f>PROPER(TRIM(G416))</f>
        <v>Arjun Bose</v>
      </c>
      <c r="I416" t="s">
        <v>115</v>
      </c>
      <c r="J416" t="str">
        <f>PROPER(TRIM(I416))</f>
        <v>Home Office</v>
      </c>
      <c r="K416" t="s">
        <v>42</v>
      </c>
      <c r="L416" t="s">
        <v>216</v>
      </c>
      <c r="M416" t="s">
        <v>217</v>
      </c>
      <c r="N416" t="s">
        <v>30</v>
      </c>
      <c r="O416" t="str">
        <f>TRIM(N416)</f>
        <v>Office Supplies</v>
      </c>
      <c r="P416" t="s">
        <v>156</v>
      </c>
      <c r="Q416" t="s">
        <v>2049</v>
      </c>
      <c r="R416" t="s">
        <v>56</v>
      </c>
      <c r="S416" t="s">
        <v>56</v>
      </c>
      <c r="T416">
        <v>4</v>
      </c>
      <c r="U416">
        <v>2484.08</v>
      </c>
      <c r="V416">
        <v>0.05</v>
      </c>
      <c r="W416">
        <v>9439.5</v>
      </c>
      <c r="X416">
        <v>5519.39</v>
      </c>
      <c r="Y416">
        <v>3920.11</v>
      </c>
      <c r="Z416" t="s">
        <v>34</v>
      </c>
      <c r="AA416" t="s">
        <v>35</v>
      </c>
    </row>
    <row r="417" spans="1:27">
      <c r="A417" t="s">
        <v>2050</v>
      </c>
      <c r="B417" t="s">
        <v>2051</v>
      </c>
      <c r="C417" t="s">
        <v>2003</v>
      </c>
      <c r="D417"/>
      <c r="E417" s="7">
        <f>IF(OR(D417="Invalid",D417&lt;0),"",D417)</f>
        <v>0</v>
      </c>
      <c r="F417" t="s">
        <v>2052</v>
      </c>
      <c r="G417" t="s">
        <v>162</v>
      </c>
      <c r="H417" t="str">
        <f>PROPER(TRIM(G417))</f>
        <v>Aarav Sharma</v>
      </c>
      <c r="I417" t="s">
        <v>108</v>
      </c>
      <c r="J417" t="str">
        <f>PROPER(TRIM(I417))</f>
        <v>Corporate</v>
      </c>
      <c r="K417" t="s">
        <v>62</v>
      </c>
      <c r="L417" t="s">
        <v>229</v>
      </c>
      <c r="M417" t="s">
        <v>230</v>
      </c>
      <c r="N417" t="s">
        <v>30</v>
      </c>
      <c r="O417" t="str">
        <f>TRIM(N417)</f>
        <v>Office Supplies</v>
      </c>
      <c r="P417" t="s">
        <v>156</v>
      </c>
      <c r="Q417" t="s">
        <v>2053</v>
      </c>
      <c r="R417" t="s">
        <v>48</v>
      </c>
      <c r="S417" t="s">
        <v>48</v>
      </c>
      <c r="T417">
        <v>7</v>
      </c>
      <c r="U417">
        <v>1727.26</v>
      </c>
      <c r="V417">
        <v>0.15</v>
      </c>
      <c r="W417">
        <v>10277.200000000001</v>
      </c>
      <c r="X417">
        <v>7906.5</v>
      </c>
      <c r="Y417">
        <v>2370.6999999999998</v>
      </c>
      <c r="Z417" t="s">
        <v>34</v>
      </c>
      <c r="AA417" t="s">
        <v>125</v>
      </c>
    </row>
    <row r="418" spans="1:27">
      <c r="A418" t="s">
        <v>2054</v>
      </c>
      <c r="B418" t="s">
        <v>2055</v>
      </c>
      <c r="C418" t="s">
        <v>2056</v>
      </c>
      <c r="D418"/>
      <c r="E418" s="7">
        <f>IF(OR(D418="Invalid",D418&lt;0),"",D418)</f>
        <v>0</v>
      </c>
      <c r="F418" t="s">
        <v>2057</v>
      </c>
      <c r="G418" t="s">
        <v>93</v>
      </c>
      <c r="H418" t="str">
        <f>PROPER(TRIM(G418))</f>
        <v>Neha Gupta</v>
      </c>
      <c r="I418" t="s">
        <v>26</v>
      </c>
      <c r="J418" t="str">
        <f>PROPER(TRIM(I418))</f>
        <v>Consumer</v>
      </c>
      <c r="K418" t="s">
        <v>62</v>
      </c>
      <c r="L418" t="s">
        <v>63</v>
      </c>
      <c r="M418" t="s">
        <v>64</v>
      </c>
      <c r="N418" t="s">
        <v>45</v>
      </c>
      <c r="O418" t="str">
        <f>TRIM(N418)</f>
        <v>Furniture</v>
      </c>
      <c r="P418" t="s">
        <v>65</v>
      </c>
      <c r="Q418" t="s">
        <v>2058</v>
      </c>
      <c r="R418" t="s">
        <v>56</v>
      </c>
      <c r="S418" t="s">
        <v>56</v>
      </c>
      <c r="T418">
        <v>8</v>
      </c>
      <c r="U418">
        <v>638.95000000000005</v>
      </c>
      <c r="V418">
        <v>0.25</v>
      </c>
      <c r="W418">
        <v>3833.7</v>
      </c>
      <c r="X418">
        <v>2886.35</v>
      </c>
      <c r="Y418">
        <v>947.35</v>
      </c>
      <c r="Z418" t="s">
        <v>34</v>
      </c>
      <c r="AA418" t="s">
        <v>35</v>
      </c>
    </row>
    <row r="419" spans="1:27">
      <c r="A419" t="s">
        <v>2059</v>
      </c>
      <c r="B419" t="s">
        <v>1794</v>
      </c>
      <c r="C419" t="s">
        <v>2060</v>
      </c>
      <c r="D419"/>
      <c r="E419" s="7">
        <f>IF(OR(D419="Invalid",D419&lt;0),"",D419)</f>
        <v>0</v>
      </c>
      <c r="F419" t="s">
        <v>2061</v>
      </c>
      <c r="G419" t="s">
        <v>40</v>
      </c>
      <c r="H419" t="str">
        <f>PROPER(TRIM(G419))</f>
        <v>Mira Das</v>
      </c>
      <c r="I419" t="s">
        <v>26</v>
      </c>
      <c r="J419" t="str">
        <f>PROPER(TRIM(I419))</f>
        <v>Consumer</v>
      </c>
      <c r="K419" t="s">
        <v>73</v>
      </c>
      <c r="L419" t="s">
        <v>235</v>
      </c>
      <c r="M419" t="s">
        <v>236</v>
      </c>
      <c r="N419" t="s">
        <v>30</v>
      </c>
      <c r="O419" t="str">
        <f>TRIM(N419)</f>
        <v>Office Supplies</v>
      </c>
      <c r="P419" t="s">
        <v>54</v>
      </c>
      <c r="Q419" t="s">
        <v>2062</v>
      </c>
      <c r="R419" t="s">
        <v>56</v>
      </c>
      <c r="S419" t="s">
        <v>56</v>
      </c>
      <c r="T419">
        <v>6</v>
      </c>
      <c r="U419">
        <v>3863</v>
      </c>
      <c r="V419">
        <v>0.2</v>
      </c>
      <c r="W419">
        <v>18542.400000000001</v>
      </c>
      <c r="X419">
        <v>11193.75</v>
      </c>
      <c r="Y419">
        <v>7348.65</v>
      </c>
      <c r="Z419" t="s">
        <v>34</v>
      </c>
      <c r="AA419" t="s">
        <v>35</v>
      </c>
    </row>
    <row r="420" spans="1:27">
      <c r="A420" t="s">
        <v>2063</v>
      </c>
      <c r="B420" t="s">
        <v>2064</v>
      </c>
      <c r="C420" t="s">
        <v>2065</v>
      </c>
      <c r="D420"/>
      <c r="E420" s="7">
        <f>IF(OR(D420="Invalid",D420&lt;0),"",D420)</f>
        <v>0</v>
      </c>
      <c r="F420" t="s">
        <v>2066</v>
      </c>
      <c r="G420" t="s">
        <v>168</v>
      </c>
      <c r="H420" t="str">
        <f>PROPER(TRIM(G420))</f>
        <v>Sneha Kapoor</v>
      </c>
      <c r="I420" t="s">
        <v>108</v>
      </c>
      <c r="J420" t="str">
        <f>PROPER(TRIM(I420))</f>
        <v>Corporate</v>
      </c>
      <c r="K420" t="s">
        <v>42</v>
      </c>
      <c r="L420" t="s">
        <v>43</v>
      </c>
      <c r="M420" t="s">
        <v>44</v>
      </c>
      <c r="N420" t="s">
        <v>86</v>
      </c>
      <c r="O420" t="str">
        <f>TRIM(N420)</f>
        <v>Technology</v>
      </c>
      <c r="P420" t="s">
        <v>94</v>
      </c>
      <c r="Q420" t="s">
        <v>2067</v>
      </c>
      <c r="R420" t="s">
        <v>67</v>
      </c>
      <c r="S420" t="s">
        <v>67</v>
      </c>
      <c r="T420">
        <v>6</v>
      </c>
      <c r="U420">
        <v>3660.4</v>
      </c>
      <c r="V420">
        <v>0</v>
      </c>
      <c r="W420">
        <v>21962.400000000001</v>
      </c>
      <c r="X420">
        <v>15331.99</v>
      </c>
      <c r="Y420">
        <v>6630.41</v>
      </c>
      <c r="Z420" t="s">
        <v>200</v>
      </c>
      <c r="AA420" t="s">
        <v>78</v>
      </c>
    </row>
    <row r="421" spans="1:27">
      <c r="A421" t="s">
        <v>2068</v>
      </c>
      <c r="B421" t="s">
        <v>2069</v>
      </c>
      <c r="C421" t="s">
        <v>2070</v>
      </c>
      <c r="D421"/>
      <c r="E421" s="7">
        <f>IF(OR(D421="Invalid",D421&lt;0),"",D421)</f>
        <v>0</v>
      </c>
      <c r="F421" t="s">
        <v>2071</v>
      </c>
      <c r="G421" t="s">
        <v>168</v>
      </c>
      <c r="H421" t="str">
        <f>PROPER(TRIM(G421))</f>
        <v>Sneha Kapoor</v>
      </c>
      <c r="I421" t="s">
        <v>115</v>
      </c>
      <c r="J421" t="str">
        <f>PROPER(TRIM(I421))</f>
        <v>Home Office</v>
      </c>
      <c r="K421" t="s">
        <v>27</v>
      </c>
      <c r="L421" t="s">
        <v>323</v>
      </c>
      <c r="M421" t="s">
        <v>324</v>
      </c>
      <c r="N421" t="s">
        <v>86</v>
      </c>
      <c r="O421" t="str">
        <f>TRIM(N421)</f>
        <v>Technology</v>
      </c>
      <c r="P421" t="s">
        <v>223</v>
      </c>
      <c r="Q421" t="s">
        <v>2072</v>
      </c>
      <c r="R421" t="s">
        <v>48</v>
      </c>
      <c r="S421" t="s">
        <v>48</v>
      </c>
      <c r="T421">
        <v>2</v>
      </c>
      <c r="U421">
        <v>688.83</v>
      </c>
      <c r="V421">
        <v>0.05</v>
      </c>
      <c r="W421">
        <v>1308.78</v>
      </c>
      <c r="X421">
        <v>843</v>
      </c>
      <c r="Y421">
        <v>465.78</v>
      </c>
      <c r="Z421" t="s">
        <v>34</v>
      </c>
      <c r="AA421" t="s">
        <v>35</v>
      </c>
    </row>
    <row r="422" spans="1:27">
      <c r="A422" t="s">
        <v>2073</v>
      </c>
      <c r="B422" t="s">
        <v>963</v>
      </c>
      <c r="C422" t="s">
        <v>2074</v>
      </c>
      <c r="D422"/>
      <c r="E422" s="7">
        <f>IF(OR(D422="Invalid",D422&lt;0),"",D422)</f>
        <v>0</v>
      </c>
      <c r="F422" t="s">
        <v>2075</v>
      </c>
      <c r="G422" t="s">
        <v>53</v>
      </c>
      <c r="H422" t="str">
        <f>PROPER(TRIM(G422))</f>
        <v>Isha Nair</v>
      </c>
      <c r="I422" t="s">
        <v>108</v>
      </c>
      <c r="J422" t="str">
        <f>PROPER(TRIM(I422))</f>
        <v>Corporate</v>
      </c>
      <c r="K422" t="s">
        <v>62</v>
      </c>
      <c r="L422" t="s">
        <v>339</v>
      </c>
      <c r="M422" t="s">
        <v>340</v>
      </c>
      <c r="N422" t="s">
        <v>86</v>
      </c>
      <c r="O422" t="str">
        <f>TRIM(N422)</f>
        <v>Technology</v>
      </c>
      <c r="P422" t="s">
        <v>382</v>
      </c>
      <c r="Q422" t="s">
        <v>2076</v>
      </c>
      <c r="R422" t="s">
        <v>67</v>
      </c>
      <c r="S422" t="s">
        <v>67</v>
      </c>
      <c r="T422">
        <v>2</v>
      </c>
      <c r="U422">
        <v>1209.99</v>
      </c>
      <c r="V422">
        <v>0.25</v>
      </c>
      <c r="W422">
        <v>1814.99</v>
      </c>
      <c r="X422">
        <v>1120.06</v>
      </c>
      <c r="Y422">
        <v>694.93</v>
      </c>
      <c r="Z422" t="s">
        <v>137</v>
      </c>
      <c r="AA422" t="s">
        <v>78</v>
      </c>
    </row>
    <row r="423" spans="1:27">
      <c r="A423" t="s">
        <v>2077</v>
      </c>
      <c r="B423" t="s">
        <v>2078</v>
      </c>
      <c r="C423" t="s">
        <v>2079</v>
      </c>
      <c r="D423"/>
      <c r="E423" s="7">
        <f>IF(OR(D423="Invalid",D423&lt;0),"",D423)</f>
        <v>0</v>
      </c>
      <c r="F423" t="s">
        <v>2080</v>
      </c>
      <c r="G423" t="s">
        <v>180</v>
      </c>
      <c r="H423" t="str">
        <f>PROPER(TRIM(G423))</f>
        <v>Rohan Mehta</v>
      </c>
      <c r="I423" t="s">
        <v>41</v>
      </c>
      <c r="J423" t="str">
        <f>PROPER(TRIM(I423))</f>
        <v>Small Business</v>
      </c>
      <c r="K423" t="s">
        <v>27</v>
      </c>
      <c r="L423" t="s">
        <v>506</v>
      </c>
      <c r="M423" t="s">
        <v>507</v>
      </c>
      <c r="N423" t="s">
        <v>30</v>
      </c>
      <c r="O423" t="str">
        <f>TRIM(N423)</f>
        <v>Office Supplies</v>
      </c>
      <c r="P423" t="s">
        <v>198</v>
      </c>
      <c r="Q423" t="s">
        <v>2081</v>
      </c>
      <c r="R423" t="s">
        <v>48</v>
      </c>
      <c r="S423" t="s">
        <v>48</v>
      </c>
      <c r="T423">
        <v>3</v>
      </c>
      <c r="U423">
        <v>1037.45</v>
      </c>
      <c r="V423">
        <v>0.2</v>
      </c>
      <c r="W423">
        <v>2489.88</v>
      </c>
      <c r="X423">
        <v>1707.52</v>
      </c>
      <c r="Y423">
        <v>782.36</v>
      </c>
      <c r="Z423" t="s">
        <v>137</v>
      </c>
      <c r="AA423" t="s">
        <v>125</v>
      </c>
    </row>
    <row r="424" spans="1:27">
      <c r="A424" t="s">
        <v>2082</v>
      </c>
      <c r="B424" t="s">
        <v>2083</v>
      </c>
      <c r="C424" t="s">
        <v>2084</v>
      </c>
      <c r="D424"/>
      <c r="E424" s="7">
        <f>IF(OR(D424="Invalid",D424&lt;0),"",D424)</f>
        <v>0</v>
      </c>
      <c r="F424" t="s">
        <v>2085</v>
      </c>
      <c r="G424" t="s">
        <v>366</v>
      </c>
      <c r="H424" t="str">
        <f>PROPER(TRIM(G424))</f>
        <v>Kabir Singh</v>
      </c>
      <c r="I424" t="s">
        <v>26</v>
      </c>
      <c r="J424" t="str">
        <f>PROPER(TRIM(I424))</f>
        <v>Consumer</v>
      </c>
      <c r="K424" t="s">
        <v>73</v>
      </c>
      <c r="L424" t="s">
        <v>84</v>
      </c>
      <c r="M424" t="s">
        <v>85</v>
      </c>
      <c r="N424" t="s">
        <v>86</v>
      </c>
      <c r="O424" t="str">
        <f>TRIM(N424)</f>
        <v>Technology</v>
      </c>
      <c r="P424" t="s">
        <v>94</v>
      </c>
      <c r="Q424" t="s">
        <v>2086</v>
      </c>
      <c r="R424" t="s">
        <v>48</v>
      </c>
      <c r="S424" t="s">
        <v>48</v>
      </c>
      <c r="T424">
        <v>7</v>
      </c>
      <c r="U424">
        <v>688.85</v>
      </c>
      <c r="V424">
        <v>0.15</v>
      </c>
      <c r="W424">
        <v>4098.66</v>
      </c>
      <c r="X424">
        <v>2678.06</v>
      </c>
      <c r="Y424">
        <v>1420.6</v>
      </c>
      <c r="Z424" t="s">
        <v>34</v>
      </c>
      <c r="AA424" t="s">
        <v>35</v>
      </c>
    </row>
    <row r="425" spans="1:27">
      <c r="A425" t="s">
        <v>2087</v>
      </c>
      <c r="B425" t="s">
        <v>2088</v>
      </c>
      <c r="C425" t="s">
        <v>2089</v>
      </c>
      <c r="D425"/>
      <c r="E425" s="7">
        <f>IF(OR(D425="Invalid",D425&lt;0),"",D425)</f>
        <v>0</v>
      </c>
      <c r="F425" t="s">
        <v>2090</v>
      </c>
      <c r="G425" t="s">
        <v>210</v>
      </c>
      <c r="H425" t="str">
        <f>PROPER(TRIM(G425))</f>
        <v>Diya Patel</v>
      </c>
      <c r="I425" t="s">
        <v>26</v>
      </c>
      <c r="J425" t="str">
        <f>PROPER(TRIM(I425))</f>
        <v>Consumer</v>
      </c>
      <c r="K425" t="s">
        <v>62</v>
      </c>
      <c r="L425" t="s">
        <v>242</v>
      </c>
      <c r="M425" t="s">
        <v>243</v>
      </c>
      <c r="N425" t="s">
        <v>86</v>
      </c>
      <c r="O425" t="str">
        <f>TRIM(N425)</f>
        <v>Technology</v>
      </c>
      <c r="P425" t="s">
        <v>87</v>
      </c>
      <c r="Q425" t="s">
        <v>2091</v>
      </c>
      <c r="R425" t="s">
        <v>2092</v>
      </c>
      <c r="S425" t="s">
        <v>2092</v>
      </c>
      <c r="T425">
        <v>9</v>
      </c>
      <c r="U425">
        <v>3779.31</v>
      </c>
      <c r="V425">
        <v>0.2</v>
      </c>
      <c r="W425">
        <v>27211.03</v>
      </c>
      <c r="X425">
        <v>17940.43</v>
      </c>
      <c r="Y425">
        <v>9270.6</v>
      </c>
      <c r="Z425" t="s">
        <v>34</v>
      </c>
      <c r="AA425" t="s">
        <v>35</v>
      </c>
    </row>
    <row r="426" spans="1:27">
      <c r="A426" t="s">
        <v>2093</v>
      </c>
      <c r="B426" t="s">
        <v>2094</v>
      </c>
      <c r="C426" t="s">
        <v>2095</v>
      </c>
      <c r="D426"/>
      <c r="E426" s="7">
        <f>IF(OR(D426="Invalid",D426&lt;0),"",D426)</f>
        <v>0</v>
      </c>
      <c r="F426" t="s">
        <v>2096</v>
      </c>
      <c r="G426" t="s">
        <v>93</v>
      </c>
      <c r="H426" t="str">
        <f>PROPER(TRIM(G426))</f>
        <v>Neha Gupta</v>
      </c>
      <c r="I426" t="s">
        <v>108</v>
      </c>
      <c r="J426" t="str">
        <f>PROPER(TRIM(I426))</f>
        <v>Corporate</v>
      </c>
      <c r="K426" t="s">
        <v>27</v>
      </c>
      <c r="L426" t="s">
        <v>154</v>
      </c>
      <c r="M426" t="s">
        <v>155</v>
      </c>
      <c r="N426" t="s">
        <v>86</v>
      </c>
      <c r="O426" t="str">
        <f>TRIM(N426)</f>
        <v>Technology</v>
      </c>
      <c r="P426" t="s">
        <v>223</v>
      </c>
      <c r="Q426" t="s">
        <v>2097</v>
      </c>
      <c r="R426" t="s">
        <v>67</v>
      </c>
      <c r="S426" t="s">
        <v>67</v>
      </c>
      <c r="T426">
        <v>8</v>
      </c>
      <c r="U426">
        <v>804.52</v>
      </c>
      <c r="V426">
        <v>0</v>
      </c>
      <c r="W426">
        <v>6436.16</v>
      </c>
      <c r="X426">
        <v>4263.83</v>
      </c>
      <c r="Y426">
        <v>2172.33</v>
      </c>
      <c r="Z426" t="s">
        <v>34</v>
      </c>
      <c r="AA426" t="s">
        <v>35</v>
      </c>
    </row>
    <row r="427" spans="1:27">
      <c r="A427" t="s">
        <v>2098</v>
      </c>
      <c r="B427" t="s">
        <v>2099</v>
      </c>
      <c r="C427" t="s">
        <v>2100</v>
      </c>
      <c r="D427"/>
      <c r="E427" s="7">
        <f>IF(OR(D427="Invalid",D427&lt;0),"",D427)</f>
        <v>0</v>
      </c>
      <c r="F427" t="s">
        <v>2101</v>
      </c>
      <c r="G427" t="s">
        <v>53</v>
      </c>
      <c r="H427" t="str">
        <f>PROPER(TRIM(G427))</f>
        <v>Isha Nair</v>
      </c>
      <c r="I427" t="s">
        <v>115</v>
      </c>
      <c r="J427" t="str">
        <f>PROPER(TRIM(I427))</f>
        <v>Home Office</v>
      </c>
      <c r="K427" t="s">
        <v>27</v>
      </c>
      <c r="L427" t="s">
        <v>506</v>
      </c>
      <c r="M427" t="s">
        <v>507</v>
      </c>
      <c r="N427" t="s">
        <v>30</v>
      </c>
      <c r="O427" t="str">
        <f>TRIM(N427)</f>
        <v>Office Supplies</v>
      </c>
      <c r="P427" t="s">
        <v>109</v>
      </c>
      <c r="Q427" t="s">
        <v>2102</v>
      </c>
      <c r="R427" t="s">
        <v>56</v>
      </c>
      <c r="S427" t="s">
        <v>56</v>
      </c>
      <c r="T427">
        <v>2</v>
      </c>
      <c r="U427">
        <v>1065.69</v>
      </c>
      <c r="V427">
        <v>0.1</v>
      </c>
      <c r="W427">
        <v>1918.24</v>
      </c>
      <c r="X427">
        <v>1373.52</v>
      </c>
      <c r="Y427">
        <v>544.72</v>
      </c>
      <c r="Z427" t="s">
        <v>124</v>
      </c>
      <c r="AA427" t="s">
        <v>78</v>
      </c>
    </row>
    <row r="428" spans="1:27">
      <c r="A428" t="s">
        <v>2103</v>
      </c>
      <c r="B428" t="s">
        <v>2104</v>
      </c>
      <c r="C428" t="s">
        <v>2105</v>
      </c>
      <c r="D428"/>
      <c r="E428" s="7">
        <f>IF(OR(D428="Invalid",D428&lt;0),"",D428)</f>
        <v>0</v>
      </c>
      <c r="F428" t="s">
        <v>2106</v>
      </c>
      <c r="G428" t="s">
        <v>107</v>
      </c>
      <c r="H428" t="str">
        <f>PROPER(TRIM(G428))</f>
        <v>Aditi Sen</v>
      </c>
      <c r="I428" t="s">
        <v>26</v>
      </c>
      <c r="J428" t="str">
        <f>PROPER(TRIM(I428))</f>
        <v>Consumer</v>
      </c>
      <c r="K428" t="s">
        <v>27</v>
      </c>
      <c r="L428" t="s">
        <v>323</v>
      </c>
      <c r="M428" t="s">
        <v>324</v>
      </c>
      <c r="N428" t="s">
        <v>86</v>
      </c>
      <c r="O428" t="str">
        <f>TRIM(N428)</f>
        <v>Technology</v>
      </c>
      <c r="P428" t="s">
        <v>94</v>
      </c>
      <c r="Q428" t="s">
        <v>2107</v>
      </c>
      <c r="R428" t="s">
        <v>48</v>
      </c>
      <c r="S428" t="s">
        <v>48</v>
      </c>
      <c r="T428">
        <v>8</v>
      </c>
      <c r="U428">
        <v>3756.66</v>
      </c>
      <c r="V428">
        <v>0.1</v>
      </c>
      <c r="W428">
        <v>27047.95</v>
      </c>
      <c r="X428">
        <v>18431.330000000002</v>
      </c>
      <c r="Y428">
        <v>8616.6200000000008</v>
      </c>
      <c r="Z428" t="s">
        <v>34</v>
      </c>
      <c r="AA428" t="s">
        <v>35</v>
      </c>
    </row>
    <row r="429" spans="1:27">
      <c r="A429" t="s">
        <v>2108</v>
      </c>
      <c r="B429" s="4" t="s">
        <v>2109</v>
      </c>
      <c r="C429" s="4" t="s">
        <v>2110</v>
      </c>
      <c r="D429" s="4" t="str">
        <f>IF(C317&lt;B317,"Invalid","OK")</f>
        <v>OK</v>
      </c>
      <c r="E429" s="7" t="str">
        <f>IF(OR(D429="Invalid",D429&lt;0),"",D429)</f>
        <v>OK</v>
      </c>
      <c r="F429" t="s">
        <v>2111</v>
      </c>
      <c r="G429" t="s">
        <v>53</v>
      </c>
      <c r="H429" t="str">
        <f>PROPER(TRIM(G429))</f>
        <v>Isha Nair</v>
      </c>
      <c r="I429" t="s">
        <v>108</v>
      </c>
      <c r="J429" t="str">
        <f>PROPER(TRIM(I429))</f>
        <v>Corporate</v>
      </c>
      <c r="K429" t="s">
        <v>42</v>
      </c>
      <c r="L429" t="s">
        <v>311</v>
      </c>
      <c r="M429" t="s">
        <v>312</v>
      </c>
      <c r="N429" t="s">
        <v>86</v>
      </c>
      <c r="O429" t="str">
        <f>TRIM(N429)</f>
        <v>Technology</v>
      </c>
      <c r="P429" t="s">
        <v>87</v>
      </c>
      <c r="Q429" t="s">
        <v>2112</v>
      </c>
      <c r="R429" t="s">
        <v>286</v>
      </c>
      <c r="S429" t="s">
        <v>286</v>
      </c>
      <c r="T429">
        <v>9</v>
      </c>
      <c r="U429">
        <v>2939.44</v>
      </c>
      <c r="V429">
        <v>0</v>
      </c>
      <c r="W429">
        <v>26454.959999999999</v>
      </c>
      <c r="X429">
        <v>17630.25</v>
      </c>
      <c r="Y429">
        <v>8824.7099999999991</v>
      </c>
      <c r="Z429" t="s">
        <v>34</v>
      </c>
      <c r="AA429" t="s">
        <v>35</v>
      </c>
    </row>
    <row r="430" spans="1:27">
      <c r="A430" t="s">
        <v>2113</v>
      </c>
      <c r="B430" t="s">
        <v>2114</v>
      </c>
      <c r="C430" t="s">
        <v>2115</v>
      </c>
      <c r="D430"/>
      <c r="E430" s="7">
        <f>IF(OR(D430="Invalid",D430&lt;0),"",D430)</f>
        <v>0</v>
      </c>
      <c r="F430" t="s">
        <v>2116</v>
      </c>
      <c r="G430" t="s">
        <v>25</v>
      </c>
      <c r="H430" t="str">
        <f>PROPER(TRIM(G430))</f>
        <v>Karan Malhotra</v>
      </c>
      <c r="I430" t="s">
        <v>41</v>
      </c>
      <c r="J430" t="str">
        <f>PROPER(TRIM(I430))</f>
        <v>Small Business</v>
      </c>
      <c r="K430" t="s">
        <v>42</v>
      </c>
      <c r="L430" t="s">
        <v>121</v>
      </c>
      <c r="M430" t="s">
        <v>122</v>
      </c>
      <c r="N430" t="s">
        <v>86</v>
      </c>
      <c r="O430" t="str">
        <f>TRIM(N430)</f>
        <v>Technology</v>
      </c>
      <c r="P430" t="s">
        <v>223</v>
      </c>
      <c r="Q430" t="s">
        <v>2117</v>
      </c>
      <c r="R430" t="s">
        <v>48</v>
      </c>
      <c r="S430" t="s">
        <v>48</v>
      </c>
      <c r="T430">
        <v>2</v>
      </c>
      <c r="U430">
        <v>1235.93</v>
      </c>
      <c r="V430">
        <v>0.25</v>
      </c>
      <c r="W430">
        <v>1853.89</v>
      </c>
      <c r="X430">
        <v>1101.23</v>
      </c>
      <c r="Y430">
        <v>752.66</v>
      </c>
      <c r="Z430" t="s">
        <v>137</v>
      </c>
      <c r="AA430" t="s">
        <v>78</v>
      </c>
    </row>
    <row r="431" spans="1:27">
      <c r="A431" t="s">
        <v>2118</v>
      </c>
      <c r="B431" t="s">
        <v>2119</v>
      </c>
      <c r="C431" t="s">
        <v>2120</v>
      </c>
      <c r="D431"/>
      <c r="E431" s="7">
        <f>IF(OR(D431="Invalid",D431&lt;0),"",D431)</f>
        <v>0</v>
      </c>
      <c r="F431" t="s">
        <v>2121</v>
      </c>
      <c r="G431" t="s">
        <v>93</v>
      </c>
      <c r="H431" t="str">
        <f>PROPER(TRIM(G431))</f>
        <v>Neha Gupta</v>
      </c>
      <c r="I431" t="s">
        <v>115</v>
      </c>
      <c r="J431" t="str">
        <f>PROPER(TRIM(I431))</f>
        <v>Home Office</v>
      </c>
      <c r="K431" t="s">
        <v>27</v>
      </c>
      <c r="L431" t="s">
        <v>28</v>
      </c>
      <c r="M431" t="s">
        <v>29</v>
      </c>
      <c r="N431" t="s">
        <v>86</v>
      </c>
      <c r="O431" t="str">
        <f>TRIM(N431)</f>
        <v>Technology</v>
      </c>
      <c r="P431" t="s">
        <v>94</v>
      </c>
      <c r="Q431" t="s">
        <v>2122</v>
      </c>
      <c r="R431" t="s">
        <v>48</v>
      </c>
      <c r="S431" t="s">
        <v>48</v>
      </c>
      <c r="T431">
        <v>8</v>
      </c>
      <c r="U431">
        <v>2943.1</v>
      </c>
      <c r="V431">
        <v>0.25</v>
      </c>
      <c r="W431">
        <v>17658.599999999999</v>
      </c>
      <c r="X431">
        <v>13842.48</v>
      </c>
      <c r="Y431">
        <v>3816.12</v>
      </c>
      <c r="Z431" t="s">
        <v>34</v>
      </c>
      <c r="AA431" t="s">
        <v>35</v>
      </c>
    </row>
    <row r="432" spans="1:27">
      <c r="A432" t="s">
        <v>2123</v>
      </c>
      <c r="B432" t="s">
        <v>2124</v>
      </c>
      <c r="C432" t="s">
        <v>2125</v>
      </c>
      <c r="D432"/>
      <c r="E432" s="7">
        <f>IF(OR(D432="Invalid",D432&lt;0),"",D432)</f>
        <v>0</v>
      </c>
      <c r="F432" t="s">
        <v>2126</v>
      </c>
      <c r="G432" t="s">
        <v>93</v>
      </c>
      <c r="H432" t="str">
        <f>PROPER(TRIM(G432))</f>
        <v>Neha Gupta</v>
      </c>
      <c r="I432" t="s">
        <v>41</v>
      </c>
      <c r="J432" t="str">
        <f>PROPER(TRIM(I432))</f>
        <v>Small Business</v>
      </c>
      <c r="K432" t="s">
        <v>27</v>
      </c>
      <c r="L432" t="s">
        <v>323</v>
      </c>
      <c r="M432" t="s">
        <v>324</v>
      </c>
      <c r="N432" t="s">
        <v>30</v>
      </c>
      <c r="O432" t="str">
        <f>TRIM(N432)</f>
        <v>Office Supplies</v>
      </c>
      <c r="P432" t="s">
        <v>31</v>
      </c>
      <c r="Q432" t="s">
        <v>2127</v>
      </c>
      <c r="R432" t="s">
        <v>33</v>
      </c>
      <c r="S432" t="s">
        <v>33</v>
      </c>
      <c r="T432">
        <v>1</v>
      </c>
      <c r="U432">
        <v>4320.84</v>
      </c>
      <c r="V432">
        <v>0.15</v>
      </c>
      <c r="W432">
        <v>3672.71</v>
      </c>
      <c r="X432">
        <v>2714.23</v>
      </c>
      <c r="Y432">
        <v>763.38</v>
      </c>
      <c r="Z432" t="s">
        <v>34</v>
      </c>
      <c r="AA432" t="s">
        <v>35</v>
      </c>
    </row>
    <row r="433" spans="1:27">
      <c r="A433" t="s">
        <v>2128</v>
      </c>
      <c r="B433" t="s">
        <v>2129</v>
      </c>
      <c r="C433" t="s">
        <v>2130</v>
      </c>
      <c r="D433"/>
      <c r="E433" s="7">
        <f>IF(OR(D433="Invalid",D433&lt;0),"",D433)</f>
        <v>0</v>
      </c>
      <c r="F433" t="s">
        <v>2131</v>
      </c>
      <c r="G433" t="s">
        <v>25</v>
      </c>
      <c r="H433" t="str">
        <f>PROPER(TRIM(G433))</f>
        <v>Karan Malhotra</v>
      </c>
      <c r="I433" t="s">
        <v>115</v>
      </c>
      <c r="J433" t="str">
        <f>PROPER(TRIM(I433))</f>
        <v>Home Office</v>
      </c>
      <c r="K433" t="s">
        <v>73</v>
      </c>
      <c r="L433" t="s">
        <v>249</v>
      </c>
      <c r="M433" t="s">
        <v>250</v>
      </c>
      <c r="N433" t="s">
        <v>86</v>
      </c>
      <c r="O433" t="str">
        <f>TRIM(N433)</f>
        <v>Technology</v>
      </c>
      <c r="P433" t="s">
        <v>382</v>
      </c>
      <c r="Q433" t="s">
        <v>2132</v>
      </c>
      <c r="R433" t="s">
        <v>48</v>
      </c>
      <c r="S433" t="s">
        <v>48</v>
      </c>
      <c r="T433">
        <v>2</v>
      </c>
      <c r="U433">
        <v>4118.45</v>
      </c>
      <c r="V433">
        <v>0.25</v>
      </c>
      <c r="W433">
        <v>6177.67</v>
      </c>
      <c r="X433">
        <v>4520.75</v>
      </c>
      <c r="Y433">
        <v>1656.92</v>
      </c>
      <c r="Z433" t="s">
        <v>34</v>
      </c>
      <c r="AA433" t="s">
        <v>35</v>
      </c>
    </row>
    <row r="434" spans="1:27">
      <c r="A434" t="s">
        <v>2133</v>
      </c>
      <c r="B434" t="s">
        <v>1950</v>
      </c>
      <c r="C434" t="s">
        <v>2125</v>
      </c>
      <c r="D434"/>
      <c r="E434" s="7">
        <f>IF(OR(D434="Invalid",D434&lt;0),"",D434)</f>
        <v>0</v>
      </c>
      <c r="F434" t="s">
        <v>2134</v>
      </c>
      <c r="G434" t="s">
        <v>142</v>
      </c>
      <c r="H434" t="str">
        <f>PROPER(TRIM(G434))</f>
        <v>Priya Menon</v>
      </c>
      <c r="I434" t="s">
        <v>41</v>
      </c>
      <c r="J434" t="str">
        <f>PROPER(TRIM(I434))</f>
        <v>Small Business</v>
      </c>
      <c r="K434" t="s">
        <v>73</v>
      </c>
      <c r="L434" t="s">
        <v>74</v>
      </c>
      <c r="M434" t="s">
        <v>75</v>
      </c>
      <c r="N434" t="s">
        <v>45</v>
      </c>
      <c r="O434" t="str">
        <f>TRIM(N434)</f>
        <v>Furniture</v>
      </c>
      <c r="P434" t="s">
        <v>204</v>
      </c>
      <c r="Q434" t="s">
        <v>2135</v>
      </c>
      <c r="R434" t="s">
        <v>67</v>
      </c>
      <c r="S434" t="s">
        <v>67</v>
      </c>
      <c r="T434">
        <v>6</v>
      </c>
      <c r="U434">
        <v>172.82</v>
      </c>
      <c r="V434">
        <v>0.05</v>
      </c>
      <c r="W434">
        <v>985.07</v>
      </c>
      <c r="X434">
        <v>844.48</v>
      </c>
      <c r="Y434">
        <v>140.59</v>
      </c>
      <c r="Z434" t="s">
        <v>34</v>
      </c>
      <c r="AA434" t="s">
        <v>35</v>
      </c>
    </row>
    <row r="435" spans="1:27">
      <c r="A435" t="s">
        <v>2136</v>
      </c>
      <c r="B435" t="s">
        <v>2137</v>
      </c>
      <c r="C435" t="s">
        <v>2138</v>
      </c>
      <c r="D435"/>
      <c r="E435" s="7">
        <f>IF(OR(D435="Invalid",D435&lt;0),"",D435)</f>
        <v>0</v>
      </c>
      <c r="F435" t="s">
        <v>2139</v>
      </c>
      <c r="G435" t="s">
        <v>142</v>
      </c>
      <c r="H435" t="str">
        <f>PROPER(TRIM(G435))</f>
        <v>Priya Menon</v>
      </c>
      <c r="I435" t="s">
        <v>108</v>
      </c>
      <c r="J435" t="str">
        <f>PROPER(TRIM(I435))</f>
        <v>Corporate</v>
      </c>
      <c r="K435" t="s">
        <v>62</v>
      </c>
      <c r="L435" t="s">
        <v>242</v>
      </c>
      <c r="M435" t="s">
        <v>243</v>
      </c>
      <c r="N435" t="s">
        <v>30</v>
      </c>
      <c r="O435" t="str">
        <f>TRIM(N435)</f>
        <v>Office Supplies</v>
      </c>
      <c r="P435" t="s">
        <v>54</v>
      </c>
      <c r="Q435" t="s">
        <v>2140</v>
      </c>
      <c r="R435" t="s">
        <v>33</v>
      </c>
      <c r="S435" t="s">
        <v>33</v>
      </c>
      <c r="T435">
        <v>4</v>
      </c>
      <c r="U435">
        <v>1540.22</v>
      </c>
      <c r="V435">
        <v>0</v>
      </c>
      <c r="W435">
        <v>6160.88</v>
      </c>
      <c r="X435">
        <v>4938.7</v>
      </c>
      <c r="Y435">
        <v>1222.18</v>
      </c>
      <c r="Z435" t="s">
        <v>124</v>
      </c>
      <c r="AA435" t="s">
        <v>125</v>
      </c>
    </row>
    <row r="436" spans="1:27">
      <c r="A436" t="s">
        <v>2141</v>
      </c>
      <c r="B436" t="s">
        <v>2142</v>
      </c>
      <c r="C436" t="s">
        <v>2143</v>
      </c>
      <c r="D436"/>
      <c r="E436" s="7">
        <f>IF(OR(D436="Invalid",D436&lt;0),"",D436)</f>
        <v>0</v>
      </c>
      <c r="F436" t="s">
        <v>2144</v>
      </c>
      <c r="G436" t="s">
        <v>40</v>
      </c>
      <c r="H436" t="str">
        <f>PROPER(TRIM(G436))</f>
        <v>Mira Das</v>
      </c>
      <c r="I436" t="s">
        <v>115</v>
      </c>
      <c r="J436" t="str">
        <f>PROPER(TRIM(I436))</f>
        <v>Home Office</v>
      </c>
      <c r="K436" t="s">
        <v>27</v>
      </c>
      <c r="L436" t="s">
        <v>174</v>
      </c>
      <c r="M436" t="s">
        <v>175</v>
      </c>
      <c r="N436" t="s">
        <v>86</v>
      </c>
      <c r="O436" t="str">
        <f>TRIM(N436)</f>
        <v>Technology</v>
      </c>
      <c r="P436" t="s">
        <v>87</v>
      </c>
      <c r="Q436" t="s">
        <v>2145</v>
      </c>
      <c r="R436" t="s">
        <v>33</v>
      </c>
      <c r="S436" t="s">
        <v>33</v>
      </c>
      <c r="T436">
        <v>5</v>
      </c>
      <c r="U436">
        <v>652.78</v>
      </c>
      <c r="V436">
        <v>0</v>
      </c>
      <c r="W436">
        <v>3263.9</v>
      </c>
      <c r="X436">
        <v>2068.44</v>
      </c>
      <c r="Y436">
        <v>1195.46</v>
      </c>
      <c r="Z436" t="s">
        <v>34</v>
      </c>
      <c r="AA436" t="s">
        <v>35</v>
      </c>
    </row>
    <row r="437" spans="1:27">
      <c r="A437" t="s">
        <v>2146</v>
      </c>
      <c r="B437" t="s">
        <v>2147</v>
      </c>
      <c r="C437" t="s">
        <v>1028</v>
      </c>
      <c r="D437"/>
      <c r="E437" s="7">
        <f>IF(OR(D437="Invalid",D437&lt;0),"",D437)</f>
        <v>0</v>
      </c>
      <c r="F437" t="s">
        <v>2148</v>
      </c>
      <c r="G437" t="s">
        <v>366</v>
      </c>
      <c r="H437" t="str">
        <f>PROPER(TRIM(G437))</f>
        <v>Kabir Singh</v>
      </c>
      <c r="I437" t="s">
        <v>115</v>
      </c>
      <c r="J437" t="str">
        <f>PROPER(TRIM(I437))</f>
        <v>Home Office</v>
      </c>
      <c r="K437" t="s">
        <v>27</v>
      </c>
      <c r="L437" t="s">
        <v>506</v>
      </c>
      <c r="M437" t="s">
        <v>507</v>
      </c>
      <c r="N437" t="s">
        <v>86</v>
      </c>
      <c r="O437" t="str">
        <f>TRIM(N437)</f>
        <v>Technology</v>
      </c>
      <c r="P437" t="s">
        <v>382</v>
      </c>
      <c r="Q437" t="s">
        <v>2149</v>
      </c>
      <c r="R437" t="s">
        <v>67</v>
      </c>
      <c r="S437" t="s">
        <v>67</v>
      </c>
      <c r="T437">
        <v>1</v>
      </c>
      <c r="U437">
        <v>2737.71</v>
      </c>
      <c r="V437">
        <v>0.15</v>
      </c>
      <c r="W437">
        <v>2327.0500000000002</v>
      </c>
      <c r="X437">
        <v>1919.42</v>
      </c>
      <c r="Y437">
        <v>407.63</v>
      </c>
      <c r="Z437" t="s">
        <v>34</v>
      </c>
      <c r="AA437" t="s">
        <v>78</v>
      </c>
    </row>
    <row r="438" spans="1:27">
      <c r="A438" t="s">
        <v>2150</v>
      </c>
      <c r="B438" t="s">
        <v>2151</v>
      </c>
      <c r="C438" t="s">
        <v>2152</v>
      </c>
      <c r="D438"/>
      <c r="E438" s="7">
        <f>IF(OR(D438="Invalid",D438&lt;0),"",D438)</f>
        <v>0</v>
      </c>
      <c r="F438" t="s">
        <v>2153</v>
      </c>
      <c r="G438" t="s">
        <v>93</v>
      </c>
      <c r="H438" t="str">
        <f>PROPER(TRIM(G438))</f>
        <v>Neha Gupta</v>
      </c>
      <c r="I438" t="s">
        <v>26</v>
      </c>
      <c r="J438" t="str">
        <f>PROPER(TRIM(I438))</f>
        <v>Consumer</v>
      </c>
      <c r="K438" t="s">
        <v>62</v>
      </c>
      <c r="L438" t="s">
        <v>242</v>
      </c>
      <c r="M438" t="s">
        <v>243</v>
      </c>
      <c r="N438" t="s">
        <v>45</v>
      </c>
      <c r="O438" t="str">
        <f>TRIM(N438)</f>
        <v>Furniture</v>
      </c>
      <c r="P438" t="s">
        <v>65</v>
      </c>
      <c r="Q438" t="s">
        <v>2154</v>
      </c>
      <c r="R438" t="s">
        <v>48</v>
      </c>
      <c r="S438" t="s">
        <v>48</v>
      </c>
      <c r="T438">
        <v>6</v>
      </c>
      <c r="U438">
        <v>1156.78</v>
      </c>
      <c r="V438">
        <v>0.05</v>
      </c>
      <c r="W438">
        <v>6593.65</v>
      </c>
      <c r="X438">
        <v>4359.3900000000003</v>
      </c>
      <c r="Y438">
        <v>2234.2600000000002</v>
      </c>
      <c r="Z438" t="s">
        <v>34</v>
      </c>
      <c r="AA438" t="s">
        <v>125</v>
      </c>
    </row>
    <row r="439" spans="1:27">
      <c r="A439" t="s">
        <v>2155</v>
      </c>
      <c r="B439" t="s">
        <v>2156</v>
      </c>
      <c r="C439" t="s">
        <v>2157</v>
      </c>
      <c r="D439"/>
      <c r="E439" s="7">
        <f>IF(OR(D439="Invalid",D439&lt;0),"",D439)</f>
        <v>0</v>
      </c>
      <c r="F439" t="s">
        <v>2158</v>
      </c>
      <c r="G439" t="s">
        <v>107</v>
      </c>
      <c r="H439" t="str">
        <f>PROPER(TRIM(G439))</f>
        <v>Aditi Sen</v>
      </c>
      <c r="I439" t="s">
        <v>41</v>
      </c>
      <c r="J439" t="str">
        <f>PROPER(TRIM(I439))</f>
        <v>Small Business</v>
      </c>
      <c r="K439" t="s">
        <v>62</v>
      </c>
      <c r="L439" t="s">
        <v>242</v>
      </c>
      <c r="M439" t="s">
        <v>243</v>
      </c>
      <c r="N439" t="s">
        <v>86</v>
      </c>
      <c r="O439" t="str">
        <f>TRIM(N439)</f>
        <v>Technology</v>
      </c>
      <c r="P439" t="s">
        <v>87</v>
      </c>
      <c r="Q439" t="s">
        <v>2159</v>
      </c>
      <c r="R439" t="s">
        <v>48</v>
      </c>
      <c r="S439" t="s">
        <v>48</v>
      </c>
      <c r="T439">
        <v>8</v>
      </c>
      <c r="U439">
        <v>379.82</v>
      </c>
      <c r="V439">
        <v>0.05</v>
      </c>
      <c r="W439">
        <v>2886.63</v>
      </c>
      <c r="X439">
        <v>1588.23</v>
      </c>
      <c r="Y439">
        <v>1298.4000000000001</v>
      </c>
      <c r="Z439" t="s">
        <v>200</v>
      </c>
      <c r="AA439" t="s">
        <v>125</v>
      </c>
    </row>
    <row r="440" spans="1:27">
      <c r="A440" t="s">
        <v>2160</v>
      </c>
      <c r="B440" t="s">
        <v>1023</v>
      </c>
      <c r="C440" t="s">
        <v>2161</v>
      </c>
      <c r="D440"/>
      <c r="E440" s="7">
        <f>IF(OR(D440="Invalid",D440&lt;0),"",D440)</f>
        <v>0</v>
      </c>
      <c r="F440" t="s">
        <v>2162</v>
      </c>
      <c r="G440" t="s">
        <v>93</v>
      </c>
      <c r="H440" t="str">
        <f>PROPER(TRIM(G440))</f>
        <v>Neha Gupta</v>
      </c>
      <c r="I440" t="s">
        <v>108</v>
      </c>
      <c r="J440" t="str">
        <f>PROPER(TRIM(I440))</f>
        <v>Corporate</v>
      </c>
      <c r="K440" t="s">
        <v>42</v>
      </c>
      <c r="L440" t="s">
        <v>311</v>
      </c>
      <c r="M440" t="s">
        <v>312</v>
      </c>
      <c r="N440" t="s">
        <v>86</v>
      </c>
      <c r="O440" t="str">
        <f>TRIM(N440)</f>
        <v>Technology</v>
      </c>
      <c r="P440" t="s">
        <v>223</v>
      </c>
      <c r="Q440" t="s">
        <v>2163</v>
      </c>
      <c r="R440" t="s">
        <v>67</v>
      </c>
      <c r="S440" t="s">
        <v>67</v>
      </c>
      <c r="T440">
        <v>1</v>
      </c>
      <c r="U440">
        <v>2266.4699999999998</v>
      </c>
      <c r="V440">
        <v>0.2</v>
      </c>
      <c r="W440">
        <v>1813.18</v>
      </c>
      <c r="X440">
        <v>1363.64</v>
      </c>
      <c r="Y440">
        <v>449.54</v>
      </c>
      <c r="Z440" t="s">
        <v>34</v>
      </c>
      <c r="AA440" t="s">
        <v>35</v>
      </c>
    </row>
    <row r="441" spans="1:27">
      <c r="A441" t="s">
        <v>2164</v>
      </c>
      <c r="B441" t="s">
        <v>2165</v>
      </c>
      <c r="C441" t="s">
        <v>2166</v>
      </c>
      <c r="D441"/>
      <c r="E441" s="7">
        <f>IF(OR(D441="Invalid",D441&lt;0),"",D441)</f>
        <v>0</v>
      </c>
      <c r="F441" t="s">
        <v>2167</v>
      </c>
      <c r="G441" t="s">
        <v>162</v>
      </c>
      <c r="H441" t="str">
        <f>PROPER(TRIM(G441))</f>
        <v>Aarav Sharma</v>
      </c>
      <c r="I441" t="s">
        <v>115</v>
      </c>
      <c r="J441" t="str">
        <f>PROPER(TRIM(I441))</f>
        <v>Home Office</v>
      </c>
      <c r="K441" t="s">
        <v>73</v>
      </c>
      <c r="L441" t="s">
        <v>249</v>
      </c>
      <c r="M441" t="s">
        <v>250</v>
      </c>
      <c r="N441" t="s">
        <v>30</v>
      </c>
      <c r="O441" t="str">
        <f>TRIM(N441)</f>
        <v>Office Supplies</v>
      </c>
      <c r="P441" t="s">
        <v>156</v>
      </c>
      <c r="Q441" t="s">
        <v>2168</v>
      </c>
      <c r="R441" t="s">
        <v>48</v>
      </c>
      <c r="S441" t="s">
        <v>48</v>
      </c>
      <c r="T441">
        <v>5</v>
      </c>
      <c r="U441">
        <v>665.25</v>
      </c>
      <c r="V441">
        <v>0</v>
      </c>
      <c r="W441">
        <v>3326.25</v>
      </c>
      <c r="X441">
        <v>2689.36</v>
      </c>
      <c r="Y441">
        <v>636.89</v>
      </c>
      <c r="Z441" t="s">
        <v>124</v>
      </c>
      <c r="AA441" t="s">
        <v>125</v>
      </c>
    </row>
    <row r="442" spans="1:27">
      <c r="A442" t="s">
        <v>2169</v>
      </c>
      <c r="B442" t="s">
        <v>2170</v>
      </c>
      <c r="C442" t="s">
        <v>2171</v>
      </c>
      <c r="D442"/>
      <c r="E442" s="7">
        <f>IF(OR(D442="Invalid",D442&lt;0),"",D442)</f>
        <v>0</v>
      </c>
      <c r="F442" t="s">
        <v>376</v>
      </c>
      <c r="G442" t="s">
        <v>83</v>
      </c>
      <c r="H442" t="str">
        <f>PROPER(TRIM(G442))</f>
        <v>Vikram Iyer</v>
      </c>
      <c r="I442" t="s">
        <v>108</v>
      </c>
      <c r="J442" t="str">
        <f>PROPER(TRIM(I442))</f>
        <v>Corporate</v>
      </c>
      <c r="K442" t="s">
        <v>42</v>
      </c>
      <c r="L442" t="s">
        <v>43</v>
      </c>
      <c r="M442" t="s">
        <v>44</v>
      </c>
      <c r="N442" t="s">
        <v>86</v>
      </c>
      <c r="O442" t="str">
        <f>TRIM(N442)</f>
        <v>Technology</v>
      </c>
      <c r="P442" t="s">
        <v>382</v>
      </c>
      <c r="Q442" t="s">
        <v>2172</v>
      </c>
      <c r="R442" t="s">
        <v>33</v>
      </c>
      <c r="S442" t="s">
        <v>33</v>
      </c>
      <c r="T442">
        <v>6</v>
      </c>
      <c r="U442">
        <v>3722.84</v>
      </c>
      <c r="V442">
        <v>0.2</v>
      </c>
      <c r="W442">
        <v>17869.63</v>
      </c>
      <c r="X442">
        <v>12163.8</v>
      </c>
      <c r="Y442">
        <v>5705.83</v>
      </c>
      <c r="Z442" t="s">
        <v>34</v>
      </c>
      <c r="AA442" t="s">
        <v>35</v>
      </c>
    </row>
    <row r="443" spans="1:27">
      <c r="A443" t="s">
        <v>2173</v>
      </c>
      <c r="B443" t="s">
        <v>2174</v>
      </c>
      <c r="C443" t="s">
        <v>525</v>
      </c>
      <c r="D443"/>
      <c r="E443" s="7">
        <f>IF(OR(D443="Invalid",D443&lt;0),"",D443)</f>
        <v>0</v>
      </c>
      <c r="F443" t="s">
        <v>2175</v>
      </c>
      <c r="G443" t="s">
        <v>25</v>
      </c>
      <c r="H443" t="str">
        <f>PROPER(TRIM(G443))</f>
        <v>Karan Malhotra</v>
      </c>
      <c r="I443" t="s">
        <v>26</v>
      </c>
      <c r="J443" t="str">
        <f>PROPER(TRIM(I443))</f>
        <v>Consumer</v>
      </c>
      <c r="K443" t="s">
        <v>42</v>
      </c>
      <c r="L443" t="s">
        <v>186</v>
      </c>
      <c r="M443" t="s">
        <v>187</v>
      </c>
      <c r="N443" t="s">
        <v>45</v>
      </c>
      <c r="O443" t="str">
        <f>TRIM(N443)</f>
        <v>Furniture</v>
      </c>
      <c r="P443" t="s">
        <v>204</v>
      </c>
      <c r="Q443" t="s">
        <v>2176</v>
      </c>
      <c r="R443" t="s">
        <v>67</v>
      </c>
      <c r="S443" t="s">
        <v>67</v>
      </c>
      <c r="T443">
        <v>6</v>
      </c>
      <c r="U443">
        <v>4217.49</v>
      </c>
      <c r="V443">
        <v>0</v>
      </c>
      <c r="W443">
        <v>25304.94</v>
      </c>
      <c r="X443">
        <v>20771.95</v>
      </c>
      <c r="Y443">
        <v>4532.99</v>
      </c>
      <c r="Z443" t="s">
        <v>34</v>
      </c>
      <c r="AA443" t="s">
        <v>78</v>
      </c>
    </row>
    <row r="444" spans="1:27">
      <c r="A444" t="s">
        <v>2177</v>
      </c>
      <c r="B444" t="s">
        <v>2178</v>
      </c>
      <c r="C444" t="s">
        <v>2179</v>
      </c>
      <c r="D444"/>
      <c r="E444" s="7">
        <f>IF(OR(D444="Invalid",D444&lt;0),"",D444)</f>
        <v>0</v>
      </c>
      <c r="F444" t="s">
        <v>2180</v>
      </c>
      <c r="G444" t="s">
        <v>162</v>
      </c>
      <c r="H444" t="str">
        <f>PROPER(TRIM(G444))</f>
        <v>Aarav Sharma</v>
      </c>
      <c r="I444" t="s">
        <v>26</v>
      </c>
      <c r="J444" t="str">
        <f>PROPER(TRIM(I444))</f>
        <v>Consumer</v>
      </c>
      <c r="K444" t="s">
        <v>42</v>
      </c>
      <c r="L444" t="s">
        <v>311</v>
      </c>
      <c r="M444" t="s">
        <v>312</v>
      </c>
      <c r="N444" t="s">
        <v>45</v>
      </c>
      <c r="O444" t="str">
        <f>TRIM(N444)</f>
        <v>Furniture</v>
      </c>
      <c r="P444" t="s">
        <v>46</v>
      </c>
      <c r="Q444" t="s">
        <v>2181</v>
      </c>
      <c r="R444" t="s">
        <v>56</v>
      </c>
      <c r="S444" t="s">
        <v>56</v>
      </c>
      <c r="T444">
        <v>1</v>
      </c>
      <c r="U444">
        <v>1842.31</v>
      </c>
      <c r="V444">
        <v>0</v>
      </c>
      <c r="W444">
        <v>1842.31</v>
      </c>
      <c r="X444">
        <v>1019.17</v>
      </c>
      <c r="Y444">
        <v>823.14</v>
      </c>
      <c r="Z444" t="s">
        <v>34</v>
      </c>
      <c r="AA444" t="s">
        <v>35</v>
      </c>
    </row>
    <row r="445" spans="1:27">
      <c r="A445" t="s">
        <v>2182</v>
      </c>
      <c r="B445" t="s">
        <v>2183</v>
      </c>
      <c r="C445" t="s">
        <v>1894</v>
      </c>
      <c r="D445"/>
      <c r="E445" s="7">
        <f>IF(OR(D445="Invalid",D445&lt;0),"",D445)</f>
        <v>0</v>
      </c>
      <c r="F445" t="s">
        <v>2184</v>
      </c>
      <c r="G445" t="s">
        <v>180</v>
      </c>
      <c r="H445" t="str">
        <f>PROPER(TRIM(G445))</f>
        <v>Rohan Mehta</v>
      </c>
      <c r="I445" t="s">
        <v>115</v>
      </c>
      <c r="J445" t="str">
        <f>PROPER(TRIM(I445))</f>
        <v>Home Office</v>
      </c>
      <c r="K445" t="s">
        <v>42</v>
      </c>
      <c r="L445" t="s">
        <v>43</v>
      </c>
      <c r="M445" t="s">
        <v>44</v>
      </c>
      <c r="N445" t="s">
        <v>45</v>
      </c>
      <c r="O445" t="str">
        <f>TRIM(N445)</f>
        <v>Furniture</v>
      </c>
      <c r="P445" t="s">
        <v>65</v>
      </c>
      <c r="Q445" t="s">
        <v>2185</v>
      </c>
      <c r="R445" t="s">
        <v>56</v>
      </c>
      <c r="S445" t="s">
        <v>56</v>
      </c>
      <c r="T445">
        <v>1</v>
      </c>
      <c r="U445">
        <v>3683.75</v>
      </c>
      <c r="V445">
        <v>0.1</v>
      </c>
      <c r="W445">
        <v>3315.38</v>
      </c>
      <c r="X445">
        <v>2347.6799999999998</v>
      </c>
      <c r="Y445">
        <v>967.7</v>
      </c>
      <c r="Z445" t="s">
        <v>34</v>
      </c>
      <c r="AA445" t="s">
        <v>35</v>
      </c>
    </row>
    <row r="446" spans="1:27">
      <c r="A446" t="s">
        <v>2186</v>
      </c>
      <c r="B446" t="s">
        <v>2187</v>
      </c>
      <c r="C446" t="s">
        <v>1859</v>
      </c>
      <c r="D446"/>
      <c r="E446" s="7">
        <f>IF(OR(D446="Invalid",D446&lt;0),"",D446)</f>
        <v>0</v>
      </c>
      <c r="F446" t="s">
        <v>2188</v>
      </c>
      <c r="G446" t="s">
        <v>72</v>
      </c>
      <c r="H446" t="str">
        <f>PROPER(TRIM(G446))</f>
        <v>Ananya Rao</v>
      </c>
      <c r="I446" t="s">
        <v>26</v>
      </c>
      <c r="J446" t="str">
        <f>PROPER(TRIM(I446))</f>
        <v>Consumer</v>
      </c>
      <c r="K446" t="s">
        <v>42</v>
      </c>
      <c r="L446" t="s">
        <v>216</v>
      </c>
      <c r="M446" t="s">
        <v>217</v>
      </c>
      <c r="N446" t="s">
        <v>86</v>
      </c>
      <c r="O446" t="str">
        <f>TRIM(N446)</f>
        <v>Technology</v>
      </c>
      <c r="P446" t="s">
        <v>87</v>
      </c>
      <c r="Q446" t="s">
        <v>2189</v>
      </c>
      <c r="R446" t="s">
        <v>48</v>
      </c>
      <c r="S446" t="s">
        <v>48</v>
      </c>
      <c r="T446">
        <v>9</v>
      </c>
      <c r="U446">
        <v>2379.2399999999998</v>
      </c>
      <c r="V446">
        <v>0.05</v>
      </c>
      <c r="W446">
        <v>20342.5</v>
      </c>
      <c r="X446">
        <v>12407.51</v>
      </c>
      <c r="Y446">
        <v>7934.99</v>
      </c>
      <c r="Z446" t="s">
        <v>34</v>
      </c>
      <c r="AA446" t="s">
        <v>35</v>
      </c>
    </row>
    <row r="447" spans="1:27">
      <c r="A447" t="s">
        <v>2190</v>
      </c>
      <c r="B447" t="s">
        <v>2191</v>
      </c>
      <c r="C447" t="s">
        <v>2192</v>
      </c>
      <c r="D447"/>
      <c r="E447" s="7">
        <f>IF(OR(D447="Invalid",D447&lt;0),"",D447)</f>
        <v>0</v>
      </c>
      <c r="F447" t="s">
        <v>2193</v>
      </c>
      <c r="G447" t="s">
        <v>61</v>
      </c>
      <c r="H447" t="str">
        <f>PROPER(TRIM(G447))</f>
        <v>Arjun Bose</v>
      </c>
      <c r="I447" t="s">
        <v>26</v>
      </c>
      <c r="J447" t="str">
        <f>PROPER(TRIM(I447))</f>
        <v>Consumer</v>
      </c>
      <c r="K447" t="s">
        <v>42</v>
      </c>
      <c r="L447" t="s">
        <v>216</v>
      </c>
      <c r="M447" t="s">
        <v>217</v>
      </c>
      <c r="N447" t="s">
        <v>45</v>
      </c>
      <c r="O447" t="str">
        <f>TRIM(N447)</f>
        <v>Furniture</v>
      </c>
      <c r="P447" t="s">
        <v>204</v>
      </c>
      <c r="Q447" t="s">
        <v>2194</v>
      </c>
      <c r="R447" t="s">
        <v>48</v>
      </c>
      <c r="S447" t="s">
        <v>48</v>
      </c>
      <c r="T447">
        <v>2</v>
      </c>
      <c r="U447">
        <v>2111.23</v>
      </c>
      <c r="V447">
        <v>0.2</v>
      </c>
      <c r="W447">
        <v>3377.97</v>
      </c>
      <c r="X447">
        <v>2496.29</v>
      </c>
      <c r="Y447">
        <v>881.68</v>
      </c>
      <c r="Z447" t="s">
        <v>34</v>
      </c>
      <c r="AA447" t="s">
        <v>35</v>
      </c>
    </row>
    <row r="448" spans="1:27">
      <c r="A448" t="s">
        <v>2195</v>
      </c>
      <c r="B448" t="s">
        <v>2196</v>
      </c>
      <c r="C448" t="s">
        <v>2197</v>
      </c>
      <c r="D448"/>
      <c r="E448" s="7">
        <f>IF(OR(D448="Invalid",D448&lt;0),"",D448)</f>
        <v>0</v>
      </c>
      <c r="F448" t="s">
        <v>2198</v>
      </c>
      <c r="G448" t="s">
        <v>168</v>
      </c>
      <c r="H448" t="str">
        <f>PROPER(TRIM(G448))</f>
        <v>Sneha Kapoor</v>
      </c>
      <c r="I448" t="s">
        <v>115</v>
      </c>
      <c r="J448" t="str">
        <f>PROPER(TRIM(I448))</f>
        <v>Home Office</v>
      </c>
      <c r="K448" t="s">
        <v>62</v>
      </c>
      <c r="L448" t="s">
        <v>100</v>
      </c>
      <c r="M448" t="s">
        <v>101</v>
      </c>
      <c r="N448" t="s">
        <v>30</v>
      </c>
      <c r="O448" t="str">
        <f>TRIM(N448)</f>
        <v>Office Supplies</v>
      </c>
      <c r="P448" t="s">
        <v>156</v>
      </c>
      <c r="Q448" t="s">
        <v>2199</v>
      </c>
      <c r="R448" t="s">
        <v>48</v>
      </c>
      <c r="S448" t="s">
        <v>48</v>
      </c>
      <c r="T448">
        <v>8</v>
      </c>
      <c r="U448">
        <v>4242.51</v>
      </c>
      <c r="V448">
        <v>0</v>
      </c>
      <c r="W448">
        <v>33940.080000000002</v>
      </c>
      <c r="X448">
        <v>23754.19</v>
      </c>
      <c r="Y448">
        <v>10185.89</v>
      </c>
      <c r="Z448" t="s">
        <v>34</v>
      </c>
      <c r="AA448" t="s">
        <v>35</v>
      </c>
    </row>
    <row r="449" spans="1:27">
      <c r="A449" t="s">
        <v>2200</v>
      </c>
      <c r="B449" t="s">
        <v>944</v>
      </c>
      <c r="C449" t="s">
        <v>2201</v>
      </c>
      <c r="D449"/>
      <c r="E449" s="7">
        <f>IF(OR(D449="Invalid",D449&lt;0),"",D449)</f>
        <v>0</v>
      </c>
      <c r="F449" t="s">
        <v>2202</v>
      </c>
      <c r="G449" t="s">
        <v>180</v>
      </c>
      <c r="H449" t="str">
        <f>PROPER(TRIM(G449))</f>
        <v>Rohan Mehta</v>
      </c>
      <c r="I449" t="s">
        <v>115</v>
      </c>
      <c r="J449" t="str">
        <f>PROPER(TRIM(I449))</f>
        <v>Home Office</v>
      </c>
      <c r="K449" t="s">
        <v>62</v>
      </c>
      <c r="L449" t="s">
        <v>63</v>
      </c>
      <c r="M449" t="s">
        <v>64</v>
      </c>
      <c r="N449" t="s">
        <v>45</v>
      </c>
      <c r="O449" t="str">
        <f>TRIM(N449)</f>
        <v>Furniture</v>
      </c>
      <c r="P449" t="s">
        <v>204</v>
      </c>
      <c r="Q449" t="s">
        <v>2203</v>
      </c>
      <c r="R449" t="s">
        <v>67</v>
      </c>
      <c r="S449" t="s">
        <v>67</v>
      </c>
      <c r="T449">
        <v>6</v>
      </c>
      <c r="U449">
        <v>4288.7</v>
      </c>
      <c r="V449">
        <v>0.15</v>
      </c>
      <c r="W449">
        <v>21872.37</v>
      </c>
      <c r="X449">
        <v>13829.5</v>
      </c>
      <c r="Y449">
        <v>8042.87</v>
      </c>
      <c r="Z449" t="s">
        <v>137</v>
      </c>
      <c r="AA449" t="s">
        <v>125</v>
      </c>
    </row>
    <row r="450" spans="1:27">
      <c r="A450" t="s">
        <v>2204</v>
      </c>
      <c r="B450" t="s">
        <v>2205</v>
      </c>
      <c r="C450" t="s">
        <v>327</v>
      </c>
      <c r="D450"/>
      <c r="E450" s="7">
        <f>IF(OR(D450="Invalid",D450&lt;0),"",D450)</f>
        <v>0</v>
      </c>
      <c r="F450" t="s">
        <v>2206</v>
      </c>
      <c r="G450" t="s">
        <v>40</v>
      </c>
      <c r="H450" t="str">
        <f>PROPER(TRIM(G450))</f>
        <v>Mira Das</v>
      </c>
      <c r="I450" t="s">
        <v>41</v>
      </c>
      <c r="J450" t="str">
        <f>PROPER(TRIM(I450))</f>
        <v>Small Business</v>
      </c>
      <c r="K450" t="s">
        <v>62</v>
      </c>
      <c r="L450" t="s">
        <v>100</v>
      </c>
      <c r="M450" t="s">
        <v>101</v>
      </c>
      <c r="N450" t="s">
        <v>45</v>
      </c>
      <c r="O450" t="str">
        <f>TRIM(N450)</f>
        <v>Furniture</v>
      </c>
      <c r="P450" t="s">
        <v>76</v>
      </c>
      <c r="Q450" t="s">
        <v>2207</v>
      </c>
      <c r="R450" t="s">
        <v>56</v>
      </c>
      <c r="S450" t="s">
        <v>56</v>
      </c>
      <c r="T450">
        <v>2</v>
      </c>
      <c r="U450">
        <v>201.21</v>
      </c>
      <c r="V450">
        <v>0.15</v>
      </c>
      <c r="W450">
        <v>342.06</v>
      </c>
      <c r="X450">
        <v>244.57</v>
      </c>
      <c r="Y450">
        <v>97.49</v>
      </c>
      <c r="Z450" t="s">
        <v>34</v>
      </c>
      <c r="AA450" t="s">
        <v>35</v>
      </c>
    </row>
    <row r="451" spans="1:27">
      <c r="A451" t="s">
        <v>2208</v>
      </c>
      <c r="B451" t="s">
        <v>2209</v>
      </c>
      <c r="C451" t="s">
        <v>2210</v>
      </c>
      <c r="D451"/>
      <c r="E451" s="7">
        <f>IF(OR(D451="Invalid",D451&lt;0),"",D451)</f>
        <v>0</v>
      </c>
      <c r="F451" t="s">
        <v>2043</v>
      </c>
      <c r="G451" t="s">
        <v>107</v>
      </c>
      <c r="H451" t="str">
        <f>PROPER(TRIM(G451))</f>
        <v>Aditi Sen</v>
      </c>
      <c r="I451" t="s">
        <v>108</v>
      </c>
      <c r="J451" t="str">
        <f>PROPER(TRIM(I451))</f>
        <v>Corporate</v>
      </c>
      <c r="K451" t="s">
        <v>42</v>
      </c>
      <c r="L451" t="s">
        <v>216</v>
      </c>
      <c r="M451" t="s">
        <v>217</v>
      </c>
      <c r="N451" t="s">
        <v>86</v>
      </c>
      <c r="O451" t="str">
        <f>TRIM(N451)</f>
        <v>Technology</v>
      </c>
      <c r="P451" t="s">
        <v>382</v>
      </c>
      <c r="Q451" t="s">
        <v>2211</v>
      </c>
      <c r="R451" t="s">
        <v>33</v>
      </c>
      <c r="S451" t="s">
        <v>33</v>
      </c>
      <c r="T451">
        <v>6</v>
      </c>
      <c r="U451">
        <v>3270.36</v>
      </c>
      <c r="V451">
        <v>0</v>
      </c>
      <c r="W451">
        <v>19622.16</v>
      </c>
      <c r="X451">
        <v>14271.27</v>
      </c>
      <c r="Y451">
        <v>5350.89</v>
      </c>
      <c r="Z451" t="s">
        <v>34</v>
      </c>
      <c r="AA451" t="s">
        <v>35</v>
      </c>
    </row>
    <row r="452" spans="1:27">
      <c r="A452" t="s">
        <v>2212</v>
      </c>
      <c r="B452" t="s">
        <v>2213</v>
      </c>
      <c r="C452" t="s">
        <v>1577</v>
      </c>
      <c r="D452"/>
      <c r="E452" s="7">
        <f>IF(OR(D452="Invalid",D452&lt;0),"",D452)</f>
        <v>0</v>
      </c>
      <c r="F452" t="s">
        <v>2214</v>
      </c>
      <c r="G452" t="s">
        <v>72</v>
      </c>
      <c r="H452" t="str">
        <f>PROPER(TRIM(G452))</f>
        <v>Ananya Rao</v>
      </c>
      <c r="I452" t="s">
        <v>108</v>
      </c>
      <c r="J452" t="str">
        <f>PROPER(TRIM(I452))</f>
        <v>Corporate</v>
      </c>
      <c r="K452" t="s">
        <v>27</v>
      </c>
      <c r="L452" t="s">
        <v>506</v>
      </c>
      <c r="M452" t="s">
        <v>507</v>
      </c>
      <c r="N452" t="s">
        <v>45</v>
      </c>
      <c r="O452" t="str">
        <f>TRIM(N452)</f>
        <v>Furniture</v>
      </c>
      <c r="P452" t="s">
        <v>76</v>
      </c>
      <c r="Q452" t="s">
        <v>2215</v>
      </c>
      <c r="R452" t="s">
        <v>67</v>
      </c>
      <c r="S452" t="s">
        <v>67</v>
      </c>
      <c r="T452">
        <v>9</v>
      </c>
      <c r="U452">
        <v>2278.5700000000002</v>
      </c>
      <c r="V452">
        <v>0.25</v>
      </c>
      <c r="W452">
        <v>15380.35</v>
      </c>
      <c r="X452">
        <v>9907.3700000000008</v>
      </c>
      <c r="Y452">
        <v>5472.98</v>
      </c>
      <c r="Z452" t="s">
        <v>34</v>
      </c>
      <c r="AA452" t="s">
        <v>35</v>
      </c>
    </row>
    <row r="453" spans="1:27">
      <c r="A453" t="s">
        <v>2216</v>
      </c>
      <c r="B453" t="s">
        <v>2217</v>
      </c>
      <c r="C453" t="s">
        <v>2218</v>
      </c>
      <c r="D453"/>
      <c r="E453" s="7">
        <f>IF(OR(D453="Invalid",D453&lt;0),"",D453)</f>
        <v>0</v>
      </c>
      <c r="F453" t="s">
        <v>2219</v>
      </c>
      <c r="G453" t="s">
        <v>180</v>
      </c>
      <c r="H453" t="str">
        <f>PROPER(TRIM(G453))</f>
        <v>Rohan Mehta</v>
      </c>
      <c r="I453" t="s">
        <v>41</v>
      </c>
      <c r="J453" t="str">
        <f>PROPER(TRIM(I453))</f>
        <v>Small Business</v>
      </c>
      <c r="K453" t="s">
        <v>27</v>
      </c>
      <c r="L453" t="s">
        <v>323</v>
      </c>
      <c r="M453" t="s">
        <v>324</v>
      </c>
      <c r="N453" t="s">
        <v>30</v>
      </c>
      <c r="O453" t="str">
        <f>TRIM(N453)</f>
        <v>Office Supplies</v>
      </c>
      <c r="P453" t="s">
        <v>31</v>
      </c>
      <c r="Q453" t="s">
        <v>2220</v>
      </c>
      <c r="R453" t="s">
        <v>33</v>
      </c>
      <c r="S453" t="s">
        <v>33</v>
      </c>
      <c r="T453">
        <v>8</v>
      </c>
      <c r="U453">
        <v>1917.64</v>
      </c>
      <c r="V453">
        <v>0.15</v>
      </c>
      <c r="W453">
        <v>13039.95</v>
      </c>
      <c r="X453">
        <v>11127.82</v>
      </c>
      <c r="Y453">
        <v>1912.13</v>
      </c>
      <c r="Z453" t="s">
        <v>34</v>
      </c>
      <c r="AA453" t="s">
        <v>78</v>
      </c>
    </row>
    <row r="454" spans="1:27">
      <c r="A454" t="s">
        <v>2221</v>
      </c>
      <c r="B454" t="s">
        <v>2222</v>
      </c>
      <c r="C454" t="s">
        <v>1375</v>
      </c>
      <c r="D454"/>
      <c r="E454" s="7">
        <f>IF(OR(D454="Invalid",D454&lt;0),"",D454)</f>
        <v>0</v>
      </c>
      <c r="F454" t="s">
        <v>2223</v>
      </c>
      <c r="G454" t="s">
        <v>210</v>
      </c>
      <c r="H454" t="str">
        <f>PROPER(TRIM(G454))</f>
        <v>Diya Patel</v>
      </c>
      <c r="I454" t="s">
        <v>115</v>
      </c>
      <c r="J454" t="str">
        <f>PROPER(TRIM(I454))</f>
        <v>Home Office</v>
      </c>
      <c r="K454" t="s">
        <v>42</v>
      </c>
      <c r="L454" t="s">
        <v>311</v>
      </c>
      <c r="M454" t="s">
        <v>312</v>
      </c>
      <c r="N454" t="s">
        <v>86</v>
      </c>
      <c r="O454" t="str">
        <f>TRIM(N454)</f>
        <v>Technology</v>
      </c>
      <c r="P454" t="s">
        <v>87</v>
      </c>
      <c r="Q454" t="s">
        <v>2224</v>
      </c>
      <c r="R454" t="s">
        <v>33</v>
      </c>
      <c r="S454" t="s">
        <v>33</v>
      </c>
      <c r="T454">
        <v>6</v>
      </c>
      <c r="U454">
        <v>2013.33</v>
      </c>
      <c r="V454">
        <v>0.2</v>
      </c>
      <c r="W454">
        <v>9663.98</v>
      </c>
      <c r="X454">
        <v>5628.93</v>
      </c>
      <c r="Y454">
        <v>4035.05</v>
      </c>
      <c r="Z454" t="s">
        <v>34</v>
      </c>
      <c r="AA454" t="s">
        <v>35</v>
      </c>
    </row>
    <row r="455" spans="1:27">
      <c r="A455" t="s">
        <v>2225</v>
      </c>
      <c r="B455" t="s">
        <v>2226</v>
      </c>
      <c r="C455" t="s">
        <v>2227</v>
      </c>
      <c r="D455"/>
      <c r="E455" s="7">
        <f>IF(OR(D455="Invalid",D455&lt;0),"",D455)</f>
        <v>0</v>
      </c>
      <c r="F455" t="s">
        <v>2228</v>
      </c>
      <c r="G455" t="s">
        <v>180</v>
      </c>
      <c r="H455" t="str">
        <f>PROPER(TRIM(G455))</f>
        <v>Rohan Mehta</v>
      </c>
      <c r="I455" t="s">
        <v>41</v>
      </c>
      <c r="J455" t="str">
        <f>PROPER(TRIM(I455))</f>
        <v>Small Business</v>
      </c>
      <c r="K455" t="s">
        <v>73</v>
      </c>
      <c r="L455" t="s">
        <v>84</v>
      </c>
      <c r="M455" t="s">
        <v>85</v>
      </c>
      <c r="N455" t="s">
        <v>30</v>
      </c>
      <c r="O455" t="str">
        <f>TRIM(N455)</f>
        <v>Office Supplies</v>
      </c>
      <c r="P455" t="s">
        <v>109</v>
      </c>
      <c r="Q455" t="s">
        <v>2229</v>
      </c>
      <c r="R455" t="s">
        <v>48</v>
      </c>
      <c r="S455" t="s">
        <v>48</v>
      </c>
      <c r="T455">
        <v>5</v>
      </c>
      <c r="U455">
        <v>1483.52</v>
      </c>
      <c r="V455">
        <v>0</v>
      </c>
      <c r="W455">
        <v>7417.6</v>
      </c>
      <c r="X455">
        <v>4955.8599999999997</v>
      </c>
      <c r="Y455">
        <v>2461.7399999999998</v>
      </c>
      <c r="Z455" t="s">
        <v>34</v>
      </c>
      <c r="AA455" t="s">
        <v>35</v>
      </c>
    </row>
    <row r="456" spans="1:27">
      <c r="A456" t="s">
        <v>2230</v>
      </c>
      <c r="B456" t="s">
        <v>2231</v>
      </c>
      <c r="C456" t="s">
        <v>2232</v>
      </c>
      <c r="D456"/>
      <c r="E456" s="7">
        <f>IF(OR(D456="Invalid",D456&lt;0),"",D456)</f>
        <v>0</v>
      </c>
      <c r="F456" t="s">
        <v>2233</v>
      </c>
      <c r="G456" t="s">
        <v>83</v>
      </c>
      <c r="H456" t="str">
        <f>PROPER(TRIM(G456))</f>
        <v>Vikram Iyer</v>
      </c>
      <c r="I456" t="s">
        <v>41</v>
      </c>
      <c r="J456" t="str">
        <f>PROPER(TRIM(I456))</f>
        <v>Small Business</v>
      </c>
      <c r="K456" t="s">
        <v>27</v>
      </c>
      <c r="L456" t="s">
        <v>28</v>
      </c>
      <c r="M456" t="s">
        <v>29</v>
      </c>
      <c r="N456" t="s">
        <v>45</v>
      </c>
      <c r="O456" t="str">
        <f>TRIM(N456)</f>
        <v>Furniture</v>
      </c>
      <c r="P456" t="s">
        <v>65</v>
      </c>
      <c r="Q456" t="s">
        <v>2234</v>
      </c>
      <c r="R456" t="s">
        <v>67</v>
      </c>
      <c r="S456" t="s">
        <v>67</v>
      </c>
      <c r="T456">
        <v>9</v>
      </c>
      <c r="U456">
        <v>3298</v>
      </c>
      <c r="V456">
        <v>0.15</v>
      </c>
      <c r="W456">
        <v>25229.7</v>
      </c>
      <c r="X456">
        <v>20170.43</v>
      </c>
      <c r="Y456">
        <v>5059.2700000000004</v>
      </c>
      <c r="Z456" t="s">
        <v>34</v>
      </c>
      <c r="AA456" t="s">
        <v>35</v>
      </c>
    </row>
    <row r="457" spans="1:27">
      <c r="A457" t="s">
        <v>2235</v>
      </c>
      <c r="B457" t="s">
        <v>2236</v>
      </c>
      <c r="C457" t="s">
        <v>2237</v>
      </c>
      <c r="D457"/>
      <c r="E457" s="7">
        <f>IF(OR(D457="Invalid",D457&lt;0),"",D457)</f>
        <v>0</v>
      </c>
      <c r="F457" t="s">
        <v>2238</v>
      </c>
      <c r="G457" t="s">
        <v>93</v>
      </c>
      <c r="H457" t="str">
        <f>PROPER(TRIM(G457))</f>
        <v>Neha Gupta</v>
      </c>
      <c r="I457" t="s">
        <v>41</v>
      </c>
      <c r="J457" t="str">
        <f>PROPER(TRIM(I457))</f>
        <v>Small Business</v>
      </c>
      <c r="K457" t="s">
        <v>62</v>
      </c>
      <c r="L457" t="s">
        <v>63</v>
      </c>
      <c r="M457" t="s">
        <v>64</v>
      </c>
      <c r="N457" t="s">
        <v>30</v>
      </c>
      <c r="O457" t="str">
        <f>TRIM(N457)</f>
        <v>Office Supplies</v>
      </c>
      <c r="P457" t="s">
        <v>54</v>
      </c>
      <c r="Q457" t="s">
        <v>2239</v>
      </c>
      <c r="R457" t="s">
        <v>67</v>
      </c>
      <c r="S457" t="s">
        <v>67</v>
      </c>
      <c r="T457">
        <v>4</v>
      </c>
      <c r="U457">
        <v>808.77</v>
      </c>
      <c r="V457">
        <v>0</v>
      </c>
      <c r="W457">
        <v>3235.08</v>
      </c>
      <c r="X457">
        <v>1848.6</v>
      </c>
      <c r="Y457">
        <v>1386.48</v>
      </c>
      <c r="Z457" t="s">
        <v>34</v>
      </c>
      <c r="AA457" t="s">
        <v>35</v>
      </c>
    </row>
    <row r="458" spans="1:27">
      <c r="A458" t="s">
        <v>2240</v>
      </c>
      <c r="B458" t="s">
        <v>2088</v>
      </c>
      <c r="C458" t="s">
        <v>2088</v>
      </c>
      <c r="D458"/>
      <c r="E458" s="7">
        <f>IF(OR(D458="Invalid",D458&lt;0),"",D458)</f>
        <v>0</v>
      </c>
      <c r="F458" t="s">
        <v>2241</v>
      </c>
      <c r="G458" t="s">
        <v>93</v>
      </c>
      <c r="H458" t="str">
        <f>PROPER(TRIM(G458))</f>
        <v>Neha Gupta</v>
      </c>
      <c r="I458" t="s">
        <v>108</v>
      </c>
      <c r="J458" t="str">
        <f>PROPER(TRIM(I458))</f>
        <v>Corporate</v>
      </c>
      <c r="K458" t="s">
        <v>27</v>
      </c>
      <c r="L458" t="s">
        <v>174</v>
      </c>
      <c r="M458" t="s">
        <v>175</v>
      </c>
      <c r="N458" t="s">
        <v>86</v>
      </c>
      <c r="O458" t="str">
        <f>TRIM(N458)</f>
        <v>Technology</v>
      </c>
      <c r="P458" t="s">
        <v>87</v>
      </c>
      <c r="Q458" t="s">
        <v>2242</v>
      </c>
      <c r="R458" t="s">
        <v>48</v>
      </c>
      <c r="S458" t="s">
        <v>48</v>
      </c>
      <c r="T458">
        <v>5</v>
      </c>
      <c r="U458">
        <v>2604.91</v>
      </c>
      <c r="V458">
        <v>0.15</v>
      </c>
      <c r="W458">
        <v>11070.87</v>
      </c>
      <c r="X458">
        <v>6623.61</v>
      </c>
      <c r="Y458">
        <v>4447.26</v>
      </c>
      <c r="Z458" t="s">
        <v>34</v>
      </c>
      <c r="AA458" t="s">
        <v>125</v>
      </c>
    </row>
    <row r="459" spans="1:27">
      <c r="A459" t="s">
        <v>2243</v>
      </c>
      <c r="B459" t="s">
        <v>2244</v>
      </c>
      <c r="C459" t="s">
        <v>2245</v>
      </c>
      <c r="D459"/>
      <c r="E459" s="7">
        <f>IF(OR(D459="Invalid",D459&lt;0),"",D459)</f>
        <v>0</v>
      </c>
      <c r="F459" t="s">
        <v>2246</v>
      </c>
      <c r="G459" t="s">
        <v>40</v>
      </c>
      <c r="H459" t="str">
        <f>PROPER(TRIM(G459))</f>
        <v>Mira Das</v>
      </c>
      <c r="I459" t="s">
        <v>41</v>
      </c>
      <c r="J459" t="str">
        <f>PROPER(TRIM(I459))</f>
        <v>Small Business</v>
      </c>
      <c r="K459" t="s">
        <v>73</v>
      </c>
      <c r="L459" t="s">
        <v>249</v>
      </c>
      <c r="M459" t="s">
        <v>250</v>
      </c>
      <c r="N459" t="s">
        <v>45</v>
      </c>
      <c r="O459" t="str">
        <f>TRIM(N459)</f>
        <v>Furniture</v>
      </c>
      <c r="P459" t="s">
        <v>46</v>
      </c>
      <c r="Q459" t="s">
        <v>2247</v>
      </c>
      <c r="R459" t="s">
        <v>67</v>
      </c>
      <c r="S459" t="s">
        <v>67</v>
      </c>
      <c r="T459">
        <v>7</v>
      </c>
      <c r="U459">
        <v>2851.51</v>
      </c>
      <c r="V459">
        <v>0</v>
      </c>
      <c r="W459">
        <v>19960.57</v>
      </c>
      <c r="X459">
        <v>16603.599999999999</v>
      </c>
      <c r="Y459">
        <v>3356.97</v>
      </c>
      <c r="Z459" t="s">
        <v>34</v>
      </c>
      <c r="AA459" t="s">
        <v>35</v>
      </c>
    </row>
    <row r="460" spans="1:27">
      <c r="A460" t="s">
        <v>2248</v>
      </c>
      <c r="B460" t="s">
        <v>2249</v>
      </c>
      <c r="C460" t="s">
        <v>860</v>
      </c>
      <c r="D460"/>
      <c r="E460" s="7">
        <f>IF(OR(D460="Invalid",D460&lt;0),"",D460)</f>
        <v>0</v>
      </c>
      <c r="F460" t="s">
        <v>2250</v>
      </c>
      <c r="G460" t="s">
        <v>25</v>
      </c>
      <c r="H460" t="str">
        <f>PROPER(TRIM(G460))</f>
        <v>Karan Malhotra</v>
      </c>
      <c r="I460" t="s">
        <v>108</v>
      </c>
      <c r="J460" t="str">
        <f>PROPER(TRIM(I460))</f>
        <v>Corporate</v>
      </c>
      <c r="K460" t="s">
        <v>27</v>
      </c>
      <c r="L460" t="s">
        <v>28</v>
      </c>
      <c r="M460" t="s">
        <v>29</v>
      </c>
      <c r="N460" t="s">
        <v>86</v>
      </c>
      <c r="O460" t="str">
        <f>TRIM(N460)</f>
        <v>Technology</v>
      </c>
      <c r="P460" t="s">
        <v>223</v>
      </c>
      <c r="Q460" t="s">
        <v>2251</v>
      </c>
      <c r="R460" t="s">
        <v>33</v>
      </c>
      <c r="S460" t="s">
        <v>33</v>
      </c>
      <c r="T460">
        <v>3</v>
      </c>
      <c r="U460">
        <v>3183.72</v>
      </c>
      <c r="V460">
        <v>0.1</v>
      </c>
      <c r="W460">
        <v>8596.0400000000009</v>
      </c>
      <c r="X460">
        <v>5378.16</v>
      </c>
      <c r="Y460">
        <v>3217.88</v>
      </c>
      <c r="Z460" t="s">
        <v>34</v>
      </c>
      <c r="AA460" t="s">
        <v>35</v>
      </c>
    </row>
    <row r="461" spans="1:27">
      <c r="A461" t="s">
        <v>2252</v>
      </c>
      <c r="B461" t="s">
        <v>2253</v>
      </c>
      <c r="C461" t="s">
        <v>2183</v>
      </c>
      <c r="D461"/>
      <c r="E461" s="7">
        <f>IF(OR(D461="Invalid",D461&lt;0),"",D461)</f>
        <v>0</v>
      </c>
      <c r="F461" t="s">
        <v>2254</v>
      </c>
      <c r="G461" t="s">
        <v>72</v>
      </c>
      <c r="H461" t="str">
        <f>PROPER(TRIM(G461))</f>
        <v>Ananya Rao</v>
      </c>
      <c r="I461" t="s">
        <v>115</v>
      </c>
      <c r="J461" t="str">
        <f>PROPER(TRIM(I461))</f>
        <v>Home Office</v>
      </c>
      <c r="K461" t="s">
        <v>73</v>
      </c>
      <c r="L461" t="s">
        <v>249</v>
      </c>
      <c r="M461" t="s">
        <v>250</v>
      </c>
      <c r="N461" t="s">
        <v>30</v>
      </c>
      <c r="O461" t="str">
        <f>TRIM(N461)</f>
        <v>Office Supplies</v>
      </c>
      <c r="P461" t="s">
        <v>31</v>
      </c>
      <c r="Q461" t="s">
        <v>2255</v>
      </c>
      <c r="R461" t="s">
        <v>56</v>
      </c>
      <c r="S461" t="s">
        <v>56</v>
      </c>
      <c r="T461">
        <v>3</v>
      </c>
      <c r="U461">
        <v>1150.92</v>
      </c>
      <c r="V461">
        <v>0</v>
      </c>
      <c r="W461">
        <v>3452.76</v>
      </c>
      <c r="X461">
        <v>2077.96</v>
      </c>
      <c r="Y461">
        <v>1374.8</v>
      </c>
      <c r="Z461" t="s">
        <v>34</v>
      </c>
      <c r="AA461" t="s">
        <v>35</v>
      </c>
    </row>
    <row r="462" spans="1:27">
      <c r="A462" t="s">
        <v>2256</v>
      </c>
      <c r="B462" s="4" t="s">
        <v>2257</v>
      </c>
      <c r="C462" s="4" t="s">
        <v>2258</v>
      </c>
      <c r="D462" s="4" t="str">
        <f>IF(C350&lt;B350,"Invalid","OK")</f>
        <v>OK</v>
      </c>
      <c r="E462" s="7" t="str">
        <f>IF(OR(D462="Invalid",D462&lt;0),"",D462)</f>
        <v>OK</v>
      </c>
      <c r="F462" t="s">
        <v>2259</v>
      </c>
      <c r="G462" t="s">
        <v>162</v>
      </c>
      <c r="H462" t="str">
        <f>PROPER(TRIM(G462))</f>
        <v>Aarav Sharma</v>
      </c>
      <c r="I462" t="s">
        <v>108</v>
      </c>
      <c r="J462" t="str">
        <f>PROPER(TRIM(I462))</f>
        <v>Corporate</v>
      </c>
      <c r="K462" t="s">
        <v>27</v>
      </c>
      <c r="L462" t="s">
        <v>28</v>
      </c>
      <c r="M462" t="s">
        <v>29</v>
      </c>
      <c r="N462" t="s">
        <v>86</v>
      </c>
      <c r="O462" t="str">
        <f>TRIM(N462)</f>
        <v>Technology</v>
      </c>
      <c r="P462" t="s">
        <v>94</v>
      </c>
      <c r="Q462" t="s">
        <v>2260</v>
      </c>
      <c r="R462" t="s">
        <v>33</v>
      </c>
      <c r="S462" t="s">
        <v>33</v>
      </c>
      <c r="T462">
        <v>9</v>
      </c>
      <c r="U462">
        <v>1359.88</v>
      </c>
      <c r="V462">
        <v>0.05</v>
      </c>
      <c r="W462">
        <v>11626.97</v>
      </c>
      <c r="X462">
        <v>7394.07</v>
      </c>
      <c r="Y462">
        <v>4232.8999999999996</v>
      </c>
      <c r="Z462" t="s">
        <v>34</v>
      </c>
      <c r="AA462" t="s">
        <v>35</v>
      </c>
    </row>
    <row r="463" spans="1:27">
      <c r="A463" t="s">
        <v>2261</v>
      </c>
      <c r="B463" t="s">
        <v>2262</v>
      </c>
      <c r="C463" t="s">
        <v>1522</v>
      </c>
      <c r="D463"/>
      <c r="E463" s="7">
        <f>IF(OR(D463="Invalid",D463&lt;0),"",D463)</f>
        <v>0</v>
      </c>
      <c r="F463" t="s">
        <v>2263</v>
      </c>
      <c r="G463" t="s">
        <v>93</v>
      </c>
      <c r="H463" t="str">
        <f>PROPER(TRIM(G463))</f>
        <v>Neha Gupta</v>
      </c>
      <c r="I463" t="s">
        <v>108</v>
      </c>
      <c r="J463" t="str">
        <f>PROPER(TRIM(I463))</f>
        <v>Corporate</v>
      </c>
      <c r="K463" t="s">
        <v>62</v>
      </c>
      <c r="L463" t="s">
        <v>100</v>
      </c>
      <c r="M463" t="s">
        <v>101</v>
      </c>
      <c r="N463" t="s">
        <v>30</v>
      </c>
      <c r="O463" t="str">
        <f>TRIM(N463)</f>
        <v>Office Supplies</v>
      </c>
      <c r="P463" t="s">
        <v>31</v>
      </c>
      <c r="Q463" t="s">
        <v>2264</v>
      </c>
      <c r="R463" t="s">
        <v>67</v>
      </c>
      <c r="S463" t="s">
        <v>67</v>
      </c>
      <c r="T463">
        <v>3</v>
      </c>
      <c r="U463">
        <v>3378.15</v>
      </c>
      <c r="V463">
        <v>0.15</v>
      </c>
      <c r="W463">
        <v>8614.2800000000007</v>
      </c>
      <c r="X463">
        <v>7052.08</v>
      </c>
      <c r="Y463">
        <v>1562.2</v>
      </c>
      <c r="Z463" t="s">
        <v>34</v>
      </c>
      <c r="AA463" t="s">
        <v>35</v>
      </c>
    </row>
    <row r="464" spans="1:27">
      <c r="A464" t="s">
        <v>2265</v>
      </c>
      <c r="B464" t="s">
        <v>2008</v>
      </c>
      <c r="C464" t="s">
        <v>2266</v>
      </c>
      <c r="D464"/>
      <c r="E464" s="7">
        <f>IF(OR(D464="Invalid",D464&lt;0),"",D464)</f>
        <v>0</v>
      </c>
      <c r="F464" t="s">
        <v>2267</v>
      </c>
      <c r="G464" t="s">
        <v>162</v>
      </c>
      <c r="H464" t="str">
        <f>PROPER(TRIM(G464))</f>
        <v>Aarav Sharma</v>
      </c>
      <c r="I464" t="s">
        <v>115</v>
      </c>
      <c r="J464" t="str">
        <f>PROPER(TRIM(I464))</f>
        <v>Home Office</v>
      </c>
      <c r="K464" t="s">
        <v>27</v>
      </c>
      <c r="L464" t="s">
        <v>506</v>
      </c>
      <c r="M464" t="s">
        <v>507</v>
      </c>
      <c r="N464" t="s">
        <v>30</v>
      </c>
      <c r="O464" t="str">
        <f>TRIM(N464)</f>
        <v>Office Supplies</v>
      </c>
      <c r="P464" t="s">
        <v>198</v>
      </c>
      <c r="Q464" t="s">
        <v>2268</v>
      </c>
      <c r="R464" t="s">
        <v>56</v>
      </c>
      <c r="S464" t="s">
        <v>56</v>
      </c>
      <c r="T464">
        <v>2</v>
      </c>
      <c r="U464">
        <v>1275.1400000000001</v>
      </c>
      <c r="V464">
        <v>0.2</v>
      </c>
      <c r="W464">
        <v>2040.22</v>
      </c>
      <c r="X464">
        <v>1395.71</v>
      </c>
      <c r="Y464">
        <v>644.51</v>
      </c>
      <c r="Z464" t="s">
        <v>34</v>
      </c>
      <c r="AA464" t="s">
        <v>35</v>
      </c>
    </row>
    <row r="465" spans="1:27">
      <c r="A465" t="s">
        <v>2269</v>
      </c>
      <c r="B465" t="s">
        <v>441</v>
      </c>
      <c r="C465" t="s">
        <v>2270</v>
      </c>
      <c r="D465"/>
      <c r="E465" s="7">
        <f>IF(OR(D465="Invalid",D465&lt;0),"",D465)</f>
        <v>0</v>
      </c>
      <c r="F465" t="s">
        <v>2271</v>
      </c>
      <c r="G465" t="s">
        <v>61</v>
      </c>
      <c r="H465" t="str">
        <f>PROPER(TRIM(G465))</f>
        <v>Arjun Bose</v>
      </c>
      <c r="I465" t="s">
        <v>108</v>
      </c>
      <c r="J465" t="str">
        <f>PROPER(TRIM(I465))</f>
        <v>Corporate</v>
      </c>
      <c r="K465" t="s">
        <v>73</v>
      </c>
      <c r="L465" t="s">
        <v>84</v>
      </c>
      <c r="M465" t="s">
        <v>85</v>
      </c>
      <c r="N465" t="s">
        <v>86</v>
      </c>
      <c r="O465" t="str">
        <f>TRIM(N465)</f>
        <v>Technology</v>
      </c>
      <c r="P465" t="s">
        <v>223</v>
      </c>
      <c r="Q465" t="s">
        <v>2272</v>
      </c>
      <c r="R465" t="s">
        <v>67</v>
      </c>
      <c r="S465" t="s">
        <v>67</v>
      </c>
      <c r="T465">
        <v>4</v>
      </c>
      <c r="U465">
        <v>889.5</v>
      </c>
      <c r="V465">
        <v>0.2</v>
      </c>
      <c r="W465">
        <v>2846.4</v>
      </c>
      <c r="X465">
        <v>2132.37</v>
      </c>
      <c r="Y465">
        <v>714.03</v>
      </c>
      <c r="Z465" t="s">
        <v>34</v>
      </c>
      <c r="AA465" t="s">
        <v>35</v>
      </c>
    </row>
    <row r="466" spans="1:27">
      <c r="A466" t="s">
        <v>2273</v>
      </c>
      <c r="B466" t="s">
        <v>2274</v>
      </c>
      <c r="C466" t="s">
        <v>2275</v>
      </c>
      <c r="D466"/>
      <c r="E466" s="7">
        <f>IF(OR(D466="Invalid",D466&lt;0),"",D466)</f>
        <v>0</v>
      </c>
      <c r="F466" t="s">
        <v>2276</v>
      </c>
      <c r="G466" t="s">
        <v>61</v>
      </c>
      <c r="H466" t="str">
        <f>PROPER(TRIM(G466))</f>
        <v>Arjun Bose</v>
      </c>
      <c r="I466" t="s">
        <v>108</v>
      </c>
      <c r="J466" t="str">
        <f>PROPER(TRIM(I466))</f>
        <v>Corporate</v>
      </c>
      <c r="K466" t="s">
        <v>42</v>
      </c>
      <c r="L466" t="s">
        <v>186</v>
      </c>
      <c r="M466" t="s">
        <v>187</v>
      </c>
      <c r="N466" t="s">
        <v>30</v>
      </c>
      <c r="O466" t="str">
        <f>TRIM(N466)</f>
        <v>Office Supplies</v>
      </c>
      <c r="P466" t="s">
        <v>31</v>
      </c>
      <c r="Q466" t="s">
        <v>2277</v>
      </c>
      <c r="R466" t="s">
        <v>48</v>
      </c>
      <c r="S466" t="s">
        <v>48</v>
      </c>
      <c r="T466">
        <v>3</v>
      </c>
      <c r="U466">
        <v>3625.08</v>
      </c>
      <c r="V466">
        <v>0.05</v>
      </c>
      <c r="W466">
        <v>10331.48</v>
      </c>
      <c r="X466">
        <v>7131.91</v>
      </c>
      <c r="Y466">
        <v>3199.57</v>
      </c>
      <c r="Z466" t="s">
        <v>137</v>
      </c>
      <c r="AA466" t="s">
        <v>78</v>
      </c>
    </row>
    <row r="467" spans="1:27">
      <c r="A467" t="s">
        <v>2278</v>
      </c>
      <c r="B467" t="s">
        <v>2279</v>
      </c>
      <c r="C467" t="s">
        <v>2280</v>
      </c>
      <c r="D467"/>
      <c r="E467" s="7">
        <f>IF(OR(D467="Invalid",D467&lt;0),"",D467)</f>
        <v>0</v>
      </c>
      <c r="F467" t="s">
        <v>2281</v>
      </c>
      <c r="G467" t="s">
        <v>162</v>
      </c>
      <c r="H467" t="str">
        <f>PROPER(TRIM(G467))</f>
        <v>Aarav Sharma</v>
      </c>
      <c r="I467" t="s">
        <v>41</v>
      </c>
      <c r="J467" t="str">
        <f>PROPER(TRIM(I467))</f>
        <v>Small Business</v>
      </c>
      <c r="K467" t="s">
        <v>73</v>
      </c>
      <c r="L467" t="s">
        <v>84</v>
      </c>
      <c r="M467" t="s">
        <v>85</v>
      </c>
      <c r="N467" t="s">
        <v>30</v>
      </c>
      <c r="O467" t="str">
        <f>TRIM(N467)</f>
        <v>Office Supplies</v>
      </c>
      <c r="P467" t="s">
        <v>109</v>
      </c>
      <c r="Q467" t="s">
        <v>2282</v>
      </c>
      <c r="R467" t="s">
        <v>67</v>
      </c>
      <c r="S467" t="s">
        <v>67</v>
      </c>
      <c r="T467">
        <v>2</v>
      </c>
      <c r="U467">
        <v>1258.9000000000001</v>
      </c>
      <c r="V467">
        <v>0</v>
      </c>
      <c r="W467">
        <v>2517.8000000000002</v>
      </c>
      <c r="X467">
        <v>1478.54</v>
      </c>
      <c r="Y467">
        <v>1039.26</v>
      </c>
      <c r="Z467" t="s">
        <v>34</v>
      </c>
      <c r="AA467" t="s">
        <v>35</v>
      </c>
    </row>
    <row r="468" spans="1:27">
      <c r="A468" t="s">
        <v>2283</v>
      </c>
      <c r="B468" t="s">
        <v>2284</v>
      </c>
      <c r="C468" t="s">
        <v>2285</v>
      </c>
      <c r="D468"/>
      <c r="E468" s="7">
        <f>IF(OR(D468="Invalid",D468&lt;0),"",D468)</f>
        <v>0</v>
      </c>
      <c r="F468" t="s">
        <v>2286</v>
      </c>
      <c r="G468" t="s">
        <v>40</v>
      </c>
      <c r="H468" t="str">
        <f>PROPER(TRIM(G468))</f>
        <v>Mira Das</v>
      </c>
      <c r="I468" t="s">
        <v>41</v>
      </c>
      <c r="J468" t="str">
        <f>PROPER(TRIM(I468))</f>
        <v>Small Business</v>
      </c>
      <c r="K468" t="s">
        <v>42</v>
      </c>
      <c r="L468" t="s">
        <v>186</v>
      </c>
      <c r="M468" t="s">
        <v>187</v>
      </c>
      <c r="N468" t="s">
        <v>86</v>
      </c>
      <c r="O468" t="str">
        <f>TRIM(N468)</f>
        <v>Technology</v>
      </c>
      <c r="P468" t="s">
        <v>87</v>
      </c>
      <c r="Q468" t="s">
        <v>2287</v>
      </c>
      <c r="R468" t="s">
        <v>48</v>
      </c>
      <c r="S468" t="s">
        <v>48</v>
      </c>
      <c r="T468">
        <v>9</v>
      </c>
      <c r="U468">
        <v>1591.96</v>
      </c>
      <c r="V468">
        <v>0.2</v>
      </c>
      <c r="W468">
        <v>11462.11</v>
      </c>
      <c r="X468">
        <v>7105.48</v>
      </c>
      <c r="Y468">
        <v>4356.63</v>
      </c>
      <c r="Z468" t="s">
        <v>34</v>
      </c>
      <c r="AA468" t="s">
        <v>35</v>
      </c>
    </row>
    <row r="469" spans="1:27">
      <c r="A469" t="s">
        <v>2288</v>
      </c>
      <c r="B469" t="s">
        <v>2289</v>
      </c>
      <c r="C469" t="s">
        <v>1626</v>
      </c>
      <c r="D469"/>
      <c r="E469" s="7">
        <f>IF(OR(D469="Invalid",D469&lt;0),"",D469)</f>
        <v>0</v>
      </c>
      <c r="F469" t="s">
        <v>2290</v>
      </c>
      <c r="G469" t="s">
        <v>107</v>
      </c>
      <c r="H469" t="str">
        <f>PROPER(TRIM(G469))</f>
        <v>Aditi Sen</v>
      </c>
      <c r="I469" t="s">
        <v>108</v>
      </c>
      <c r="J469" t="str">
        <f>PROPER(TRIM(I469))</f>
        <v>Corporate</v>
      </c>
      <c r="K469" t="s">
        <v>42</v>
      </c>
      <c r="L469" t="s">
        <v>43</v>
      </c>
      <c r="M469" t="s">
        <v>44</v>
      </c>
      <c r="N469" t="s">
        <v>86</v>
      </c>
      <c r="O469" t="str">
        <f>TRIM(N469)</f>
        <v>Technology</v>
      </c>
      <c r="P469" t="s">
        <v>94</v>
      </c>
      <c r="Q469" t="s">
        <v>2291</v>
      </c>
      <c r="R469" t="s">
        <v>56</v>
      </c>
      <c r="S469" t="s">
        <v>56</v>
      </c>
      <c r="T469">
        <v>5</v>
      </c>
      <c r="U469">
        <v>4288.33</v>
      </c>
      <c r="V469">
        <v>0.1</v>
      </c>
      <c r="W469">
        <v>19297.490000000002</v>
      </c>
      <c r="X469">
        <v>15451.66</v>
      </c>
      <c r="Y469">
        <v>3845.83</v>
      </c>
      <c r="Z469" t="s">
        <v>124</v>
      </c>
      <c r="AA469" t="s">
        <v>78</v>
      </c>
    </row>
    <row r="470" spans="1:27">
      <c r="A470" t="s">
        <v>2292</v>
      </c>
      <c r="B470" t="s">
        <v>2293</v>
      </c>
      <c r="C470" t="s">
        <v>2294</v>
      </c>
      <c r="D470"/>
      <c r="E470" s="7">
        <f>IF(OR(D470="Invalid",D470&lt;0),"",D470)</f>
        <v>0</v>
      </c>
      <c r="F470" t="s">
        <v>2295</v>
      </c>
      <c r="G470" t="s">
        <v>162</v>
      </c>
      <c r="H470" t="str">
        <f>PROPER(TRIM(G470))</f>
        <v>Aarav Sharma</v>
      </c>
      <c r="I470" t="s">
        <v>115</v>
      </c>
      <c r="J470" t="str">
        <f>PROPER(TRIM(I470))</f>
        <v>Home Office</v>
      </c>
      <c r="K470" t="s">
        <v>42</v>
      </c>
      <c r="L470" t="s">
        <v>121</v>
      </c>
      <c r="M470" t="s">
        <v>122</v>
      </c>
      <c r="N470" t="s">
        <v>30</v>
      </c>
      <c r="O470" t="str">
        <f>TRIM(N470)</f>
        <v>Office Supplies</v>
      </c>
      <c r="P470" t="s">
        <v>198</v>
      </c>
      <c r="Q470" t="s">
        <v>2296</v>
      </c>
      <c r="R470" t="s">
        <v>33</v>
      </c>
      <c r="S470" t="s">
        <v>33</v>
      </c>
      <c r="T470">
        <v>3</v>
      </c>
      <c r="U470">
        <v>2188.33</v>
      </c>
      <c r="V470">
        <v>0</v>
      </c>
      <c r="W470">
        <v>6564.99</v>
      </c>
      <c r="X470">
        <v>5407.24</v>
      </c>
      <c r="Y470">
        <v>1157.75</v>
      </c>
      <c r="Z470" t="s">
        <v>34</v>
      </c>
      <c r="AA470" t="s">
        <v>35</v>
      </c>
    </row>
    <row r="471" spans="1:27">
      <c r="A471" t="s">
        <v>2297</v>
      </c>
      <c r="B471" t="s">
        <v>2298</v>
      </c>
      <c r="C471" t="s">
        <v>2051</v>
      </c>
      <c r="D471"/>
      <c r="E471" s="7">
        <f>IF(OR(D471="Invalid",D471&lt;0),"",D471)</f>
        <v>0</v>
      </c>
      <c r="F471" t="s">
        <v>2299</v>
      </c>
      <c r="G471" t="s">
        <v>107</v>
      </c>
      <c r="H471" t="str">
        <f>PROPER(TRIM(G471))</f>
        <v>Aditi Sen</v>
      </c>
      <c r="I471" t="s">
        <v>108</v>
      </c>
      <c r="J471" t="str">
        <f>PROPER(TRIM(I471))</f>
        <v>Corporate</v>
      </c>
      <c r="K471" t="s">
        <v>73</v>
      </c>
      <c r="L471" t="s">
        <v>249</v>
      </c>
      <c r="M471" t="s">
        <v>250</v>
      </c>
      <c r="N471" t="s">
        <v>86</v>
      </c>
      <c r="O471" t="str">
        <f>TRIM(N471)</f>
        <v>Technology</v>
      </c>
      <c r="P471" t="s">
        <v>94</v>
      </c>
      <c r="Q471" t="s">
        <v>2300</v>
      </c>
      <c r="R471" t="s">
        <v>56</v>
      </c>
      <c r="S471" t="s">
        <v>56</v>
      </c>
      <c r="T471">
        <v>3</v>
      </c>
      <c r="U471">
        <v>1041.6600000000001</v>
      </c>
      <c r="V471">
        <v>0.1</v>
      </c>
      <c r="W471">
        <v>2812.48</v>
      </c>
      <c r="X471">
        <v>2282.12</v>
      </c>
      <c r="Y471">
        <v>530.36</v>
      </c>
      <c r="Z471" t="s">
        <v>34</v>
      </c>
      <c r="AA471" t="s">
        <v>35</v>
      </c>
    </row>
    <row r="472" spans="1:27">
      <c r="A472" t="s">
        <v>2301</v>
      </c>
      <c r="B472" t="s">
        <v>2302</v>
      </c>
      <c r="C472" t="s">
        <v>1594</v>
      </c>
      <c r="D472"/>
      <c r="E472" s="7">
        <f>IF(OR(D472="Invalid",D472&lt;0),"",D472)</f>
        <v>0</v>
      </c>
      <c r="F472" t="s">
        <v>2303</v>
      </c>
      <c r="G472" t="s">
        <v>107</v>
      </c>
      <c r="H472" t="str">
        <f>PROPER(TRIM(G472))</f>
        <v>Aditi Sen</v>
      </c>
      <c r="I472" t="s">
        <v>26</v>
      </c>
      <c r="J472" t="str">
        <f>PROPER(TRIM(I472))</f>
        <v>Consumer</v>
      </c>
      <c r="K472" t="s">
        <v>27</v>
      </c>
      <c r="L472" t="s">
        <v>28</v>
      </c>
      <c r="M472" t="s">
        <v>29</v>
      </c>
      <c r="N472" t="s">
        <v>45</v>
      </c>
      <c r="O472" t="str">
        <f>TRIM(N472)</f>
        <v>Furniture</v>
      </c>
      <c r="P472" t="s">
        <v>46</v>
      </c>
      <c r="Q472" t="s">
        <v>2304</v>
      </c>
      <c r="R472" t="s">
        <v>48</v>
      </c>
      <c r="S472" t="s">
        <v>48</v>
      </c>
      <c r="T472">
        <v>2</v>
      </c>
      <c r="U472">
        <v>4424.78</v>
      </c>
      <c r="V472">
        <v>0.2</v>
      </c>
      <c r="W472">
        <v>7079.65</v>
      </c>
      <c r="X472">
        <v>4465.91</v>
      </c>
      <c r="Y472">
        <v>2613.7399999999998</v>
      </c>
      <c r="Z472" t="s">
        <v>34</v>
      </c>
      <c r="AA472" t="s">
        <v>35</v>
      </c>
    </row>
    <row r="473" spans="1:27">
      <c r="A473" t="s">
        <v>2305</v>
      </c>
      <c r="B473" t="s">
        <v>2306</v>
      </c>
      <c r="C473" t="s">
        <v>2307</v>
      </c>
      <c r="D473"/>
      <c r="E473" s="7">
        <f>IF(OR(D473="Invalid",D473&lt;0),"",D473)</f>
        <v>0</v>
      </c>
      <c r="F473" t="s">
        <v>2308</v>
      </c>
      <c r="G473" t="s">
        <v>366</v>
      </c>
      <c r="H473" t="str">
        <f>PROPER(TRIM(G473))</f>
        <v>Kabir Singh</v>
      </c>
      <c r="I473" t="s">
        <v>26</v>
      </c>
      <c r="J473" t="str">
        <f>PROPER(TRIM(I473))</f>
        <v>Consumer</v>
      </c>
      <c r="K473" t="s">
        <v>62</v>
      </c>
      <c r="L473" t="s">
        <v>63</v>
      </c>
      <c r="M473" t="s">
        <v>64</v>
      </c>
      <c r="N473" t="s">
        <v>30</v>
      </c>
      <c r="O473" t="str">
        <f>TRIM(N473)</f>
        <v>Office Supplies</v>
      </c>
      <c r="P473" t="s">
        <v>198</v>
      </c>
      <c r="Q473" t="s">
        <v>2309</v>
      </c>
      <c r="R473" t="s">
        <v>67</v>
      </c>
      <c r="S473" t="s">
        <v>67</v>
      </c>
      <c r="T473">
        <v>3</v>
      </c>
      <c r="U473">
        <v>3019.14</v>
      </c>
      <c r="V473">
        <v>0.25</v>
      </c>
      <c r="W473">
        <v>6793.07</v>
      </c>
      <c r="X473">
        <v>4985.22</v>
      </c>
      <c r="Y473">
        <v>1807.85</v>
      </c>
      <c r="Z473" t="s">
        <v>34</v>
      </c>
      <c r="AA473" t="s">
        <v>35</v>
      </c>
    </row>
    <row r="474" spans="1:27">
      <c r="A474" t="s">
        <v>2310</v>
      </c>
      <c r="B474" t="s">
        <v>2311</v>
      </c>
      <c r="C474" t="s">
        <v>1506</v>
      </c>
      <c r="D474"/>
      <c r="E474" s="7">
        <f>IF(OR(D474="Invalid",D474&lt;0),"",D474)</f>
        <v>0</v>
      </c>
      <c r="F474" t="s">
        <v>2312</v>
      </c>
      <c r="G474" t="s">
        <v>180</v>
      </c>
      <c r="H474" t="str">
        <f>PROPER(TRIM(G474))</f>
        <v>Rohan Mehta</v>
      </c>
      <c r="I474" t="s">
        <v>108</v>
      </c>
      <c r="J474" t="str">
        <f>PROPER(TRIM(I474))</f>
        <v>Corporate</v>
      </c>
      <c r="K474" t="s">
        <v>42</v>
      </c>
      <c r="L474" t="s">
        <v>43</v>
      </c>
      <c r="M474" t="s">
        <v>44</v>
      </c>
      <c r="N474" t="s">
        <v>30</v>
      </c>
      <c r="O474" t="str">
        <f>TRIM(N474)</f>
        <v>Office Supplies</v>
      </c>
      <c r="P474" t="s">
        <v>156</v>
      </c>
      <c r="Q474" t="s">
        <v>2313</v>
      </c>
      <c r="R474" t="s">
        <v>67</v>
      </c>
      <c r="S474" t="s">
        <v>67</v>
      </c>
      <c r="T474">
        <v>7</v>
      </c>
      <c r="U474">
        <v>263.45999999999998</v>
      </c>
      <c r="V474">
        <v>0</v>
      </c>
      <c r="W474">
        <v>1844.22</v>
      </c>
      <c r="X474">
        <v>1094.21</v>
      </c>
      <c r="Y474">
        <v>750.01</v>
      </c>
      <c r="Z474" t="s">
        <v>34</v>
      </c>
      <c r="AA474" t="s">
        <v>35</v>
      </c>
    </row>
    <row r="475" spans="1:27">
      <c r="A475" t="s">
        <v>2314</v>
      </c>
      <c r="B475" t="s">
        <v>2315</v>
      </c>
      <c r="C475" t="s">
        <v>445</v>
      </c>
      <c r="D475"/>
      <c r="E475" s="7">
        <f>IF(OR(D475="Invalid",D475&lt;0),"",D475)</f>
        <v>0</v>
      </c>
      <c r="F475" t="s">
        <v>2316</v>
      </c>
      <c r="G475" t="s">
        <v>142</v>
      </c>
      <c r="H475" t="str">
        <f>PROPER(TRIM(G475))</f>
        <v>Priya Menon</v>
      </c>
      <c r="I475" t="s">
        <v>26</v>
      </c>
      <c r="J475" t="str">
        <f>PROPER(TRIM(I475))</f>
        <v>Consumer</v>
      </c>
      <c r="K475" t="s">
        <v>73</v>
      </c>
      <c r="L475" t="s">
        <v>249</v>
      </c>
      <c r="M475" t="s">
        <v>250</v>
      </c>
      <c r="N475" t="s">
        <v>86</v>
      </c>
      <c r="O475" t="str">
        <f>TRIM(N475)</f>
        <v>Technology</v>
      </c>
      <c r="P475" t="s">
        <v>94</v>
      </c>
      <c r="Q475" t="s">
        <v>2317</v>
      </c>
      <c r="R475" t="s">
        <v>67</v>
      </c>
      <c r="S475" t="s">
        <v>67</v>
      </c>
      <c r="T475">
        <v>6</v>
      </c>
      <c r="U475">
        <v>191.45</v>
      </c>
      <c r="V475">
        <v>0.2</v>
      </c>
      <c r="W475">
        <v>918.96</v>
      </c>
      <c r="X475">
        <v>554.17999999999995</v>
      </c>
      <c r="Y475">
        <v>364.78</v>
      </c>
      <c r="Z475" t="s">
        <v>34</v>
      </c>
      <c r="AA475" t="s">
        <v>35</v>
      </c>
    </row>
    <row r="476" spans="1:27">
      <c r="A476" t="s">
        <v>2318</v>
      </c>
      <c r="B476" t="s">
        <v>1220</v>
      </c>
      <c r="C476" t="s">
        <v>2319</v>
      </c>
      <c r="D476"/>
      <c r="E476" s="7">
        <f>IF(OR(D476="Invalid",D476&lt;0),"",D476)</f>
        <v>0</v>
      </c>
      <c r="F476" t="s">
        <v>2320</v>
      </c>
      <c r="G476" t="s">
        <v>210</v>
      </c>
      <c r="H476" t="str">
        <f>PROPER(TRIM(G476))</f>
        <v>Diya Patel</v>
      </c>
      <c r="I476" t="s">
        <v>108</v>
      </c>
      <c r="J476" t="str">
        <f>PROPER(TRIM(I476))</f>
        <v>Corporate</v>
      </c>
      <c r="K476" t="s">
        <v>27</v>
      </c>
      <c r="L476" t="s">
        <v>154</v>
      </c>
      <c r="M476" t="s">
        <v>155</v>
      </c>
      <c r="N476" t="s">
        <v>45</v>
      </c>
      <c r="O476" t="str">
        <f>TRIM(N476)</f>
        <v>Furniture</v>
      </c>
      <c r="P476" t="s">
        <v>65</v>
      </c>
      <c r="Q476" t="s">
        <v>2321</v>
      </c>
      <c r="R476" t="s">
        <v>67</v>
      </c>
      <c r="S476" t="s">
        <v>67</v>
      </c>
      <c r="T476">
        <v>3</v>
      </c>
      <c r="U476">
        <v>1633.57</v>
      </c>
      <c r="V476">
        <v>0</v>
      </c>
      <c r="W476">
        <v>4900.71</v>
      </c>
      <c r="X476">
        <v>2713.9</v>
      </c>
      <c r="Y476">
        <v>2186.81</v>
      </c>
      <c r="Z476" t="s">
        <v>34</v>
      </c>
      <c r="AA476" t="s">
        <v>35</v>
      </c>
    </row>
    <row r="477" spans="1:27">
      <c r="A477" t="s">
        <v>2322</v>
      </c>
      <c r="B477" t="s">
        <v>2323</v>
      </c>
      <c r="C477" t="s">
        <v>2324</v>
      </c>
      <c r="D477"/>
      <c r="E477" s="7">
        <f>IF(OR(D477="Invalid",D477&lt;0),"",D477)</f>
        <v>0</v>
      </c>
      <c r="F477" t="s">
        <v>2325</v>
      </c>
      <c r="G477" t="s">
        <v>83</v>
      </c>
      <c r="H477" t="str">
        <f>PROPER(TRIM(G477))</f>
        <v>Vikram Iyer</v>
      </c>
      <c r="I477" t="s">
        <v>26</v>
      </c>
      <c r="J477" t="str">
        <f>PROPER(TRIM(I477))</f>
        <v>Consumer</v>
      </c>
      <c r="K477" t="s">
        <v>42</v>
      </c>
      <c r="L477" t="s">
        <v>121</v>
      </c>
      <c r="M477" t="s">
        <v>122</v>
      </c>
      <c r="N477" t="s">
        <v>45</v>
      </c>
      <c r="O477" t="str">
        <f>TRIM(N477)</f>
        <v>Furniture</v>
      </c>
      <c r="P477" t="s">
        <v>76</v>
      </c>
      <c r="Q477" t="s">
        <v>2326</v>
      </c>
      <c r="R477" t="s">
        <v>48</v>
      </c>
      <c r="S477" t="s">
        <v>48</v>
      </c>
      <c r="T477">
        <v>8</v>
      </c>
      <c r="U477">
        <v>3378.82</v>
      </c>
      <c r="V477">
        <v>0.25</v>
      </c>
      <c r="W477">
        <v>20272.919999999998</v>
      </c>
      <c r="X477">
        <v>15873.38</v>
      </c>
      <c r="Y477">
        <v>4399.54</v>
      </c>
      <c r="Z477" t="s">
        <v>137</v>
      </c>
      <c r="AA477" t="s">
        <v>125</v>
      </c>
    </row>
    <row r="478" spans="1:27">
      <c r="A478" t="s">
        <v>2327</v>
      </c>
      <c r="B478" t="s">
        <v>2328</v>
      </c>
      <c r="C478" t="s">
        <v>2329</v>
      </c>
      <c r="D478"/>
      <c r="E478" s="7">
        <f>IF(OR(D478="Invalid",D478&lt;0),"",D478)</f>
        <v>0</v>
      </c>
      <c r="F478" t="s">
        <v>2330</v>
      </c>
      <c r="G478" t="s">
        <v>168</v>
      </c>
      <c r="H478" t="str">
        <f>PROPER(TRIM(G478))</f>
        <v>Sneha Kapoor</v>
      </c>
      <c r="I478" t="s">
        <v>41</v>
      </c>
      <c r="J478" t="str">
        <f>PROPER(TRIM(I478))</f>
        <v>Small Business</v>
      </c>
      <c r="K478" t="s">
        <v>27</v>
      </c>
      <c r="L478" t="s">
        <v>28</v>
      </c>
      <c r="M478" t="s">
        <v>29</v>
      </c>
      <c r="N478" t="s">
        <v>30</v>
      </c>
      <c r="O478" t="str">
        <f>TRIM(N478)</f>
        <v>Office Supplies</v>
      </c>
      <c r="P478" t="s">
        <v>156</v>
      </c>
      <c r="Q478" t="s">
        <v>2331</v>
      </c>
      <c r="R478" t="s">
        <v>56</v>
      </c>
      <c r="S478" t="s">
        <v>56</v>
      </c>
      <c r="T478">
        <v>3</v>
      </c>
      <c r="U478">
        <v>383.58</v>
      </c>
      <c r="V478">
        <v>0.1</v>
      </c>
      <c r="W478">
        <v>1035.67</v>
      </c>
      <c r="X478">
        <v>595.41999999999996</v>
      </c>
      <c r="Y478">
        <v>440.25</v>
      </c>
      <c r="Z478" t="s">
        <v>34</v>
      </c>
      <c r="AA478" t="s">
        <v>35</v>
      </c>
    </row>
    <row r="479" spans="1:27">
      <c r="A479" t="s">
        <v>2332</v>
      </c>
      <c r="B479" t="s">
        <v>2333</v>
      </c>
      <c r="C479" t="s">
        <v>2334</v>
      </c>
      <c r="D479"/>
      <c r="E479" s="7">
        <f>IF(OR(D479="Invalid",D479&lt;0),"",D479)</f>
        <v>0</v>
      </c>
      <c r="F479" t="s">
        <v>2335</v>
      </c>
      <c r="G479" t="s">
        <v>83</v>
      </c>
      <c r="H479" t="str">
        <f>PROPER(TRIM(G479))</f>
        <v>Vikram Iyer</v>
      </c>
      <c r="I479" t="s">
        <v>108</v>
      </c>
      <c r="J479" t="str">
        <f>PROPER(TRIM(I479))</f>
        <v>Corporate</v>
      </c>
      <c r="K479" t="s">
        <v>73</v>
      </c>
      <c r="L479" t="s">
        <v>235</v>
      </c>
      <c r="M479" t="s">
        <v>236</v>
      </c>
      <c r="N479" t="s">
        <v>45</v>
      </c>
      <c r="O479" t="str">
        <f>TRIM(N479)</f>
        <v>Furniture</v>
      </c>
      <c r="P479" t="s">
        <v>76</v>
      </c>
      <c r="Q479" t="s">
        <v>2336</v>
      </c>
      <c r="R479" t="s">
        <v>67</v>
      </c>
      <c r="S479" t="s">
        <v>67</v>
      </c>
      <c r="T479">
        <v>6</v>
      </c>
      <c r="U479">
        <v>2193.23</v>
      </c>
      <c r="V479">
        <v>0.1</v>
      </c>
      <c r="W479">
        <v>11843.44</v>
      </c>
      <c r="X479">
        <v>9356.8799999999992</v>
      </c>
      <c r="Y479">
        <v>2486.56</v>
      </c>
      <c r="Z479" t="s">
        <v>34</v>
      </c>
      <c r="AA479" t="s">
        <v>78</v>
      </c>
    </row>
    <row r="480" spans="1:27">
      <c r="A480" t="s">
        <v>2337</v>
      </c>
      <c r="B480" s="4" t="s">
        <v>2338</v>
      </c>
      <c r="C480" s="4" t="s">
        <v>2339</v>
      </c>
      <c r="D480" s="4" t="str">
        <f>IF(C368&lt;B368,"Invalid","OK")</f>
        <v>OK</v>
      </c>
      <c r="E480" s="7" t="str">
        <f>IF(OR(D480="Invalid",D480&lt;0),"",D480)</f>
        <v>OK</v>
      </c>
      <c r="F480" t="s">
        <v>2340</v>
      </c>
      <c r="G480" t="s">
        <v>40</v>
      </c>
      <c r="H480" t="str">
        <f>PROPER(TRIM(G480))</f>
        <v>Mira Das</v>
      </c>
      <c r="I480" t="s">
        <v>115</v>
      </c>
      <c r="J480" t="str">
        <f>PROPER(TRIM(I480))</f>
        <v>Home Office</v>
      </c>
      <c r="K480" t="s">
        <v>27</v>
      </c>
      <c r="L480" t="s">
        <v>174</v>
      </c>
      <c r="M480" t="s">
        <v>175</v>
      </c>
      <c r="N480" t="s">
        <v>86</v>
      </c>
      <c r="O480" t="str">
        <f>TRIM(N480)</f>
        <v>Technology</v>
      </c>
      <c r="P480" t="s">
        <v>382</v>
      </c>
      <c r="Q480" t="s">
        <v>2341</v>
      </c>
      <c r="R480" t="s">
        <v>48</v>
      </c>
      <c r="S480" t="s">
        <v>48</v>
      </c>
      <c r="T480">
        <v>7</v>
      </c>
      <c r="U480">
        <v>4079.71</v>
      </c>
      <c r="V480">
        <v>0.1</v>
      </c>
      <c r="W480">
        <v>25702.17</v>
      </c>
      <c r="X480">
        <v>14571.48</v>
      </c>
      <c r="Y480">
        <v>11130.69</v>
      </c>
      <c r="Z480" t="s">
        <v>124</v>
      </c>
      <c r="AA480" t="s">
        <v>125</v>
      </c>
    </row>
    <row r="481" spans="1:27">
      <c r="A481" t="s">
        <v>2342</v>
      </c>
      <c r="B481" t="s">
        <v>2343</v>
      </c>
      <c r="C481" t="s">
        <v>2088</v>
      </c>
      <c r="D481"/>
      <c r="E481" s="7">
        <f>IF(OR(D481="Invalid",D481&lt;0),"",D481)</f>
        <v>0</v>
      </c>
      <c r="F481" t="s">
        <v>2344</v>
      </c>
      <c r="G481" t="s">
        <v>61</v>
      </c>
      <c r="H481" t="str">
        <f>PROPER(TRIM(G481))</f>
        <v>Arjun Bose</v>
      </c>
      <c r="I481" t="s">
        <v>108</v>
      </c>
      <c r="J481" t="str">
        <f>PROPER(TRIM(I481))</f>
        <v>Corporate</v>
      </c>
      <c r="K481" t="s">
        <v>42</v>
      </c>
      <c r="L481" t="s">
        <v>43</v>
      </c>
      <c r="M481" t="s">
        <v>44</v>
      </c>
      <c r="N481" t="s">
        <v>45</v>
      </c>
      <c r="O481" t="str">
        <f>TRIM(N481)</f>
        <v>Furniture</v>
      </c>
      <c r="P481" t="s">
        <v>76</v>
      </c>
      <c r="Q481" t="s">
        <v>2345</v>
      </c>
      <c r="R481" t="s">
        <v>33</v>
      </c>
      <c r="S481" t="s">
        <v>33</v>
      </c>
      <c r="T481">
        <v>1</v>
      </c>
      <c r="U481">
        <v>2202.5500000000002</v>
      </c>
      <c r="W481">
        <v>1651.91</v>
      </c>
      <c r="X481">
        <v>1034.57</v>
      </c>
      <c r="Y481">
        <v>617.34</v>
      </c>
      <c r="Z481" t="s">
        <v>34</v>
      </c>
      <c r="AA481" t="s">
        <v>35</v>
      </c>
    </row>
    <row r="482" spans="1:27">
      <c r="A482" t="s">
        <v>2346</v>
      </c>
      <c r="B482" t="s">
        <v>385</v>
      </c>
      <c r="C482" t="s">
        <v>2293</v>
      </c>
      <c r="D482"/>
      <c r="E482" s="7">
        <f>IF(OR(D482="Invalid",D482&lt;0),"",D482)</f>
        <v>0</v>
      </c>
      <c r="F482" t="s">
        <v>2347</v>
      </c>
      <c r="G482" t="s">
        <v>93</v>
      </c>
      <c r="H482" t="str">
        <f>PROPER(TRIM(G482))</f>
        <v>Neha Gupta</v>
      </c>
      <c r="I482" t="s">
        <v>41</v>
      </c>
      <c r="J482" t="str">
        <f>PROPER(TRIM(I482))</f>
        <v>Small Business</v>
      </c>
      <c r="K482" t="s">
        <v>62</v>
      </c>
      <c r="L482" t="s">
        <v>339</v>
      </c>
      <c r="M482" t="s">
        <v>340</v>
      </c>
      <c r="N482" t="s">
        <v>30</v>
      </c>
      <c r="O482" t="str">
        <f>TRIM(N482)</f>
        <v>Office Supplies</v>
      </c>
      <c r="P482" t="s">
        <v>156</v>
      </c>
      <c r="Q482" t="s">
        <v>2348</v>
      </c>
      <c r="R482" t="s">
        <v>4124</v>
      </c>
      <c r="S482" t="s">
        <v>4111</v>
      </c>
      <c r="T482">
        <v>5</v>
      </c>
      <c r="U482">
        <v>905.16</v>
      </c>
      <c r="V482">
        <v>0</v>
      </c>
      <c r="W482">
        <v>4525.8</v>
      </c>
      <c r="X482">
        <v>2714.51</v>
      </c>
      <c r="Y482">
        <v>1811.29</v>
      </c>
      <c r="Z482" t="s">
        <v>34</v>
      </c>
      <c r="AA482" t="s">
        <v>35</v>
      </c>
    </row>
    <row r="483" spans="1:27">
      <c r="A483" t="s">
        <v>2349</v>
      </c>
      <c r="B483" t="s">
        <v>2350</v>
      </c>
      <c r="C483" t="s">
        <v>2351</v>
      </c>
      <c r="D483"/>
      <c r="E483" s="7">
        <f>IF(OR(D483="Invalid",D483&lt;0),"",D483)</f>
        <v>0</v>
      </c>
      <c r="F483" t="s">
        <v>2352</v>
      </c>
      <c r="G483" t="s">
        <v>53</v>
      </c>
      <c r="H483" t="str">
        <f>PROPER(TRIM(G483))</f>
        <v>Isha Nair</v>
      </c>
      <c r="I483" t="s">
        <v>26</v>
      </c>
      <c r="J483" t="str">
        <f>PROPER(TRIM(I483))</f>
        <v>Consumer</v>
      </c>
      <c r="K483" t="s">
        <v>27</v>
      </c>
      <c r="L483" t="s">
        <v>174</v>
      </c>
      <c r="M483" t="s">
        <v>175</v>
      </c>
      <c r="N483" t="s">
        <v>86</v>
      </c>
      <c r="O483" t="str">
        <f>TRIM(N483)</f>
        <v>Technology</v>
      </c>
      <c r="P483" t="s">
        <v>382</v>
      </c>
      <c r="Q483" t="s">
        <v>2353</v>
      </c>
      <c r="R483" t="s">
        <v>48</v>
      </c>
      <c r="S483" t="s">
        <v>48</v>
      </c>
      <c r="T483">
        <v>4</v>
      </c>
      <c r="U483">
        <v>2793.88</v>
      </c>
      <c r="V483" t="s">
        <v>1170</v>
      </c>
      <c r="W483">
        <v>10616.74</v>
      </c>
      <c r="X483">
        <v>6353.59</v>
      </c>
      <c r="Y483">
        <v>4263.1499999999996</v>
      </c>
      <c r="Z483" t="s">
        <v>34</v>
      </c>
      <c r="AA483" t="s">
        <v>35</v>
      </c>
    </row>
    <row r="484" spans="1:27">
      <c r="A484" t="s">
        <v>2354</v>
      </c>
      <c r="B484" t="s">
        <v>263</v>
      </c>
      <c r="C484" t="s">
        <v>263</v>
      </c>
      <c r="D484"/>
      <c r="E484" s="7">
        <f>IF(OR(D484="Invalid",D484&lt;0),"",D484)</f>
        <v>0</v>
      </c>
      <c r="F484" t="s">
        <v>2355</v>
      </c>
      <c r="G484" t="s">
        <v>142</v>
      </c>
      <c r="H484" t="str">
        <f>PROPER(TRIM(G484))</f>
        <v>Priya Menon</v>
      </c>
      <c r="I484" t="s">
        <v>26</v>
      </c>
      <c r="J484" t="str">
        <f>PROPER(TRIM(I484))</f>
        <v>Consumer</v>
      </c>
      <c r="K484" t="s">
        <v>62</v>
      </c>
      <c r="L484" t="s">
        <v>229</v>
      </c>
      <c r="M484" t="s">
        <v>230</v>
      </c>
      <c r="N484" t="s">
        <v>86</v>
      </c>
      <c r="O484" t="str">
        <f>TRIM(N484)</f>
        <v>Technology</v>
      </c>
      <c r="P484" t="s">
        <v>87</v>
      </c>
      <c r="Q484" t="s">
        <v>2356</v>
      </c>
      <c r="R484" t="s">
        <v>33</v>
      </c>
      <c r="S484" t="s">
        <v>33</v>
      </c>
      <c r="T484">
        <v>3</v>
      </c>
      <c r="U484">
        <v>1286.22</v>
      </c>
      <c r="V484">
        <v>0.25</v>
      </c>
      <c r="W484">
        <v>2893.99</v>
      </c>
      <c r="X484">
        <v>1856.03</v>
      </c>
      <c r="Y484">
        <v>1037.96</v>
      </c>
      <c r="Z484" t="s">
        <v>34</v>
      </c>
      <c r="AA484" t="s">
        <v>35</v>
      </c>
    </row>
    <row r="485" spans="1:27">
      <c r="A485" t="s">
        <v>2357</v>
      </c>
      <c r="B485" t="s">
        <v>1405</v>
      </c>
      <c r="C485" t="s">
        <v>2358</v>
      </c>
      <c r="D485"/>
      <c r="E485" s="7">
        <f>IF(OR(D485="Invalid",D485&lt;0),"",D485)</f>
        <v>0</v>
      </c>
      <c r="F485" t="s">
        <v>2359</v>
      </c>
      <c r="G485" t="s">
        <v>40</v>
      </c>
      <c r="H485" t="str">
        <f>PROPER(TRIM(G485))</f>
        <v>Mira Das</v>
      </c>
      <c r="I485" t="s">
        <v>108</v>
      </c>
      <c r="J485" t="str">
        <f>PROPER(TRIM(I485))</f>
        <v>Corporate</v>
      </c>
      <c r="K485" t="s">
        <v>42</v>
      </c>
      <c r="L485" t="s">
        <v>186</v>
      </c>
      <c r="M485" t="s">
        <v>187</v>
      </c>
      <c r="N485" t="s">
        <v>86</v>
      </c>
      <c r="O485" t="str">
        <f>TRIM(N485)</f>
        <v>Technology</v>
      </c>
      <c r="P485" t="s">
        <v>94</v>
      </c>
      <c r="Q485" t="s">
        <v>2360</v>
      </c>
      <c r="R485" t="s">
        <v>67</v>
      </c>
      <c r="S485" t="s">
        <v>67</v>
      </c>
      <c r="T485">
        <v>1</v>
      </c>
      <c r="U485">
        <v>829.66</v>
      </c>
      <c r="V485">
        <v>0.15</v>
      </c>
      <c r="W485">
        <v>705.21</v>
      </c>
      <c r="X485">
        <v>438.32</v>
      </c>
      <c r="Y485">
        <v>266.89</v>
      </c>
      <c r="Z485" t="s">
        <v>34</v>
      </c>
      <c r="AA485" t="s">
        <v>35</v>
      </c>
    </row>
    <row r="486" spans="1:27">
      <c r="A486" t="s">
        <v>2361</v>
      </c>
      <c r="B486" t="s">
        <v>2362</v>
      </c>
      <c r="C486" t="s">
        <v>2363</v>
      </c>
      <c r="D486"/>
      <c r="E486" s="7">
        <f>IF(OR(D486="Invalid",D486&lt;0),"",D486)</f>
        <v>0</v>
      </c>
      <c r="F486" t="s">
        <v>2364</v>
      </c>
      <c r="G486" t="s">
        <v>40</v>
      </c>
      <c r="H486" t="str">
        <f>PROPER(TRIM(G486))</f>
        <v>Mira Das</v>
      </c>
      <c r="I486" t="s">
        <v>41</v>
      </c>
      <c r="J486" t="str">
        <f>PROPER(TRIM(I486))</f>
        <v>Small Business</v>
      </c>
      <c r="K486" t="s">
        <v>62</v>
      </c>
      <c r="L486" t="s">
        <v>100</v>
      </c>
      <c r="M486" t="s">
        <v>101</v>
      </c>
      <c r="N486" t="s">
        <v>45</v>
      </c>
      <c r="O486" t="str">
        <f>TRIM(N486)</f>
        <v>Furniture</v>
      </c>
      <c r="P486" t="s">
        <v>65</v>
      </c>
      <c r="Q486" t="s">
        <v>2365</v>
      </c>
      <c r="R486" t="s">
        <v>56</v>
      </c>
      <c r="S486" t="s">
        <v>56</v>
      </c>
      <c r="T486">
        <v>6</v>
      </c>
      <c r="U486">
        <v>3641.22</v>
      </c>
      <c r="V486">
        <v>0.25</v>
      </c>
      <c r="W486">
        <v>16385.490000000002</v>
      </c>
      <c r="X486">
        <v>13679.24</v>
      </c>
      <c r="Y486">
        <v>2706.25</v>
      </c>
      <c r="Z486" t="s">
        <v>34</v>
      </c>
      <c r="AA486" t="s">
        <v>35</v>
      </c>
    </row>
    <row r="487" spans="1:27">
      <c r="A487" t="s">
        <v>2366</v>
      </c>
      <c r="B487" t="s">
        <v>1837</v>
      </c>
      <c r="C487" t="s">
        <v>184</v>
      </c>
      <c r="D487"/>
      <c r="E487" s="7">
        <f>IF(OR(D487="Invalid",D487&lt;0),"",D487)</f>
        <v>0</v>
      </c>
      <c r="F487" t="s">
        <v>2367</v>
      </c>
      <c r="G487" t="s">
        <v>148</v>
      </c>
      <c r="H487" t="str">
        <f>PROPER(TRIM(G487))</f>
        <v>Rahul Verma</v>
      </c>
      <c r="I487" t="s">
        <v>108</v>
      </c>
      <c r="J487" t="str">
        <f>PROPER(TRIM(I487))</f>
        <v>Corporate</v>
      </c>
      <c r="K487" t="s">
        <v>73</v>
      </c>
      <c r="L487" t="s">
        <v>249</v>
      </c>
      <c r="M487" t="s">
        <v>250</v>
      </c>
      <c r="N487" t="s">
        <v>45</v>
      </c>
      <c r="O487" t="str">
        <f>TRIM(N487)</f>
        <v>Furniture</v>
      </c>
      <c r="P487" t="s">
        <v>204</v>
      </c>
      <c r="Q487" t="s">
        <v>2368</v>
      </c>
      <c r="R487" t="s">
        <v>67</v>
      </c>
      <c r="S487" t="s">
        <v>67</v>
      </c>
      <c r="T487">
        <v>4</v>
      </c>
      <c r="U487">
        <v>2555.19</v>
      </c>
      <c r="V487">
        <v>0.25</v>
      </c>
      <c r="W487">
        <v>7665.57</v>
      </c>
      <c r="X487">
        <v>5595.6</v>
      </c>
      <c r="Y487">
        <v>2069.9699999999998</v>
      </c>
      <c r="Z487" t="s">
        <v>34</v>
      </c>
      <c r="AA487" t="s">
        <v>35</v>
      </c>
    </row>
    <row r="488" spans="1:27">
      <c r="A488" t="s">
        <v>2369</v>
      </c>
      <c r="B488" t="s">
        <v>2370</v>
      </c>
      <c r="C488" t="s">
        <v>2371</v>
      </c>
      <c r="D488"/>
      <c r="E488" s="7">
        <f>IF(OR(D488="Invalid",D488&lt;0),"",D488)</f>
        <v>0</v>
      </c>
      <c r="F488" t="s">
        <v>2372</v>
      </c>
      <c r="G488" t="s">
        <v>148</v>
      </c>
      <c r="H488" t="str">
        <f>PROPER(TRIM(G488))</f>
        <v>Rahul Verma</v>
      </c>
      <c r="I488" t="s">
        <v>108</v>
      </c>
      <c r="J488" t="str">
        <f>PROPER(TRIM(I488))</f>
        <v>Corporate</v>
      </c>
      <c r="K488" t="s">
        <v>73</v>
      </c>
      <c r="L488" t="s">
        <v>249</v>
      </c>
      <c r="M488" t="s">
        <v>250</v>
      </c>
      <c r="N488" t="s">
        <v>45</v>
      </c>
      <c r="O488" t="str">
        <f>TRIM(N488)</f>
        <v>Furniture</v>
      </c>
      <c r="P488" t="s">
        <v>46</v>
      </c>
      <c r="Q488" t="s">
        <v>2373</v>
      </c>
      <c r="R488" t="s">
        <v>67</v>
      </c>
      <c r="S488" t="s">
        <v>67</v>
      </c>
      <c r="T488">
        <v>3</v>
      </c>
      <c r="U488">
        <v>1946.18</v>
      </c>
      <c r="V488">
        <v>0.2</v>
      </c>
      <c r="W488">
        <v>4670.83</v>
      </c>
      <c r="X488">
        <v>3166.49</v>
      </c>
      <c r="Y488">
        <v>1504.34</v>
      </c>
      <c r="Z488" t="s">
        <v>34</v>
      </c>
      <c r="AA488" t="s">
        <v>35</v>
      </c>
    </row>
    <row r="489" spans="1:27">
      <c r="A489" t="s">
        <v>2374</v>
      </c>
      <c r="B489" t="s">
        <v>1968</v>
      </c>
      <c r="C489" t="s">
        <v>2375</v>
      </c>
      <c r="D489"/>
      <c r="E489" s="7">
        <f>IF(OR(D489="Invalid",D489&lt;0),"",D489)</f>
        <v>0</v>
      </c>
      <c r="F489" t="s">
        <v>2376</v>
      </c>
      <c r="G489" t="s">
        <v>148</v>
      </c>
      <c r="H489" t="str">
        <f>PROPER(TRIM(G489))</f>
        <v>Rahul Verma</v>
      </c>
      <c r="I489" t="s">
        <v>108</v>
      </c>
      <c r="J489" t="str">
        <f>PROPER(TRIM(I489))</f>
        <v>Corporate</v>
      </c>
      <c r="K489" t="s">
        <v>62</v>
      </c>
      <c r="L489" t="s">
        <v>63</v>
      </c>
      <c r="M489" t="s">
        <v>64</v>
      </c>
      <c r="N489" t="s">
        <v>45</v>
      </c>
      <c r="O489" t="str">
        <f>TRIM(N489)</f>
        <v>Furniture</v>
      </c>
      <c r="P489" t="s">
        <v>65</v>
      </c>
      <c r="Q489" t="s">
        <v>2377</v>
      </c>
      <c r="R489" t="s">
        <v>67</v>
      </c>
      <c r="S489" t="s">
        <v>67</v>
      </c>
      <c r="T489">
        <v>5</v>
      </c>
      <c r="U489">
        <v>1231.0999999999999</v>
      </c>
      <c r="V489">
        <v>0</v>
      </c>
      <c r="W489">
        <v>6155.5</v>
      </c>
      <c r="X489">
        <v>4282.09</v>
      </c>
      <c r="Y489">
        <v>1873.41</v>
      </c>
      <c r="Z489" t="s">
        <v>124</v>
      </c>
      <c r="AA489" t="s">
        <v>125</v>
      </c>
    </row>
    <row r="490" spans="1:27">
      <c r="A490" t="s">
        <v>2378</v>
      </c>
      <c r="B490" t="s">
        <v>2379</v>
      </c>
      <c r="C490" t="s">
        <v>2380</v>
      </c>
      <c r="D490"/>
      <c r="E490" s="7">
        <f>IF(OR(D490="Invalid",D490&lt;0),"",D490)</f>
        <v>0</v>
      </c>
      <c r="F490" t="s">
        <v>2381</v>
      </c>
      <c r="G490" t="s">
        <v>107</v>
      </c>
      <c r="H490" t="str">
        <f>PROPER(TRIM(G490))</f>
        <v>Aditi Sen</v>
      </c>
      <c r="I490" t="s">
        <v>41</v>
      </c>
      <c r="J490" t="str">
        <f>PROPER(TRIM(I490))</f>
        <v>Small Business</v>
      </c>
      <c r="K490" t="s">
        <v>27</v>
      </c>
      <c r="L490" t="s">
        <v>28</v>
      </c>
      <c r="M490" t="s">
        <v>29</v>
      </c>
      <c r="N490" t="s">
        <v>45</v>
      </c>
      <c r="O490" t="str">
        <f>TRIM(N490)</f>
        <v>Furniture</v>
      </c>
      <c r="P490" t="s">
        <v>46</v>
      </c>
      <c r="Q490" t="s">
        <v>2382</v>
      </c>
      <c r="R490" t="s">
        <v>48</v>
      </c>
      <c r="S490" t="s">
        <v>48</v>
      </c>
      <c r="T490">
        <v>7</v>
      </c>
      <c r="U490">
        <v>1547.6</v>
      </c>
      <c r="V490">
        <v>0.2</v>
      </c>
      <c r="W490">
        <v>8666.56</v>
      </c>
      <c r="X490">
        <v>5967.44</v>
      </c>
      <c r="Y490">
        <v>2699.12</v>
      </c>
      <c r="Z490" t="s">
        <v>34</v>
      </c>
      <c r="AA490" t="s">
        <v>35</v>
      </c>
    </row>
    <row r="491" spans="1:27">
      <c r="A491" t="s">
        <v>2383</v>
      </c>
      <c r="B491" t="s">
        <v>390</v>
      </c>
      <c r="C491" t="s">
        <v>2384</v>
      </c>
      <c r="D491"/>
      <c r="E491" s="7">
        <f>IF(OR(D491="Invalid",D491&lt;0),"",D491)</f>
        <v>0</v>
      </c>
      <c r="F491" t="s">
        <v>2385</v>
      </c>
      <c r="G491" t="s">
        <v>61</v>
      </c>
      <c r="H491" t="str">
        <f>PROPER(TRIM(G491))</f>
        <v>Arjun Bose</v>
      </c>
      <c r="I491" t="s">
        <v>115</v>
      </c>
      <c r="J491" t="str">
        <f>PROPER(TRIM(I491))</f>
        <v>Home Office</v>
      </c>
      <c r="K491" t="s">
        <v>42</v>
      </c>
      <c r="L491" t="s">
        <v>121</v>
      </c>
      <c r="M491" t="s">
        <v>122</v>
      </c>
      <c r="N491" t="s">
        <v>86</v>
      </c>
      <c r="O491" t="str">
        <f>TRIM(N491)</f>
        <v>Technology</v>
      </c>
      <c r="P491" t="s">
        <v>87</v>
      </c>
      <c r="Q491" t="s">
        <v>2386</v>
      </c>
      <c r="R491" t="s">
        <v>33</v>
      </c>
      <c r="S491" t="s">
        <v>33</v>
      </c>
      <c r="T491">
        <v>1</v>
      </c>
      <c r="U491">
        <v>452.19</v>
      </c>
      <c r="V491">
        <v>0.2</v>
      </c>
      <c r="W491">
        <v>361.75</v>
      </c>
      <c r="X491">
        <v>262.52999999999997</v>
      </c>
      <c r="Y491">
        <v>99.22</v>
      </c>
      <c r="Z491" t="s">
        <v>34</v>
      </c>
      <c r="AA491" t="s">
        <v>35</v>
      </c>
    </row>
    <row r="492" spans="1:27">
      <c r="A492" t="s">
        <v>2387</v>
      </c>
      <c r="B492" t="s">
        <v>2388</v>
      </c>
      <c r="C492" t="s">
        <v>1889</v>
      </c>
      <c r="D492"/>
      <c r="E492" s="7">
        <f>IF(OR(D492="Invalid",D492&lt;0),"",D492)</f>
        <v>0</v>
      </c>
      <c r="F492" t="s">
        <v>2389</v>
      </c>
      <c r="G492" t="s">
        <v>107</v>
      </c>
      <c r="H492" t="str">
        <f>PROPER(TRIM(G492))</f>
        <v>Aditi Sen</v>
      </c>
      <c r="I492" t="s">
        <v>26</v>
      </c>
      <c r="J492" t="str">
        <f>PROPER(TRIM(I492))</f>
        <v>Consumer</v>
      </c>
      <c r="K492" t="s">
        <v>73</v>
      </c>
      <c r="L492" t="s">
        <v>28</v>
      </c>
      <c r="M492" t="s">
        <v>135</v>
      </c>
      <c r="N492" t="s">
        <v>30</v>
      </c>
      <c r="O492" t="str">
        <f>TRIM(N492)</f>
        <v>Office Supplies</v>
      </c>
      <c r="P492" t="s">
        <v>198</v>
      </c>
      <c r="Q492" t="s">
        <v>2390</v>
      </c>
      <c r="R492" t="s">
        <v>56</v>
      </c>
      <c r="S492" t="s">
        <v>56</v>
      </c>
      <c r="T492">
        <v>7</v>
      </c>
      <c r="U492">
        <v>406.42</v>
      </c>
      <c r="V492">
        <v>0.15</v>
      </c>
      <c r="W492">
        <v>2418.1999999999998</v>
      </c>
      <c r="X492">
        <v>1613.82</v>
      </c>
      <c r="Y492">
        <v>804.38</v>
      </c>
      <c r="Z492" t="s">
        <v>34</v>
      </c>
      <c r="AA492" t="s">
        <v>35</v>
      </c>
    </row>
    <row r="493" spans="1:27">
      <c r="A493" t="s">
        <v>2391</v>
      </c>
      <c r="B493" t="s">
        <v>1978</v>
      </c>
      <c r="C493" t="s">
        <v>2392</v>
      </c>
      <c r="D493"/>
      <c r="E493" s="7">
        <f>IF(OR(D493="Invalid",D493&lt;0),"",D493)</f>
        <v>0</v>
      </c>
      <c r="F493" t="s">
        <v>2393</v>
      </c>
      <c r="G493" t="s">
        <v>40</v>
      </c>
      <c r="H493" t="str">
        <f>PROPER(TRIM(G493))</f>
        <v>Mira Das</v>
      </c>
      <c r="I493" t="s">
        <v>108</v>
      </c>
      <c r="J493" t="str">
        <f>PROPER(TRIM(I493))</f>
        <v>Corporate</v>
      </c>
      <c r="K493" t="s">
        <v>62</v>
      </c>
      <c r="L493" t="s">
        <v>242</v>
      </c>
      <c r="M493" t="s">
        <v>243</v>
      </c>
      <c r="N493" t="s">
        <v>86</v>
      </c>
      <c r="O493" t="str">
        <f>TRIM(N493)</f>
        <v>Technology</v>
      </c>
      <c r="P493" t="s">
        <v>87</v>
      </c>
      <c r="Q493" t="s">
        <v>2394</v>
      </c>
      <c r="R493" t="s">
        <v>67</v>
      </c>
      <c r="S493" t="s">
        <v>67</v>
      </c>
      <c r="T493">
        <v>4</v>
      </c>
      <c r="U493">
        <v>606.58000000000004</v>
      </c>
      <c r="V493">
        <v>0.2</v>
      </c>
      <c r="W493">
        <v>1941.06</v>
      </c>
      <c r="X493">
        <v>1207.42</v>
      </c>
      <c r="Y493">
        <v>733.64</v>
      </c>
      <c r="Z493" t="s">
        <v>34</v>
      </c>
      <c r="AA493" t="s">
        <v>35</v>
      </c>
    </row>
    <row r="494" spans="1:27">
      <c r="A494" t="s">
        <v>2395</v>
      </c>
      <c r="B494" t="s">
        <v>2396</v>
      </c>
      <c r="C494" t="s">
        <v>2397</v>
      </c>
      <c r="D494"/>
      <c r="E494" s="7">
        <f>IF(OR(D494="Invalid",D494&lt;0),"",D494)</f>
        <v>0</v>
      </c>
      <c r="F494" t="s">
        <v>2398</v>
      </c>
      <c r="G494" t="s">
        <v>72</v>
      </c>
      <c r="H494" t="str">
        <f>PROPER(TRIM(G494))</f>
        <v>Ananya Rao</v>
      </c>
      <c r="I494" t="s">
        <v>108</v>
      </c>
      <c r="J494" t="str">
        <f>PROPER(TRIM(I494))</f>
        <v>Corporate</v>
      </c>
      <c r="K494" t="s">
        <v>62</v>
      </c>
      <c r="L494" t="s">
        <v>100</v>
      </c>
      <c r="M494" t="s">
        <v>101</v>
      </c>
      <c r="N494" t="s">
        <v>30</v>
      </c>
      <c r="O494" t="str">
        <f>TRIM(N494)</f>
        <v>Office Supplies</v>
      </c>
      <c r="P494" t="s">
        <v>156</v>
      </c>
      <c r="Q494" t="s">
        <v>2399</v>
      </c>
      <c r="R494" t="s">
        <v>33</v>
      </c>
      <c r="S494" t="s">
        <v>33</v>
      </c>
      <c r="T494">
        <v>2</v>
      </c>
      <c r="U494">
        <v>2725.44</v>
      </c>
      <c r="V494">
        <v>0.25</v>
      </c>
      <c r="W494">
        <v>4088.16</v>
      </c>
      <c r="X494">
        <v>3205.68</v>
      </c>
      <c r="Y494">
        <v>882.48</v>
      </c>
      <c r="Z494" t="s">
        <v>34</v>
      </c>
      <c r="AA494" t="s">
        <v>35</v>
      </c>
    </row>
    <row r="495" spans="1:27">
      <c r="A495" t="s">
        <v>2400</v>
      </c>
      <c r="B495" t="s">
        <v>1415</v>
      </c>
      <c r="C495" t="s">
        <v>2401</v>
      </c>
      <c r="D495"/>
      <c r="E495" s="7">
        <f>IF(OR(D495="Invalid",D495&lt;0),"",D495)</f>
        <v>0</v>
      </c>
      <c r="F495" t="s">
        <v>2402</v>
      </c>
      <c r="G495" t="s">
        <v>366</v>
      </c>
      <c r="H495" t="str">
        <f>PROPER(TRIM(G495))</f>
        <v>Kabir Singh</v>
      </c>
      <c r="I495" t="s">
        <v>108</v>
      </c>
      <c r="J495" t="str">
        <f>PROPER(TRIM(I495))</f>
        <v>Corporate</v>
      </c>
      <c r="K495" t="s">
        <v>42</v>
      </c>
      <c r="L495" t="s">
        <v>43</v>
      </c>
      <c r="M495" t="s">
        <v>44</v>
      </c>
      <c r="N495" t="s">
        <v>30</v>
      </c>
      <c r="O495" t="str">
        <f>TRIM(N495)</f>
        <v>Office Supplies</v>
      </c>
      <c r="P495" t="s">
        <v>31</v>
      </c>
      <c r="Q495" t="s">
        <v>2403</v>
      </c>
      <c r="R495" t="s">
        <v>33</v>
      </c>
      <c r="S495" t="s">
        <v>33</v>
      </c>
      <c r="T495">
        <v>7</v>
      </c>
      <c r="U495">
        <v>2296.6999999999998</v>
      </c>
      <c r="V495">
        <v>0.05</v>
      </c>
      <c r="W495">
        <v>15273.05</v>
      </c>
      <c r="X495">
        <v>11088.76</v>
      </c>
      <c r="Y495">
        <v>4184.29</v>
      </c>
      <c r="Z495" t="s">
        <v>34</v>
      </c>
      <c r="AA495" t="s">
        <v>2404</v>
      </c>
    </row>
    <row r="496" spans="1:27">
      <c r="A496" t="s">
        <v>2405</v>
      </c>
      <c r="B496" t="s">
        <v>2406</v>
      </c>
      <c r="C496" t="s">
        <v>2407</v>
      </c>
      <c r="D496"/>
      <c r="E496" s="7">
        <f>IF(OR(D496="Invalid",D496&lt;0),"",D496)</f>
        <v>0</v>
      </c>
      <c r="F496" t="s">
        <v>2408</v>
      </c>
      <c r="G496" t="s">
        <v>53</v>
      </c>
      <c r="H496" t="str">
        <f>PROPER(TRIM(G496))</f>
        <v>Isha Nair</v>
      </c>
      <c r="I496" t="s">
        <v>26</v>
      </c>
      <c r="J496" t="str">
        <f>PROPER(TRIM(I496))</f>
        <v>Consumer</v>
      </c>
      <c r="K496" t="s">
        <v>73</v>
      </c>
      <c r="L496" t="s">
        <v>84</v>
      </c>
      <c r="M496" t="s">
        <v>85</v>
      </c>
      <c r="N496" t="s">
        <v>86</v>
      </c>
      <c r="O496" t="str">
        <f>TRIM(N496)</f>
        <v>Technology</v>
      </c>
      <c r="P496" t="s">
        <v>223</v>
      </c>
      <c r="Q496" t="s">
        <v>2409</v>
      </c>
      <c r="R496" t="s">
        <v>67</v>
      </c>
      <c r="S496" t="s">
        <v>67</v>
      </c>
      <c r="T496">
        <v>3</v>
      </c>
      <c r="U496">
        <v>671.68</v>
      </c>
      <c r="V496">
        <v>-0.13</v>
      </c>
      <c r="W496">
        <v>1712.78</v>
      </c>
      <c r="X496">
        <v>1569.38</v>
      </c>
      <c r="Y496">
        <v>360.66</v>
      </c>
      <c r="Z496" t="s">
        <v>200</v>
      </c>
      <c r="AA496" t="s">
        <v>78</v>
      </c>
    </row>
    <row r="497" spans="1:27">
      <c r="A497" t="s">
        <v>2410</v>
      </c>
      <c r="B497" t="s">
        <v>2191</v>
      </c>
      <c r="C497" t="s">
        <v>2411</v>
      </c>
      <c r="D497"/>
      <c r="E497" s="7">
        <f>IF(OR(D497="Invalid",D497&lt;0),"",D497)</f>
        <v>0</v>
      </c>
      <c r="F497" t="s">
        <v>2412</v>
      </c>
      <c r="G497" t="s">
        <v>40</v>
      </c>
      <c r="H497" t="str">
        <f>PROPER(TRIM(G497))</f>
        <v>Mira Das</v>
      </c>
      <c r="I497" t="s">
        <v>41</v>
      </c>
      <c r="J497" t="str">
        <f>PROPER(TRIM(I497))</f>
        <v>Small Business</v>
      </c>
      <c r="K497" t="s">
        <v>42</v>
      </c>
      <c r="L497" t="s">
        <v>216</v>
      </c>
      <c r="M497" t="s">
        <v>217</v>
      </c>
      <c r="N497" t="s">
        <v>86</v>
      </c>
      <c r="O497" t="str">
        <f>TRIM(N497)</f>
        <v>Technology</v>
      </c>
      <c r="P497" t="s">
        <v>223</v>
      </c>
      <c r="Q497" t="s">
        <v>2413</v>
      </c>
      <c r="R497" t="s">
        <v>33</v>
      </c>
      <c r="S497" t="s">
        <v>33</v>
      </c>
      <c r="T497">
        <v>4</v>
      </c>
      <c r="U497">
        <v>995.98</v>
      </c>
      <c r="V497">
        <v>0.05</v>
      </c>
      <c r="W497">
        <v>3784.72</v>
      </c>
      <c r="X497">
        <v>2419.2399999999998</v>
      </c>
      <c r="Y497">
        <v>1365.48</v>
      </c>
      <c r="Z497" t="s">
        <v>124</v>
      </c>
      <c r="AA497" t="s">
        <v>125</v>
      </c>
    </row>
    <row r="498" spans="1:27">
      <c r="A498" t="s">
        <v>2414</v>
      </c>
      <c r="B498" t="s">
        <v>2415</v>
      </c>
      <c r="C498" t="s">
        <v>2416</v>
      </c>
      <c r="D498"/>
      <c r="E498" s="7">
        <f>IF(OR(D498="Invalid",D498&lt;0),"",D498)</f>
        <v>0</v>
      </c>
      <c r="F498" t="s">
        <v>2417</v>
      </c>
      <c r="G498" t="s">
        <v>366</v>
      </c>
      <c r="H498" t="str">
        <f>PROPER(TRIM(G498))</f>
        <v>Kabir Singh</v>
      </c>
      <c r="I498" t="s">
        <v>41</v>
      </c>
      <c r="J498" t="str">
        <f>PROPER(TRIM(I498))</f>
        <v>Small Business</v>
      </c>
      <c r="K498" t="s">
        <v>42</v>
      </c>
      <c r="L498" t="s">
        <v>311</v>
      </c>
      <c r="M498" t="s">
        <v>312</v>
      </c>
      <c r="N498" t="s">
        <v>45</v>
      </c>
      <c r="O498" t="str">
        <f>TRIM(N498)</f>
        <v>Furniture</v>
      </c>
      <c r="P498" t="s">
        <v>76</v>
      </c>
      <c r="Q498" t="s">
        <v>2418</v>
      </c>
      <c r="R498" t="s">
        <v>33</v>
      </c>
      <c r="S498" t="s">
        <v>33</v>
      </c>
      <c r="T498">
        <v>2</v>
      </c>
      <c r="U498">
        <v>3686.42</v>
      </c>
      <c r="V498">
        <v>0.1</v>
      </c>
      <c r="W498">
        <v>6635.56</v>
      </c>
      <c r="X498">
        <v>3652.91</v>
      </c>
      <c r="Y498">
        <v>2982.65</v>
      </c>
      <c r="Z498" t="s">
        <v>34</v>
      </c>
      <c r="AA498" t="s">
        <v>35</v>
      </c>
    </row>
    <row r="499" spans="1:27">
      <c r="A499" t="s">
        <v>2419</v>
      </c>
      <c r="B499" t="s">
        <v>2420</v>
      </c>
      <c r="C499" t="s">
        <v>2420</v>
      </c>
      <c r="D499"/>
      <c r="E499" s="7">
        <f>IF(OR(D499="Invalid",D499&lt;0),"",D499)</f>
        <v>0</v>
      </c>
      <c r="F499" t="s">
        <v>2421</v>
      </c>
      <c r="G499" t="s">
        <v>168</v>
      </c>
      <c r="H499" t="str">
        <f>PROPER(TRIM(G499))</f>
        <v>Sneha Kapoor</v>
      </c>
      <c r="I499" t="s">
        <v>41</v>
      </c>
      <c r="J499" t="str">
        <f>PROPER(TRIM(I499))</f>
        <v>Small Business</v>
      </c>
      <c r="K499" t="s">
        <v>712</v>
      </c>
      <c r="L499" t="s">
        <v>174</v>
      </c>
      <c r="M499" t="s">
        <v>175</v>
      </c>
      <c r="N499" t="s">
        <v>86</v>
      </c>
      <c r="O499" t="str">
        <f>TRIM(N499)</f>
        <v>Technology</v>
      </c>
      <c r="P499" t="s">
        <v>87</v>
      </c>
      <c r="Q499" t="s">
        <v>2422</v>
      </c>
      <c r="R499" t="s">
        <v>33</v>
      </c>
      <c r="S499" t="s">
        <v>33</v>
      </c>
      <c r="T499">
        <v>1</v>
      </c>
      <c r="U499">
        <v>3106.88</v>
      </c>
      <c r="V499">
        <v>0.2</v>
      </c>
      <c r="W499">
        <v>2485.5</v>
      </c>
      <c r="X499">
        <v>2028.43</v>
      </c>
      <c r="Y499">
        <v>457.07</v>
      </c>
      <c r="Z499" t="s">
        <v>34</v>
      </c>
      <c r="AA499" t="s">
        <v>78</v>
      </c>
    </row>
    <row r="500" spans="1:27">
      <c r="A500" t="s">
        <v>2423</v>
      </c>
      <c r="B500" t="s">
        <v>2424</v>
      </c>
      <c r="C500" t="s">
        <v>2425</v>
      </c>
      <c r="D500"/>
      <c r="E500" s="7">
        <f>IF(OR(D500="Invalid",D500&lt;0),"",D500)</f>
        <v>0</v>
      </c>
      <c r="F500" t="s">
        <v>2426</v>
      </c>
      <c r="G500" t="s">
        <v>25</v>
      </c>
      <c r="H500" t="str">
        <f>PROPER(TRIM(G500))</f>
        <v>Karan Malhotra</v>
      </c>
      <c r="I500" t="s">
        <v>26</v>
      </c>
      <c r="J500" t="str">
        <f>PROPER(TRIM(I500))</f>
        <v>Consumer</v>
      </c>
      <c r="K500" t="s">
        <v>27</v>
      </c>
      <c r="L500" t="s">
        <v>154</v>
      </c>
      <c r="M500" t="s">
        <v>155</v>
      </c>
      <c r="N500" t="s">
        <v>45</v>
      </c>
      <c r="O500" t="str">
        <f>TRIM(N500)</f>
        <v>Furniture</v>
      </c>
      <c r="P500" t="s">
        <v>76</v>
      </c>
      <c r="Q500" t="s">
        <v>2427</v>
      </c>
      <c r="R500" t="s">
        <v>48</v>
      </c>
      <c r="S500" t="s">
        <v>48</v>
      </c>
      <c r="T500">
        <v>2</v>
      </c>
      <c r="U500">
        <v>447.55</v>
      </c>
      <c r="V500">
        <v>0.05</v>
      </c>
      <c r="W500">
        <v>850.35</v>
      </c>
      <c r="X500">
        <v>600.98</v>
      </c>
      <c r="Y500">
        <v>249.37</v>
      </c>
      <c r="Z500" t="s">
        <v>124</v>
      </c>
      <c r="AA500" t="s">
        <v>2428</v>
      </c>
    </row>
    <row r="501" spans="1:27">
      <c r="A501" t="s">
        <v>2429</v>
      </c>
      <c r="B501" t="s">
        <v>2430</v>
      </c>
      <c r="C501" t="s">
        <v>1445</v>
      </c>
      <c r="D501"/>
      <c r="E501" s="7">
        <f>IF(OR(D501="Invalid",D501&lt;0),"",D501)</f>
        <v>0</v>
      </c>
      <c r="F501" t="s">
        <v>2431</v>
      </c>
      <c r="G501" t="s">
        <v>148</v>
      </c>
      <c r="H501" t="str">
        <f>PROPER(TRIM(G501))</f>
        <v>Rahul Verma</v>
      </c>
      <c r="I501" t="s">
        <v>115</v>
      </c>
      <c r="J501" t="str">
        <f>PROPER(TRIM(I501))</f>
        <v>Home Office</v>
      </c>
      <c r="K501" t="s">
        <v>27</v>
      </c>
      <c r="L501" t="s">
        <v>174</v>
      </c>
      <c r="M501" t="s">
        <v>175</v>
      </c>
      <c r="N501" t="s">
        <v>45</v>
      </c>
      <c r="O501" t="str">
        <f>TRIM(N501)</f>
        <v>Furniture</v>
      </c>
      <c r="P501" t="s">
        <v>76</v>
      </c>
      <c r="Q501" t="s">
        <v>2432</v>
      </c>
      <c r="R501" t="s">
        <v>67</v>
      </c>
      <c r="S501" t="s">
        <v>67</v>
      </c>
      <c r="T501">
        <v>9</v>
      </c>
      <c r="U501">
        <v>1110.8699999999999</v>
      </c>
      <c r="W501">
        <v>7498.37</v>
      </c>
      <c r="X501">
        <v>6059.07</v>
      </c>
      <c r="Y501">
        <v>1439.3</v>
      </c>
      <c r="Z501" t="s">
        <v>34</v>
      </c>
      <c r="AA501" t="s">
        <v>78</v>
      </c>
    </row>
    <row r="502" spans="1:27">
      <c r="A502" t="s">
        <v>2433</v>
      </c>
      <c r="B502" t="s">
        <v>1129</v>
      </c>
      <c r="C502" t="s">
        <v>2434</v>
      </c>
      <c r="D502"/>
      <c r="E502" s="7">
        <f>IF(OR(D502="Invalid",D502&lt;0),"",D502)</f>
        <v>0</v>
      </c>
      <c r="F502" t="s">
        <v>2435</v>
      </c>
      <c r="G502" t="s">
        <v>168</v>
      </c>
      <c r="H502" t="str">
        <f>PROPER(TRIM(G502))</f>
        <v>Sneha Kapoor</v>
      </c>
      <c r="I502" t="s">
        <v>26</v>
      </c>
      <c r="J502" t="str">
        <f>PROPER(TRIM(I502))</f>
        <v>Consumer</v>
      </c>
      <c r="K502" t="s">
        <v>62</v>
      </c>
      <c r="L502" t="s">
        <v>242</v>
      </c>
      <c r="M502" t="s">
        <v>243</v>
      </c>
      <c r="N502" t="s">
        <v>86</v>
      </c>
      <c r="O502" t="str">
        <f>TRIM(N502)</f>
        <v>Technology</v>
      </c>
      <c r="P502" t="s">
        <v>223</v>
      </c>
      <c r="Q502" t="s">
        <v>2436</v>
      </c>
      <c r="R502" t="s">
        <v>48</v>
      </c>
      <c r="S502" t="s">
        <v>48</v>
      </c>
      <c r="T502">
        <v>9</v>
      </c>
      <c r="U502">
        <v>3795.99</v>
      </c>
      <c r="V502" t="s">
        <v>1170</v>
      </c>
      <c r="W502">
        <v>34163.910000000003</v>
      </c>
      <c r="X502">
        <v>28577.15</v>
      </c>
      <c r="Y502">
        <v>5586.76</v>
      </c>
      <c r="Z502" t="s">
        <v>34</v>
      </c>
      <c r="AA502" t="s">
        <v>35</v>
      </c>
    </row>
    <row r="503" spans="1:27">
      <c r="A503" t="s">
        <v>2437</v>
      </c>
      <c r="B503" t="s">
        <v>2438</v>
      </c>
      <c r="C503" t="s">
        <v>2439</v>
      </c>
      <c r="D503"/>
      <c r="E503" s="7">
        <f>IF(OR(D503="Invalid",D503&lt;0),"",D503)</f>
        <v>0</v>
      </c>
      <c r="F503" t="s">
        <v>1237</v>
      </c>
      <c r="G503" t="s">
        <v>93</v>
      </c>
      <c r="H503" t="str">
        <f>PROPER(TRIM(G503))</f>
        <v>Neha Gupta</v>
      </c>
      <c r="I503" t="s">
        <v>26</v>
      </c>
      <c r="J503" t="str">
        <f>PROPER(TRIM(I503))</f>
        <v>Consumer</v>
      </c>
      <c r="K503" t="s">
        <v>42</v>
      </c>
      <c r="L503" t="s">
        <v>311</v>
      </c>
      <c r="M503" t="s">
        <v>312</v>
      </c>
      <c r="N503" t="s">
        <v>30</v>
      </c>
      <c r="O503" t="str">
        <f>TRIM(N503)</f>
        <v>Office Supplies</v>
      </c>
      <c r="P503" t="s">
        <v>54</v>
      </c>
      <c r="Q503" t="s">
        <v>2440</v>
      </c>
      <c r="R503" t="s">
        <v>33</v>
      </c>
      <c r="S503" t="s">
        <v>33</v>
      </c>
      <c r="T503">
        <v>6</v>
      </c>
      <c r="U503">
        <v>3497.54</v>
      </c>
      <c r="V503">
        <v>0.15</v>
      </c>
      <c r="W503">
        <v>17837.45</v>
      </c>
      <c r="X503">
        <v>13627.02</v>
      </c>
      <c r="Y503">
        <v>4210.43</v>
      </c>
      <c r="Z503" t="s">
        <v>34</v>
      </c>
      <c r="AA503" t="s">
        <v>35</v>
      </c>
    </row>
    <row r="504" spans="1:27">
      <c r="A504" t="s">
        <v>2441</v>
      </c>
      <c r="B504" t="s">
        <v>2442</v>
      </c>
      <c r="C504" t="s">
        <v>2443</v>
      </c>
      <c r="D504"/>
      <c r="E504" s="7">
        <f>IF(OR(D504="Invalid",D504&lt;0),"",D504)</f>
        <v>0</v>
      </c>
      <c r="F504" t="s">
        <v>2444</v>
      </c>
      <c r="G504" t="s">
        <v>142</v>
      </c>
      <c r="H504" t="str">
        <f>PROPER(TRIM(G504))</f>
        <v>Priya Menon</v>
      </c>
      <c r="I504" t="s">
        <v>41</v>
      </c>
      <c r="J504" t="str">
        <f>PROPER(TRIM(I504))</f>
        <v>Small Business</v>
      </c>
      <c r="K504" t="s">
        <v>42</v>
      </c>
      <c r="L504" t="s">
        <v>43</v>
      </c>
      <c r="M504" t="s">
        <v>44</v>
      </c>
      <c r="N504" t="s">
        <v>86</v>
      </c>
      <c r="O504" t="str">
        <f>TRIM(N504)</f>
        <v>Technology</v>
      </c>
      <c r="P504" t="s">
        <v>94</v>
      </c>
      <c r="Q504" t="s">
        <v>2445</v>
      </c>
      <c r="R504" t="s">
        <v>33</v>
      </c>
      <c r="S504" t="s">
        <v>33</v>
      </c>
      <c r="T504">
        <v>6</v>
      </c>
      <c r="U504">
        <v>826.93</v>
      </c>
      <c r="V504">
        <v>0.1</v>
      </c>
      <c r="W504">
        <v>4465.42</v>
      </c>
      <c r="X504">
        <v>3377.1</v>
      </c>
      <c r="Y504">
        <v>1088.32</v>
      </c>
      <c r="Z504" t="s">
        <v>34</v>
      </c>
      <c r="AA504" t="s">
        <v>35</v>
      </c>
    </row>
    <row r="505" spans="1:27">
      <c r="A505" t="s">
        <v>2446</v>
      </c>
      <c r="B505" t="s">
        <v>2447</v>
      </c>
      <c r="C505" t="s">
        <v>2448</v>
      </c>
      <c r="D505"/>
      <c r="E505" s="7">
        <f>IF(OR(D505="Invalid",D505&lt;0),"",D505)</f>
        <v>0</v>
      </c>
      <c r="F505" t="s">
        <v>2449</v>
      </c>
      <c r="G505" t="s">
        <v>162</v>
      </c>
      <c r="H505" t="str">
        <f>PROPER(TRIM(G505))</f>
        <v>Aarav Sharma</v>
      </c>
      <c r="I505" t="s">
        <v>26</v>
      </c>
      <c r="J505" t="str">
        <f>PROPER(TRIM(I505))</f>
        <v>Consumer</v>
      </c>
      <c r="K505" t="s">
        <v>62</v>
      </c>
      <c r="L505" t="s">
        <v>339</v>
      </c>
      <c r="M505" t="s">
        <v>340</v>
      </c>
      <c r="N505" t="s">
        <v>86</v>
      </c>
      <c r="O505" t="str">
        <f>TRIM(N505)</f>
        <v>Technology</v>
      </c>
      <c r="P505" t="s">
        <v>223</v>
      </c>
      <c r="Q505" t="s">
        <v>2450</v>
      </c>
      <c r="R505" t="s">
        <v>67</v>
      </c>
      <c r="S505" t="s">
        <v>67</v>
      </c>
      <c r="T505">
        <v>7</v>
      </c>
      <c r="U505">
        <v>1681.6</v>
      </c>
      <c r="V505">
        <v>0.1</v>
      </c>
      <c r="W505">
        <v>10594.08</v>
      </c>
      <c r="X505">
        <v>7160.31</v>
      </c>
      <c r="Y505">
        <v>3433.77</v>
      </c>
      <c r="Z505" t="s">
        <v>34</v>
      </c>
      <c r="AA505" t="s">
        <v>35</v>
      </c>
    </row>
    <row r="506" spans="1:27">
      <c r="A506" t="s">
        <v>2451</v>
      </c>
      <c r="B506" t="s">
        <v>2452</v>
      </c>
      <c r="C506" t="s">
        <v>2453</v>
      </c>
      <c r="D506"/>
      <c r="E506" s="7">
        <f>IF(OR(D506="Invalid",D506&lt;0),"",D506)</f>
        <v>0</v>
      </c>
      <c r="F506" t="s">
        <v>2454</v>
      </c>
      <c r="G506" t="s">
        <v>61</v>
      </c>
      <c r="H506" t="str">
        <f>PROPER(TRIM(G506))</f>
        <v>Arjun Bose</v>
      </c>
      <c r="I506" t="s">
        <v>108</v>
      </c>
      <c r="J506" t="str">
        <f>PROPER(TRIM(I506))</f>
        <v>Corporate</v>
      </c>
      <c r="K506" t="s">
        <v>73</v>
      </c>
      <c r="L506" t="s">
        <v>235</v>
      </c>
      <c r="M506" t="s">
        <v>236</v>
      </c>
      <c r="N506" t="s">
        <v>30</v>
      </c>
      <c r="O506" t="str">
        <f>TRIM(N506)</f>
        <v>Office Supplies</v>
      </c>
      <c r="P506" t="s">
        <v>54</v>
      </c>
      <c r="Q506" t="s">
        <v>2455</v>
      </c>
      <c r="R506" t="s">
        <v>67</v>
      </c>
      <c r="S506" t="s">
        <v>67</v>
      </c>
      <c r="T506">
        <v>4</v>
      </c>
      <c r="U506">
        <v>4328.12</v>
      </c>
      <c r="V506">
        <v>0</v>
      </c>
      <c r="W506">
        <v>17312.48</v>
      </c>
      <c r="X506">
        <v>14424.22</v>
      </c>
      <c r="Y506">
        <v>2888.26</v>
      </c>
      <c r="Z506" t="s">
        <v>34</v>
      </c>
      <c r="AA506" t="s">
        <v>35</v>
      </c>
    </row>
    <row r="507" spans="1:27">
      <c r="A507" t="s">
        <v>2456</v>
      </c>
      <c r="B507" t="s">
        <v>2457</v>
      </c>
      <c r="C507" t="s">
        <v>1380</v>
      </c>
      <c r="D507"/>
      <c r="E507" s="7">
        <f>IF(OR(D507="Invalid",D507&lt;0),"",D507)</f>
        <v>0</v>
      </c>
      <c r="F507" t="s">
        <v>2458</v>
      </c>
      <c r="G507" t="s">
        <v>93</v>
      </c>
      <c r="H507" t="str">
        <f>PROPER(TRIM(G507))</f>
        <v>Neha Gupta</v>
      </c>
      <c r="I507" t="s">
        <v>108</v>
      </c>
      <c r="J507" t="str">
        <f>PROPER(TRIM(I507))</f>
        <v>Corporate</v>
      </c>
      <c r="K507" t="s">
        <v>73</v>
      </c>
      <c r="L507" t="s">
        <v>84</v>
      </c>
      <c r="M507" t="s">
        <v>85</v>
      </c>
      <c r="N507" t="s">
        <v>30</v>
      </c>
      <c r="O507" t="str">
        <f>TRIM(N507)</f>
        <v>Office Supplies</v>
      </c>
      <c r="P507" t="s">
        <v>54</v>
      </c>
      <c r="Q507" t="s">
        <v>2459</v>
      </c>
      <c r="R507" t="s">
        <v>56</v>
      </c>
      <c r="S507" t="s">
        <v>56</v>
      </c>
      <c r="T507">
        <v>9</v>
      </c>
      <c r="U507">
        <v>2438.29</v>
      </c>
      <c r="V507">
        <v>0.2</v>
      </c>
      <c r="W507">
        <v>17555.689999999999</v>
      </c>
      <c r="X507">
        <v>13293.2</v>
      </c>
      <c r="Y507">
        <v>4262.49</v>
      </c>
      <c r="Z507" t="s">
        <v>34</v>
      </c>
      <c r="AA507" t="s">
        <v>78</v>
      </c>
    </row>
    <row r="508" spans="1:27">
      <c r="A508" t="s">
        <v>2460</v>
      </c>
      <c r="B508" t="s">
        <v>2461</v>
      </c>
      <c r="C508" t="s">
        <v>2462</v>
      </c>
      <c r="D508"/>
      <c r="E508" s="7">
        <f>IF(OR(D508="Invalid",D508&lt;0),"",D508)</f>
        <v>0</v>
      </c>
      <c r="F508" t="s">
        <v>2463</v>
      </c>
      <c r="G508" t="s">
        <v>162</v>
      </c>
      <c r="H508" t="str">
        <f>PROPER(TRIM(G508))</f>
        <v>Aarav Sharma</v>
      </c>
      <c r="I508" t="s">
        <v>41</v>
      </c>
      <c r="J508" t="str">
        <f>PROPER(TRIM(I508))</f>
        <v>Small Business</v>
      </c>
      <c r="K508" t="s">
        <v>27</v>
      </c>
      <c r="L508" t="s">
        <v>154</v>
      </c>
      <c r="M508" t="s">
        <v>155</v>
      </c>
      <c r="N508" t="s">
        <v>45</v>
      </c>
      <c r="O508" t="str">
        <f>TRIM(N508)</f>
        <v>Furniture</v>
      </c>
      <c r="P508" t="s">
        <v>65</v>
      </c>
      <c r="Q508" t="s">
        <v>2464</v>
      </c>
      <c r="R508" t="s">
        <v>56</v>
      </c>
      <c r="S508" t="s">
        <v>56</v>
      </c>
      <c r="T508">
        <v>2</v>
      </c>
      <c r="U508">
        <v>669.8</v>
      </c>
      <c r="V508">
        <v>0.1</v>
      </c>
      <c r="W508">
        <v>1205.6400000000001</v>
      </c>
      <c r="X508">
        <v>842.07</v>
      </c>
      <c r="Y508">
        <v>363.57</v>
      </c>
      <c r="Z508" t="s">
        <v>124</v>
      </c>
      <c r="AA508" t="s">
        <v>125</v>
      </c>
    </row>
    <row r="509" spans="1:27">
      <c r="A509" t="s">
        <v>2465</v>
      </c>
      <c r="B509" t="s">
        <v>2143</v>
      </c>
      <c r="C509" t="s">
        <v>2109</v>
      </c>
      <c r="D509"/>
      <c r="E509" s="7">
        <f>IF(OR(D509="Invalid",D509&lt;0),"",D509)</f>
        <v>0</v>
      </c>
      <c r="F509" t="s">
        <v>2466</v>
      </c>
      <c r="G509" t="s">
        <v>53</v>
      </c>
      <c r="H509" t="str">
        <f>PROPER(TRIM(G509))</f>
        <v>Isha Nair</v>
      </c>
      <c r="I509" t="s">
        <v>41</v>
      </c>
      <c r="J509" t="str">
        <f>PROPER(TRIM(I509))</f>
        <v>Small Business</v>
      </c>
      <c r="K509" t="s">
        <v>27</v>
      </c>
      <c r="L509" t="s">
        <v>323</v>
      </c>
      <c r="M509" t="s">
        <v>324</v>
      </c>
      <c r="N509" t="s">
        <v>30</v>
      </c>
      <c r="O509" t="str">
        <f>TRIM(N509)</f>
        <v>Office Supplies</v>
      </c>
      <c r="P509" t="s">
        <v>198</v>
      </c>
      <c r="Q509" t="s">
        <v>2467</v>
      </c>
      <c r="R509" t="s">
        <v>48</v>
      </c>
      <c r="S509" t="s">
        <v>48</v>
      </c>
      <c r="T509">
        <v>4</v>
      </c>
      <c r="U509">
        <v>2990.42</v>
      </c>
      <c r="V509">
        <v>0.25</v>
      </c>
      <c r="W509">
        <v>8971.26</v>
      </c>
      <c r="X509">
        <v>6814.35</v>
      </c>
      <c r="Y509">
        <v>2156.91</v>
      </c>
      <c r="Z509" t="s">
        <v>34</v>
      </c>
      <c r="AA509" t="s">
        <v>35</v>
      </c>
    </row>
    <row r="510" spans="1:27">
      <c r="A510" t="s">
        <v>2468</v>
      </c>
      <c r="B510" t="s">
        <v>2469</v>
      </c>
      <c r="C510" t="s">
        <v>1419</v>
      </c>
      <c r="D510"/>
      <c r="E510" s="7">
        <f>IF(OR(D510="Invalid",D510&lt;0),"",D510)</f>
        <v>0</v>
      </c>
      <c r="F510" t="s">
        <v>2470</v>
      </c>
      <c r="G510" t="s">
        <v>53</v>
      </c>
      <c r="H510" t="str">
        <f>PROPER(TRIM(G510))</f>
        <v>Isha Nair</v>
      </c>
      <c r="I510" t="s">
        <v>41</v>
      </c>
      <c r="J510" t="str">
        <f>PROPER(TRIM(I510))</f>
        <v>Small Business</v>
      </c>
      <c r="K510" t="s">
        <v>27</v>
      </c>
      <c r="L510" t="s">
        <v>323</v>
      </c>
      <c r="M510" t="s">
        <v>324</v>
      </c>
      <c r="N510" t="s">
        <v>86</v>
      </c>
      <c r="O510" t="str">
        <f>TRIM(N510)</f>
        <v>Technology</v>
      </c>
      <c r="P510" t="s">
        <v>382</v>
      </c>
      <c r="Q510" t="s">
        <v>2471</v>
      </c>
      <c r="R510" t="s">
        <v>33</v>
      </c>
      <c r="S510" t="s">
        <v>33</v>
      </c>
      <c r="T510">
        <v>4</v>
      </c>
      <c r="U510">
        <v>1831</v>
      </c>
      <c r="V510">
        <v>0</v>
      </c>
      <c r="W510">
        <v>7324</v>
      </c>
      <c r="X510">
        <v>4179.63</v>
      </c>
      <c r="Y510">
        <v>3144.37</v>
      </c>
      <c r="Z510" t="s">
        <v>34</v>
      </c>
      <c r="AA510" t="s">
        <v>35</v>
      </c>
    </row>
    <row r="511" spans="1:27">
      <c r="A511" t="s">
        <v>2472</v>
      </c>
      <c r="B511" t="s">
        <v>2473</v>
      </c>
      <c r="C511" t="s">
        <v>2474</v>
      </c>
      <c r="D511"/>
      <c r="E511" s="7">
        <f>IF(OR(D511="Invalid",D511&lt;0),"",D511)</f>
        <v>0</v>
      </c>
      <c r="F511" t="s">
        <v>2475</v>
      </c>
      <c r="G511" t="s">
        <v>93</v>
      </c>
      <c r="H511" t="str">
        <f>PROPER(TRIM(G511))</f>
        <v>Neha Gupta</v>
      </c>
      <c r="I511" t="s">
        <v>26</v>
      </c>
      <c r="J511" t="str">
        <f>PROPER(TRIM(I511))</f>
        <v>Consumer</v>
      </c>
      <c r="K511" t="s">
        <v>73</v>
      </c>
      <c r="L511" t="s">
        <v>235</v>
      </c>
      <c r="M511" t="s">
        <v>236</v>
      </c>
      <c r="N511" t="s">
        <v>86</v>
      </c>
      <c r="O511" t="str">
        <f>TRIM(N511)</f>
        <v>Technology</v>
      </c>
      <c r="P511" t="s">
        <v>382</v>
      </c>
      <c r="Q511" t="s">
        <v>2476</v>
      </c>
      <c r="R511" t="s">
        <v>48</v>
      </c>
      <c r="S511" t="s">
        <v>48</v>
      </c>
      <c r="T511">
        <v>8</v>
      </c>
      <c r="U511">
        <v>3631.44</v>
      </c>
      <c r="V511">
        <v>0.2</v>
      </c>
      <c r="W511">
        <v>23241.22</v>
      </c>
      <c r="X511">
        <v>17220.900000000001</v>
      </c>
      <c r="Y511">
        <v>6020.32</v>
      </c>
      <c r="Z511" t="s">
        <v>34</v>
      </c>
      <c r="AA511" t="s">
        <v>35</v>
      </c>
    </row>
    <row r="512" spans="1:27">
      <c r="A512" t="s">
        <v>2477</v>
      </c>
      <c r="B512" t="s">
        <v>644</v>
      </c>
      <c r="C512" t="s">
        <v>2478</v>
      </c>
      <c r="D512"/>
      <c r="E512" s="7">
        <f>IF(OR(D512="Invalid",D512&lt;0),"",D512)</f>
        <v>0</v>
      </c>
      <c r="F512" t="s">
        <v>2479</v>
      </c>
      <c r="G512" t="s">
        <v>2480</v>
      </c>
      <c r="H512" t="str">
        <f>PROPER(TRIM(G512))</f>
        <v>Aarav Sharma</v>
      </c>
      <c r="I512" t="s">
        <v>26</v>
      </c>
      <c r="J512" t="str">
        <f>PROPER(TRIM(I512))</f>
        <v>Consumer</v>
      </c>
      <c r="K512" t="s">
        <v>62</v>
      </c>
      <c r="L512" t="s">
        <v>229</v>
      </c>
      <c r="M512" t="s">
        <v>230</v>
      </c>
      <c r="N512" t="s">
        <v>30</v>
      </c>
      <c r="O512" t="str">
        <f>TRIM(N512)</f>
        <v>Office Supplies</v>
      </c>
      <c r="P512" t="s">
        <v>156</v>
      </c>
      <c r="Q512" t="s">
        <v>2481</v>
      </c>
      <c r="R512" t="s">
        <v>33</v>
      </c>
      <c r="S512" t="s">
        <v>33</v>
      </c>
      <c r="T512">
        <v>2</v>
      </c>
      <c r="U512">
        <v>4238.51</v>
      </c>
      <c r="V512">
        <v>0</v>
      </c>
      <c r="W512">
        <v>8477.02</v>
      </c>
      <c r="X512">
        <v>6884.96</v>
      </c>
      <c r="Y512">
        <v>1592.06</v>
      </c>
      <c r="Z512" t="s">
        <v>34</v>
      </c>
      <c r="AA512" t="s">
        <v>35</v>
      </c>
    </row>
    <row r="513" spans="1:27">
      <c r="A513" t="s">
        <v>2482</v>
      </c>
      <c r="B513" t="s">
        <v>2483</v>
      </c>
      <c r="C513" t="s">
        <v>2484</v>
      </c>
      <c r="D513"/>
      <c r="E513" s="7">
        <f>IF(OR(D513="Invalid",D513&lt;0),"",D513)</f>
        <v>0</v>
      </c>
      <c r="F513" t="s">
        <v>2485</v>
      </c>
      <c r="G513" t="s">
        <v>168</v>
      </c>
      <c r="H513" t="str">
        <f>PROPER(TRIM(G513))</f>
        <v>Sneha Kapoor</v>
      </c>
      <c r="I513" t="s">
        <v>26</v>
      </c>
      <c r="J513" t="str">
        <f>PROPER(TRIM(I513))</f>
        <v>Consumer</v>
      </c>
      <c r="K513" t="s">
        <v>73</v>
      </c>
      <c r="L513" t="s">
        <v>84</v>
      </c>
      <c r="M513" t="s">
        <v>85</v>
      </c>
      <c r="N513" t="s">
        <v>45</v>
      </c>
      <c r="O513" t="str">
        <f>TRIM(N513)</f>
        <v>Furniture</v>
      </c>
      <c r="P513" t="s">
        <v>204</v>
      </c>
      <c r="Q513" t="s">
        <v>2486</v>
      </c>
      <c r="R513" t="s">
        <v>67</v>
      </c>
      <c r="S513" t="s">
        <v>67</v>
      </c>
      <c r="T513">
        <v>9</v>
      </c>
      <c r="U513">
        <v>544.27</v>
      </c>
      <c r="V513">
        <v>0.25</v>
      </c>
      <c r="W513">
        <v>3673.82</v>
      </c>
      <c r="X513">
        <v>2088.15</v>
      </c>
      <c r="Y513">
        <v>1585.67</v>
      </c>
      <c r="Z513" t="s">
        <v>34</v>
      </c>
      <c r="AA513" t="s">
        <v>35</v>
      </c>
    </row>
    <row r="514" spans="1:27">
      <c r="A514" t="s">
        <v>2487</v>
      </c>
      <c r="B514" t="s">
        <v>786</v>
      </c>
      <c r="C514" t="s">
        <v>2488</v>
      </c>
      <c r="D514"/>
      <c r="E514" s="7">
        <f>IF(OR(D514="Invalid",D514&lt;0),"",D514)</f>
        <v>0</v>
      </c>
      <c r="F514" t="s">
        <v>1900</v>
      </c>
      <c r="G514" t="s">
        <v>53</v>
      </c>
      <c r="H514" t="str">
        <f>PROPER(TRIM(G514))</f>
        <v>Isha Nair</v>
      </c>
      <c r="I514" t="s">
        <v>108</v>
      </c>
      <c r="J514" t="str">
        <f>PROPER(TRIM(I514))</f>
        <v>Corporate</v>
      </c>
      <c r="K514" t="s">
        <v>62</v>
      </c>
      <c r="L514" t="s">
        <v>242</v>
      </c>
      <c r="M514" t="s">
        <v>243</v>
      </c>
      <c r="N514" t="s">
        <v>30</v>
      </c>
      <c r="O514" t="str">
        <f>TRIM(N514)</f>
        <v>Office Supplies</v>
      </c>
      <c r="P514" t="s">
        <v>109</v>
      </c>
      <c r="Q514" t="s">
        <v>2489</v>
      </c>
      <c r="R514" t="s">
        <v>33</v>
      </c>
      <c r="S514" t="s">
        <v>33</v>
      </c>
      <c r="T514">
        <v>2</v>
      </c>
      <c r="U514">
        <v>4031.45</v>
      </c>
      <c r="V514">
        <v>0.25</v>
      </c>
      <c r="W514">
        <v>6047.17</v>
      </c>
      <c r="X514">
        <v>3368.79</v>
      </c>
      <c r="Y514">
        <v>2678.38</v>
      </c>
      <c r="Z514" t="s">
        <v>34</v>
      </c>
      <c r="AA514" t="s">
        <v>35</v>
      </c>
    </row>
    <row r="515" spans="1:27">
      <c r="A515" t="s">
        <v>2490</v>
      </c>
      <c r="B515" t="s">
        <v>997</v>
      </c>
      <c r="C515" t="s">
        <v>2397</v>
      </c>
      <c r="D515"/>
      <c r="E515" s="7">
        <f>IF(OR(D515="Invalid",D515&lt;0),"",D515)</f>
        <v>0</v>
      </c>
      <c r="F515" t="s">
        <v>2491</v>
      </c>
      <c r="G515" t="s">
        <v>162</v>
      </c>
      <c r="H515" t="str">
        <f>PROPER(TRIM(G515))</f>
        <v>Aarav Sharma</v>
      </c>
      <c r="I515" t="s">
        <v>108</v>
      </c>
      <c r="J515" t="str">
        <f>PROPER(TRIM(I515))</f>
        <v>Corporate</v>
      </c>
      <c r="K515" t="s">
        <v>62</v>
      </c>
      <c r="L515" t="s">
        <v>242</v>
      </c>
      <c r="M515" t="s">
        <v>243</v>
      </c>
      <c r="N515" t="s">
        <v>86</v>
      </c>
      <c r="O515" t="str">
        <f>TRIM(N515)</f>
        <v>Technology</v>
      </c>
      <c r="P515" t="s">
        <v>87</v>
      </c>
      <c r="Q515" t="s">
        <v>2492</v>
      </c>
      <c r="R515" t="s">
        <v>56</v>
      </c>
      <c r="S515" t="s">
        <v>56</v>
      </c>
      <c r="T515">
        <v>6</v>
      </c>
      <c r="U515">
        <v>1099.49</v>
      </c>
      <c r="V515">
        <v>0.1</v>
      </c>
      <c r="W515">
        <v>6212.38</v>
      </c>
      <c r="X515">
        <v>4088.46</v>
      </c>
      <c r="Y515">
        <v>1848.79</v>
      </c>
      <c r="Z515" t="s">
        <v>34</v>
      </c>
      <c r="AA515" t="s">
        <v>35</v>
      </c>
    </row>
    <row r="516" spans="1:27">
      <c r="A516" t="s">
        <v>2493</v>
      </c>
      <c r="B516" t="s">
        <v>2494</v>
      </c>
      <c r="C516" t="s">
        <v>2407</v>
      </c>
      <c r="D516"/>
      <c r="E516" s="7">
        <f>IF(OR(D516="Invalid",D516&lt;0),"",D516)</f>
        <v>0</v>
      </c>
      <c r="F516" t="s">
        <v>2495</v>
      </c>
      <c r="G516" t="s">
        <v>25</v>
      </c>
      <c r="H516" t="str">
        <f>PROPER(TRIM(G516))</f>
        <v>Karan Malhotra</v>
      </c>
      <c r="I516" t="s">
        <v>115</v>
      </c>
      <c r="J516" t="str">
        <f>PROPER(TRIM(I516))</f>
        <v>Home Office</v>
      </c>
      <c r="K516" t="s">
        <v>62</v>
      </c>
      <c r="L516" t="s">
        <v>242</v>
      </c>
      <c r="M516" t="s">
        <v>243</v>
      </c>
      <c r="N516" t="s">
        <v>86</v>
      </c>
      <c r="O516" t="str">
        <f>TRIM(N516)</f>
        <v>Technology</v>
      </c>
      <c r="P516" t="s">
        <v>87</v>
      </c>
      <c r="Q516" t="s">
        <v>2496</v>
      </c>
      <c r="R516" t="s">
        <v>67</v>
      </c>
      <c r="S516" t="s">
        <v>67</v>
      </c>
      <c r="T516">
        <v>6</v>
      </c>
      <c r="U516">
        <v>3872.94</v>
      </c>
      <c r="V516">
        <v>0.1</v>
      </c>
      <c r="W516">
        <v>20913.88</v>
      </c>
      <c r="X516">
        <v>11684.68</v>
      </c>
      <c r="Y516">
        <v>9229.2000000000007</v>
      </c>
      <c r="Z516" t="s">
        <v>34</v>
      </c>
      <c r="AA516" t="s">
        <v>35</v>
      </c>
    </row>
    <row r="517" spans="1:27">
      <c r="A517" t="s">
        <v>2497</v>
      </c>
      <c r="B517" t="s">
        <v>2142</v>
      </c>
      <c r="C517" t="s">
        <v>2498</v>
      </c>
      <c r="D517"/>
      <c r="E517" s="7">
        <f>IF(OR(D517="Invalid",D517&lt;0),"",D517)</f>
        <v>0</v>
      </c>
      <c r="F517" t="s">
        <v>2499</v>
      </c>
      <c r="G517" t="s">
        <v>148</v>
      </c>
      <c r="H517" t="str">
        <f>PROPER(TRIM(G517))</f>
        <v>Rahul Verma</v>
      </c>
      <c r="I517" t="s">
        <v>108</v>
      </c>
      <c r="J517" t="str">
        <f>PROPER(TRIM(I517))</f>
        <v>Corporate</v>
      </c>
      <c r="K517" t="s">
        <v>27</v>
      </c>
      <c r="L517" t="s">
        <v>506</v>
      </c>
      <c r="M517" t="s">
        <v>507</v>
      </c>
      <c r="N517" t="s">
        <v>30</v>
      </c>
      <c r="O517" t="str">
        <f>TRIM(N517)</f>
        <v>Office Supplies</v>
      </c>
      <c r="P517" t="s">
        <v>31</v>
      </c>
      <c r="Q517" t="s">
        <v>2500</v>
      </c>
      <c r="R517" t="s">
        <v>67</v>
      </c>
      <c r="S517" t="s">
        <v>67</v>
      </c>
      <c r="T517">
        <v>1</v>
      </c>
      <c r="U517">
        <v>4458.49</v>
      </c>
      <c r="V517">
        <v>-7.0000000000000007E-2</v>
      </c>
      <c r="W517">
        <v>3566.79</v>
      </c>
      <c r="X517">
        <v>2083.41</v>
      </c>
      <c r="Y517">
        <v>1483.38</v>
      </c>
      <c r="Z517" t="s">
        <v>34</v>
      </c>
      <c r="AA517" t="s">
        <v>35</v>
      </c>
    </row>
    <row r="518" spans="1:27">
      <c r="A518" t="s">
        <v>2501</v>
      </c>
      <c r="B518" t="s">
        <v>2502</v>
      </c>
      <c r="C518" t="s">
        <v>2503</v>
      </c>
      <c r="D518"/>
      <c r="E518" s="7">
        <f>IF(OR(D518="Invalid",D518&lt;0),"",D518)</f>
        <v>0</v>
      </c>
      <c r="F518" t="s">
        <v>2504</v>
      </c>
      <c r="G518" t="s">
        <v>366</v>
      </c>
      <c r="H518" t="str">
        <f>PROPER(TRIM(G518))</f>
        <v>Kabir Singh</v>
      </c>
      <c r="I518" t="s">
        <v>115</v>
      </c>
      <c r="J518" t="str">
        <f>PROPER(TRIM(I518))</f>
        <v>Home Office</v>
      </c>
      <c r="K518" t="s">
        <v>27</v>
      </c>
      <c r="L518" t="s">
        <v>506</v>
      </c>
      <c r="M518" t="s">
        <v>507</v>
      </c>
      <c r="N518" t="s">
        <v>86</v>
      </c>
      <c r="O518" t="str">
        <f>TRIM(N518)</f>
        <v>Technology</v>
      </c>
      <c r="P518" t="s">
        <v>94</v>
      </c>
      <c r="Q518" t="s">
        <v>2505</v>
      </c>
      <c r="R518" t="s">
        <v>67</v>
      </c>
      <c r="S518" t="s">
        <v>67</v>
      </c>
      <c r="T518">
        <v>1</v>
      </c>
      <c r="U518">
        <v>2233.1799999999998</v>
      </c>
      <c r="V518">
        <v>0</v>
      </c>
      <c r="W518">
        <v>2233.1799999999998</v>
      </c>
      <c r="X518">
        <v>1585.82</v>
      </c>
      <c r="Y518">
        <v>647.36</v>
      </c>
      <c r="Z518" t="s">
        <v>200</v>
      </c>
      <c r="AA518" t="s">
        <v>125</v>
      </c>
    </row>
    <row r="519" spans="1:27">
      <c r="A519" t="s">
        <v>2506</v>
      </c>
      <c r="B519" t="s">
        <v>2507</v>
      </c>
      <c r="C519" t="s">
        <v>1682</v>
      </c>
      <c r="D519"/>
      <c r="E519" s="7">
        <f>IF(OR(D519="Invalid",D519&lt;0),"",D519)</f>
        <v>0</v>
      </c>
      <c r="F519" t="s">
        <v>2508</v>
      </c>
      <c r="G519" t="s">
        <v>148</v>
      </c>
      <c r="H519" t="str">
        <f>PROPER(TRIM(G519))</f>
        <v>Rahul Verma</v>
      </c>
      <c r="I519" t="s">
        <v>26</v>
      </c>
      <c r="J519" t="str">
        <f>PROPER(TRIM(I519))</f>
        <v>Consumer</v>
      </c>
      <c r="K519" t="s">
        <v>42</v>
      </c>
      <c r="L519" t="s">
        <v>43</v>
      </c>
      <c r="M519" t="s">
        <v>44</v>
      </c>
      <c r="N519" t="s">
        <v>45</v>
      </c>
      <c r="O519" t="str">
        <f>TRIM(N519)</f>
        <v>Furniture</v>
      </c>
      <c r="P519" t="s">
        <v>65</v>
      </c>
      <c r="Q519" t="s">
        <v>2509</v>
      </c>
      <c r="R519" t="s">
        <v>33</v>
      </c>
      <c r="S519" t="s">
        <v>33</v>
      </c>
      <c r="T519">
        <v>7</v>
      </c>
      <c r="U519">
        <v>2123.2800000000002</v>
      </c>
      <c r="V519">
        <v>0.2</v>
      </c>
      <c r="W519">
        <v>11890.37</v>
      </c>
      <c r="X519">
        <v>9234.5300000000007</v>
      </c>
      <c r="Y519">
        <v>2655.84</v>
      </c>
      <c r="Z519" t="s">
        <v>124</v>
      </c>
      <c r="AA519" t="s">
        <v>125</v>
      </c>
    </row>
    <row r="520" spans="1:27">
      <c r="A520" t="s">
        <v>2510</v>
      </c>
      <c r="B520" t="s">
        <v>2392</v>
      </c>
      <c r="C520" t="s">
        <v>2511</v>
      </c>
      <c r="D520"/>
      <c r="E520" s="7">
        <f>IF(OR(D520="Invalid",D520&lt;0),"",D520)</f>
        <v>0</v>
      </c>
      <c r="F520" t="s">
        <v>2512</v>
      </c>
      <c r="G520" t="s">
        <v>210</v>
      </c>
      <c r="H520" t="str">
        <f>PROPER(TRIM(G520))</f>
        <v>Diya Patel</v>
      </c>
      <c r="I520" t="s">
        <v>108</v>
      </c>
      <c r="J520" t="str">
        <f>PROPER(TRIM(I520))</f>
        <v>Corporate</v>
      </c>
      <c r="K520" t="s">
        <v>42</v>
      </c>
      <c r="L520" t="s">
        <v>43</v>
      </c>
      <c r="M520" t="s">
        <v>44</v>
      </c>
      <c r="N520" t="s">
        <v>45</v>
      </c>
      <c r="O520" t="str">
        <f>TRIM(N520)</f>
        <v>Furniture</v>
      </c>
      <c r="P520" t="s">
        <v>46</v>
      </c>
      <c r="Q520" t="s">
        <v>2513</v>
      </c>
      <c r="R520" t="s">
        <v>56</v>
      </c>
      <c r="S520" t="s">
        <v>56</v>
      </c>
      <c r="T520">
        <v>7</v>
      </c>
      <c r="U520">
        <v>1604.13</v>
      </c>
      <c r="V520">
        <v>0.25</v>
      </c>
      <c r="W520">
        <v>8421.68</v>
      </c>
      <c r="X520">
        <v>6534.47</v>
      </c>
      <c r="Y520">
        <v>1887.21</v>
      </c>
      <c r="Z520" t="s">
        <v>34</v>
      </c>
      <c r="AA520" t="s">
        <v>78</v>
      </c>
    </row>
    <row r="521" spans="1:27">
      <c r="A521" t="s">
        <v>2514</v>
      </c>
      <c r="B521" t="s">
        <v>380</v>
      </c>
      <c r="C521" t="s">
        <v>2515</v>
      </c>
      <c r="D521"/>
      <c r="E521" s="7">
        <f>IF(OR(D521="Invalid",D521&lt;0),"",D521)</f>
        <v>0</v>
      </c>
      <c r="F521" t="s">
        <v>2516</v>
      </c>
      <c r="G521" t="s">
        <v>142</v>
      </c>
      <c r="H521" t="str">
        <f>PROPER(TRIM(G521))</f>
        <v>Priya Menon</v>
      </c>
      <c r="I521" t="s">
        <v>26</v>
      </c>
      <c r="J521" t="str">
        <f>PROPER(TRIM(I521))</f>
        <v>Consumer</v>
      </c>
      <c r="K521" t="s">
        <v>27</v>
      </c>
      <c r="L521" t="s">
        <v>174</v>
      </c>
      <c r="M521" t="s">
        <v>175</v>
      </c>
      <c r="N521" t="s">
        <v>45</v>
      </c>
      <c r="O521" t="str">
        <f>TRIM(N521)</f>
        <v>Furniture</v>
      </c>
      <c r="P521" t="s">
        <v>46</v>
      </c>
      <c r="Q521" t="s">
        <v>2517</v>
      </c>
      <c r="R521" t="s">
        <v>67</v>
      </c>
      <c r="S521" t="s">
        <v>67</v>
      </c>
      <c r="T521">
        <v>4</v>
      </c>
      <c r="U521">
        <v>4365.21</v>
      </c>
      <c r="V521">
        <v>0.2</v>
      </c>
      <c r="W521">
        <v>13968.67</v>
      </c>
      <c r="X521">
        <v>8857.58</v>
      </c>
      <c r="Y521">
        <v>5111.09</v>
      </c>
      <c r="Z521" t="s">
        <v>137</v>
      </c>
      <c r="AA521" t="s">
        <v>78</v>
      </c>
    </row>
    <row r="522" spans="1:27">
      <c r="A522" t="s">
        <v>2518</v>
      </c>
      <c r="B522" t="s">
        <v>1109</v>
      </c>
      <c r="C522" t="s">
        <v>2519</v>
      </c>
      <c r="D522"/>
      <c r="E522" s="7">
        <f>IF(OR(D522="Invalid",D522&lt;0),"",D522)</f>
        <v>0</v>
      </c>
      <c r="F522" t="s">
        <v>2520</v>
      </c>
      <c r="G522" t="s">
        <v>162</v>
      </c>
      <c r="H522" t="str">
        <f>PROPER(TRIM(G522))</f>
        <v>Aarav Sharma</v>
      </c>
      <c r="I522" t="s">
        <v>115</v>
      </c>
      <c r="J522" t="str">
        <f>PROPER(TRIM(I522))</f>
        <v>Home Office</v>
      </c>
      <c r="K522" t="s">
        <v>62</v>
      </c>
      <c r="L522" t="s">
        <v>229</v>
      </c>
      <c r="M522" t="s">
        <v>230</v>
      </c>
      <c r="N522" t="s">
        <v>86</v>
      </c>
      <c r="O522" t="str">
        <f>TRIM(N522)</f>
        <v>Technology</v>
      </c>
      <c r="P522" t="s">
        <v>382</v>
      </c>
      <c r="Q522" t="s">
        <v>2521</v>
      </c>
      <c r="R522" t="s">
        <v>48</v>
      </c>
      <c r="S522" t="s">
        <v>48</v>
      </c>
      <c r="T522">
        <v>1</v>
      </c>
      <c r="U522">
        <v>1695.91</v>
      </c>
      <c r="V522">
        <v>0.05</v>
      </c>
      <c r="W522">
        <v>1611.11</v>
      </c>
      <c r="X522">
        <v>895.15</v>
      </c>
      <c r="Y522">
        <v>715.96</v>
      </c>
      <c r="Z522" t="s">
        <v>34</v>
      </c>
      <c r="AA522" t="s">
        <v>35</v>
      </c>
    </row>
    <row r="523" spans="1:27">
      <c r="A523" t="s">
        <v>2522</v>
      </c>
      <c r="B523" t="s">
        <v>2523</v>
      </c>
      <c r="C523" t="s">
        <v>2524</v>
      </c>
      <c r="D523"/>
      <c r="E523" s="7">
        <f>IF(OR(D523="Invalid",D523&lt;0),"",D523)</f>
        <v>0</v>
      </c>
      <c r="F523" t="s">
        <v>2525</v>
      </c>
      <c r="G523" t="s">
        <v>210</v>
      </c>
      <c r="H523" t="str">
        <f>PROPER(TRIM(G523))</f>
        <v>Diya Patel</v>
      </c>
      <c r="I523" t="s">
        <v>26</v>
      </c>
      <c r="J523" t="str">
        <f>PROPER(TRIM(I523))</f>
        <v>Consumer</v>
      </c>
      <c r="K523" t="s">
        <v>27</v>
      </c>
      <c r="L523" t="s">
        <v>154</v>
      </c>
      <c r="M523" t="s">
        <v>155</v>
      </c>
      <c r="N523" t="s">
        <v>30</v>
      </c>
      <c r="O523" t="str">
        <f>TRIM(N523)</f>
        <v>Office Supplies</v>
      </c>
      <c r="P523" t="s">
        <v>109</v>
      </c>
      <c r="Q523" t="s">
        <v>2526</v>
      </c>
      <c r="R523" t="s">
        <v>33</v>
      </c>
      <c r="S523" t="s">
        <v>33</v>
      </c>
      <c r="T523">
        <v>6</v>
      </c>
      <c r="U523">
        <v>2192.11</v>
      </c>
      <c r="V523">
        <v>0.05</v>
      </c>
      <c r="W523">
        <v>12495.03</v>
      </c>
      <c r="X523">
        <v>9184.52</v>
      </c>
      <c r="Y523">
        <v>3310.51</v>
      </c>
      <c r="Z523" t="s">
        <v>34</v>
      </c>
      <c r="AA523" t="s">
        <v>35</v>
      </c>
    </row>
    <row r="524" spans="1:27">
      <c r="A524" t="s">
        <v>2527</v>
      </c>
      <c r="B524" t="s">
        <v>2528</v>
      </c>
      <c r="C524" t="s">
        <v>2324</v>
      </c>
      <c r="D524"/>
      <c r="E524" s="7">
        <f>IF(OR(D524="Invalid",D524&lt;0),"",D524)</f>
        <v>0</v>
      </c>
      <c r="F524" t="s">
        <v>2529</v>
      </c>
      <c r="G524" t="s">
        <v>93</v>
      </c>
      <c r="H524" t="str">
        <f>PROPER(TRIM(G524))</f>
        <v>Neha Gupta</v>
      </c>
      <c r="I524" t="s">
        <v>41</v>
      </c>
      <c r="J524" t="str">
        <f>PROPER(TRIM(I524))</f>
        <v>Small Business</v>
      </c>
      <c r="K524" t="s">
        <v>42</v>
      </c>
      <c r="L524" t="s">
        <v>311</v>
      </c>
      <c r="M524" t="s">
        <v>312</v>
      </c>
      <c r="N524" t="s">
        <v>86</v>
      </c>
      <c r="O524" t="str">
        <f>TRIM(N524)</f>
        <v>Technology</v>
      </c>
      <c r="P524" t="s">
        <v>223</v>
      </c>
      <c r="Q524" t="s">
        <v>2530</v>
      </c>
      <c r="R524" t="s">
        <v>56</v>
      </c>
      <c r="S524" t="s">
        <v>56</v>
      </c>
      <c r="T524">
        <v>9</v>
      </c>
      <c r="U524">
        <v>3670.54</v>
      </c>
      <c r="V524">
        <v>0</v>
      </c>
      <c r="W524">
        <v>33034.86</v>
      </c>
      <c r="X524">
        <v>24539.83</v>
      </c>
      <c r="Y524">
        <v>8495.0300000000007</v>
      </c>
      <c r="Z524" t="s">
        <v>34</v>
      </c>
      <c r="AA524" t="s">
        <v>35</v>
      </c>
    </row>
    <row r="525" spans="1:27">
      <c r="A525" t="s">
        <v>2531</v>
      </c>
      <c r="B525" t="s">
        <v>2532</v>
      </c>
      <c r="C525" t="s">
        <v>2533</v>
      </c>
      <c r="D525"/>
      <c r="E525" s="7">
        <f>IF(OR(D525="Invalid",D525&lt;0),"",D525)</f>
        <v>0</v>
      </c>
      <c r="F525" t="s">
        <v>2534</v>
      </c>
      <c r="G525" t="s">
        <v>366</v>
      </c>
      <c r="H525" t="str">
        <f>PROPER(TRIM(G525))</f>
        <v>Kabir Singh</v>
      </c>
      <c r="I525" t="s">
        <v>115</v>
      </c>
      <c r="J525" t="str">
        <f>PROPER(TRIM(I525))</f>
        <v>Home Office</v>
      </c>
      <c r="K525" t="s">
        <v>73</v>
      </c>
      <c r="L525" t="s">
        <v>249</v>
      </c>
      <c r="M525" t="s">
        <v>250</v>
      </c>
      <c r="N525" t="s">
        <v>30</v>
      </c>
      <c r="O525" t="str">
        <f>TRIM(N525)</f>
        <v>Office Supplies</v>
      </c>
      <c r="P525" t="s">
        <v>31</v>
      </c>
      <c r="Q525" t="s">
        <v>2535</v>
      </c>
      <c r="R525" t="s">
        <v>33</v>
      </c>
      <c r="S525" t="s">
        <v>33</v>
      </c>
      <c r="T525">
        <v>2</v>
      </c>
      <c r="U525">
        <v>2902.63</v>
      </c>
      <c r="V525">
        <v>0</v>
      </c>
      <c r="W525">
        <v>5805.26</v>
      </c>
      <c r="X525">
        <v>4654.3599999999997</v>
      </c>
      <c r="Y525">
        <v>1150.9000000000001</v>
      </c>
      <c r="Z525" t="s">
        <v>34</v>
      </c>
      <c r="AA525" t="s">
        <v>125</v>
      </c>
    </row>
    <row r="526" spans="1:27">
      <c r="A526" t="s">
        <v>2536</v>
      </c>
      <c r="B526" t="s">
        <v>2537</v>
      </c>
      <c r="C526" t="s">
        <v>2538</v>
      </c>
      <c r="D526"/>
      <c r="E526" s="7">
        <f>IF(OR(D526="Invalid",D526&lt;0),"",D526)</f>
        <v>0</v>
      </c>
      <c r="F526" t="s">
        <v>2539</v>
      </c>
      <c r="G526" t="s">
        <v>72</v>
      </c>
      <c r="H526" t="str">
        <f>PROPER(TRIM(G526))</f>
        <v>Ananya Rao</v>
      </c>
      <c r="I526" t="s">
        <v>108</v>
      </c>
      <c r="J526" t="str">
        <f>PROPER(TRIM(I526))</f>
        <v>Corporate</v>
      </c>
      <c r="K526" t="s">
        <v>73</v>
      </c>
      <c r="L526" t="s">
        <v>235</v>
      </c>
      <c r="M526" t="s">
        <v>236</v>
      </c>
      <c r="N526" t="s">
        <v>45</v>
      </c>
      <c r="O526" t="str">
        <f>TRIM(N526)</f>
        <v>Furniture</v>
      </c>
      <c r="P526" t="s">
        <v>76</v>
      </c>
      <c r="Q526" t="s">
        <v>2540</v>
      </c>
      <c r="R526" t="s">
        <v>56</v>
      </c>
      <c r="S526" t="s">
        <v>56</v>
      </c>
      <c r="T526">
        <v>9</v>
      </c>
      <c r="U526">
        <v>4207.3599999999997</v>
      </c>
      <c r="V526">
        <v>0.1</v>
      </c>
      <c r="W526">
        <v>34079.620000000003</v>
      </c>
      <c r="X526">
        <v>21871.39</v>
      </c>
      <c r="Y526">
        <v>12208.23</v>
      </c>
      <c r="Z526" t="s">
        <v>34</v>
      </c>
      <c r="AA526" t="s">
        <v>35</v>
      </c>
    </row>
    <row r="527" spans="1:27">
      <c r="A527" t="s">
        <v>2541</v>
      </c>
      <c r="B527" t="s">
        <v>2542</v>
      </c>
      <c r="C527" t="s">
        <v>2543</v>
      </c>
      <c r="D527"/>
      <c r="E527" s="7">
        <f>IF(OR(D527="Invalid",D527&lt;0),"",D527)</f>
        <v>0</v>
      </c>
      <c r="F527" t="s">
        <v>2544</v>
      </c>
      <c r="G527" t="s">
        <v>142</v>
      </c>
      <c r="H527" t="str">
        <f>PROPER(TRIM(G527))</f>
        <v>Priya Menon</v>
      </c>
      <c r="I527" t="s">
        <v>115</v>
      </c>
      <c r="J527" t="str">
        <f>PROPER(TRIM(I527))</f>
        <v>Home Office</v>
      </c>
      <c r="K527" t="s">
        <v>42</v>
      </c>
      <c r="L527" t="s">
        <v>121</v>
      </c>
      <c r="M527" t="s">
        <v>122</v>
      </c>
      <c r="N527" t="s">
        <v>45</v>
      </c>
      <c r="O527" t="str">
        <f>TRIM(N527)</f>
        <v>Furniture</v>
      </c>
      <c r="P527" t="s">
        <v>76</v>
      </c>
      <c r="Q527" t="s">
        <v>2545</v>
      </c>
      <c r="R527" t="s">
        <v>67</v>
      </c>
      <c r="S527" t="s">
        <v>67</v>
      </c>
      <c r="T527">
        <v>5</v>
      </c>
      <c r="U527">
        <v>2524.4</v>
      </c>
      <c r="V527">
        <v>0.1</v>
      </c>
      <c r="W527">
        <v>11359.8</v>
      </c>
      <c r="X527">
        <v>7062.44</v>
      </c>
      <c r="Y527">
        <v>4297.3599999999997</v>
      </c>
      <c r="Z527" t="s">
        <v>34</v>
      </c>
      <c r="AA527" t="s">
        <v>35</v>
      </c>
    </row>
    <row r="528" spans="1:27">
      <c r="A528" t="s">
        <v>2546</v>
      </c>
      <c r="B528" t="s">
        <v>2547</v>
      </c>
      <c r="C528" t="s">
        <v>2548</v>
      </c>
      <c r="D528"/>
      <c r="E528" s="7">
        <f>IF(OR(D528="Invalid",D528&lt;0),"",D528)</f>
        <v>0</v>
      </c>
      <c r="F528" t="s">
        <v>2549</v>
      </c>
      <c r="G528" t="s">
        <v>142</v>
      </c>
      <c r="H528" t="str">
        <f>PROPER(TRIM(G528))</f>
        <v>Priya Menon</v>
      </c>
      <c r="I528" t="s">
        <v>26</v>
      </c>
      <c r="J528" t="str">
        <f>PROPER(TRIM(I528))</f>
        <v>Consumer</v>
      </c>
      <c r="K528" t="s">
        <v>42</v>
      </c>
      <c r="L528" t="s">
        <v>43</v>
      </c>
      <c r="M528" t="s">
        <v>44</v>
      </c>
      <c r="N528" t="s">
        <v>45</v>
      </c>
      <c r="O528" t="str">
        <f>TRIM(N528)</f>
        <v>Furniture</v>
      </c>
      <c r="P528" t="s">
        <v>46</v>
      </c>
      <c r="Q528" t="s">
        <v>2550</v>
      </c>
      <c r="R528" t="s">
        <v>33</v>
      </c>
      <c r="S528" t="s">
        <v>33</v>
      </c>
      <c r="T528">
        <v>4</v>
      </c>
      <c r="U528">
        <v>284.04000000000002</v>
      </c>
      <c r="W528">
        <v>908.93</v>
      </c>
      <c r="X528">
        <v>572.08000000000004</v>
      </c>
      <c r="Y528">
        <v>336.85</v>
      </c>
      <c r="Z528" t="s">
        <v>34</v>
      </c>
      <c r="AA528" t="s">
        <v>35</v>
      </c>
    </row>
    <row r="529" spans="1:27">
      <c r="A529" t="s">
        <v>2551</v>
      </c>
      <c r="B529" t="s">
        <v>2552</v>
      </c>
      <c r="C529" t="s">
        <v>2553</v>
      </c>
      <c r="D529"/>
      <c r="E529" s="7">
        <f>IF(OR(D529="Invalid",D529&lt;0),"",D529)</f>
        <v>0</v>
      </c>
      <c r="F529" t="s">
        <v>2554</v>
      </c>
      <c r="G529" t="s">
        <v>107</v>
      </c>
      <c r="H529" t="str">
        <f>PROPER(TRIM(G529))</f>
        <v>Aditi Sen</v>
      </c>
      <c r="I529" t="s">
        <v>115</v>
      </c>
      <c r="J529" t="str">
        <f>PROPER(TRIM(I529))</f>
        <v>Home Office</v>
      </c>
      <c r="K529" t="s">
        <v>27</v>
      </c>
      <c r="L529" t="s">
        <v>323</v>
      </c>
      <c r="M529" t="s">
        <v>324</v>
      </c>
      <c r="N529" t="s">
        <v>30</v>
      </c>
      <c r="O529" t="str">
        <f>TRIM(N529)</f>
        <v>Office Supplies</v>
      </c>
      <c r="P529" t="s">
        <v>31</v>
      </c>
      <c r="Q529" t="s">
        <v>2555</v>
      </c>
      <c r="R529" t="s">
        <v>56</v>
      </c>
      <c r="S529" t="s">
        <v>56</v>
      </c>
      <c r="T529">
        <v>5</v>
      </c>
      <c r="U529">
        <v>3247.56</v>
      </c>
      <c r="V529">
        <v>0.15</v>
      </c>
      <c r="W529">
        <v>13802.13</v>
      </c>
      <c r="X529">
        <v>10075.93</v>
      </c>
      <c r="Y529">
        <v>3726.2</v>
      </c>
      <c r="Z529" t="s">
        <v>34</v>
      </c>
      <c r="AA529" t="s">
        <v>35</v>
      </c>
    </row>
    <row r="530" spans="1:27">
      <c r="A530" t="s">
        <v>2556</v>
      </c>
      <c r="B530" t="s">
        <v>2557</v>
      </c>
      <c r="C530" t="s">
        <v>2558</v>
      </c>
      <c r="D530"/>
      <c r="E530" s="7">
        <f>IF(OR(D530="Invalid",D530&lt;0),"",D530)</f>
        <v>0</v>
      </c>
      <c r="F530" t="s">
        <v>2559</v>
      </c>
      <c r="G530" t="s">
        <v>210</v>
      </c>
      <c r="H530" t="str">
        <f>PROPER(TRIM(G530))</f>
        <v>Diya Patel</v>
      </c>
      <c r="I530" t="s">
        <v>26</v>
      </c>
      <c r="J530" t="str">
        <f>PROPER(TRIM(I530))</f>
        <v>Consumer</v>
      </c>
      <c r="K530" t="s">
        <v>62</v>
      </c>
      <c r="L530" t="s">
        <v>339</v>
      </c>
      <c r="M530" t="s">
        <v>340</v>
      </c>
      <c r="N530" t="s">
        <v>30</v>
      </c>
      <c r="O530" t="str">
        <f>TRIM(N530)</f>
        <v>Office Supplies</v>
      </c>
      <c r="P530" t="s">
        <v>198</v>
      </c>
      <c r="Q530" t="s">
        <v>2560</v>
      </c>
      <c r="R530" t="s">
        <v>67</v>
      </c>
      <c r="S530" t="s">
        <v>67</v>
      </c>
      <c r="T530">
        <v>9</v>
      </c>
      <c r="U530">
        <v>3457.09</v>
      </c>
      <c r="V530">
        <v>0.05</v>
      </c>
      <c r="W530">
        <v>29558.12</v>
      </c>
      <c r="X530">
        <v>21302.13</v>
      </c>
      <c r="Y530">
        <v>8255.99</v>
      </c>
      <c r="Z530" t="s">
        <v>137</v>
      </c>
      <c r="AA530" t="s">
        <v>125</v>
      </c>
    </row>
    <row r="531" spans="1:27">
      <c r="A531" t="s">
        <v>2561</v>
      </c>
      <c r="B531" t="s">
        <v>2280</v>
      </c>
      <c r="C531" t="s">
        <v>2562</v>
      </c>
      <c r="D531"/>
      <c r="E531" s="7">
        <f>IF(OR(D531="Invalid",D531&lt;0),"",D531)</f>
        <v>0</v>
      </c>
      <c r="F531" t="s">
        <v>1110</v>
      </c>
      <c r="G531" t="s">
        <v>25</v>
      </c>
      <c r="H531" t="str">
        <f>PROPER(TRIM(G531))</f>
        <v>Karan Malhotra</v>
      </c>
      <c r="I531" t="s">
        <v>26</v>
      </c>
      <c r="J531" t="str">
        <f>PROPER(TRIM(I531))</f>
        <v>Consumer</v>
      </c>
      <c r="K531" t="s">
        <v>42</v>
      </c>
      <c r="L531" t="s">
        <v>311</v>
      </c>
      <c r="M531" t="s">
        <v>312</v>
      </c>
      <c r="N531" t="s">
        <v>45</v>
      </c>
      <c r="O531" t="str">
        <f>TRIM(N531)</f>
        <v>Furniture</v>
      </c>
      <c r="P531" t="s">
        <v>204</v>
      </c>
      <c r="Q531" t="s">
        <v>2563</v>
      </c>
      <c r="R531" t="s">
        <v>33</v>
      </c>
      <c r="S531" t="s">
        <v>33</v>
      </c>
      <c r="T531">
        <v>9</v>
      </c>
      <c r="U531">
        <v>1822.25</v>
      </c>
      <c r="V531">
        <v>0</v>
      </c>
      <c r="W531">
        <v>16400.25</v>
      </c>
      <c r="X531">
        <v>12146.96</v>
      </c>
      <c r="Y531">
        <v>4253.29</v>
      </c>
      <c r="Z531" t="s">
        <v>34</v>
      </c>
      <c r="AA531" t="s">
        <v>35</v>
      </c>
    </row>
    <row r="532" spans="1:27">
      <c r="A532" t="s">
        <v>2564</v>
      </c>
      <c r="B532" t="s">
        <v>2565</v>
      </c>
      <c r="C532" t="s">
        <v>2566</v>
      </c>
      <c r="D532"/>
      <c r="E532" s="7">
        <f>IF(OR(D532="Invalid",D532&lt;0),"",D532)</f>
        <v>0</v>
      </c>
      <c r="F532" t="s">
        <v>2567</v>
      </c>
      <c r="G532" t="s">
        <v>148</v>
      </c>
      <c r="H532" t="str">
        <f>PROPER(TRIM(G532))</f>
        <v>Rahul Verma</v>
      </c>
      <c r="I532" t="s">
        <v>115</v>
      </c>
      <c r="J532" t="str">
        <f>PROPER(TRIM(I532))</f>
        <v>Home Office</v>
      </c>
      <c r="K532" t="s">
        <v>62</v>
      </c>
      <c r="L532" t="s">
        <v>339</v>
      </c>
      <c r="M532" t="s">
        <v>340</v>
      </c>
      <c r="N532" t="s">
        <v>30</v>
      </c>
      <c r="O532" t="str">
        <f>TRIM(N532)</f>
        <v>Office Supplies</v>
      </c>
      <c r="P532" t="s">
        <v>198</v>
      </c>
      <c r="Q532" t="s">
        <v>2568</v>
      </c>
      <c r="R532" t="s">
        <v>67</v>
      </c>
      <c r="S532" t="s">
        <v>67</v>
      </c>
      <c r="T532">
        <v>9</v>
      </c>
      <c r="U532">
        <v>1994.51</v>
      </c>
      <c r="V532">
        <v>0.05</v>
      </c>
      <c r="W532">
        <v>17053.060000000001</v>
      </c>
      <c r="X532">
        <v>10742.38</v>
      </c>
      <c r="Y532">
        <v>6310.68</v>
      </c>
      <c r="Z532" t="s">
        <v>34</v>
      </c>
      <c r="AA532" t="s">
        <v>35</v>
      </c>
    </row>
    <row r="533" spans="1:27">
      <c r="A533" t="s">
        <v>2569</v>
      </c>
      <c r="B533" t="s">
        <v>1299</v>
      </c>
      <c r="C533" t="s">
        <v>2570</v>
      </c>
      <c r="D533"/>
      <c r="E533" s="7">
        <f>IF(OR(D533="Invalid",D533&lt;0),"",D533)</f>
        <v>0</v>
      </c>
      <c r="F533" t="s">
        <v>2571</v>
      </c>
      <c r="G533" t="s">
        <v>210</v>
      </c>
      <c r="H533" t="str">
        <f>PROPER(TRIM(G533))</f>
        <v>Diya Patel</v>
      </c>
      <c r="I533" t="s">
        <v>41</v>
      </c>
      <c r="J533" t="str">
        <f>PROPER(TRIM(I533))</f>
        <v>Small Business</v>
      </c>
      <c r="K533" t="s">
        <v>73</v>
      </c>
      <c r="L533" t="s">
        <v>74</v>
      </c>
      <c r="M533" t="s">
        <v>75</v>
      </c>
      <c r="N533" t="s">
        <v>30</v>
      </c>
      <c r="O533" t="str">
        <f>TRIM(N533)</f>
        <v>Office Supplies</v>
      </c>
      <c r="P533" t="s">
        <v>156</v>
      </c>
      <c r="Q533" t="s">
        <v>2572</v>
      </c>
      <c r="R533" t="s">
        <v>4124</v>
      </c>
      <c r="S533" t="s">
        <v>4111</v>
      </c>
      <c r="T533">
        <v>1</v>
      </c>
      <c r="U533">
        <v>442.97</v>
      </c>
      <c r="V533">
        <v>0.1</v>
      </c>
      <c r="W533">
        <v>398.67</v>
      </c>
      <c r="X533">
        <v>311.66000000000003</v>
      </c>
      <c r="Y533">
        <v>87.01</v>
      </c>
      <c r="Z533" t="s">
        <v>34</v>
      </c>
      <c r="AA533" t="s">
        <v>35</v>
      </c>
    </row>
    <row r="534" spans="1:27">
      <c r="A534" t="s">
        <v>2573</v>
      </c>
      <c r="B534" t="s">
        <v>2553</v>
      </c>
      <c r="C534" t="s">
        <v>308</v>
      </c>
      <c r="D534"/>
      <c r="E534" s="7">
        <f>IF(OR(D534="Invalid",D534&lt;0),"",D534)</f>
        <v>0</v>
      </c>
      <c r="F534" t="s">
        <v>2574</v>
      </c>
      <c r="G534" t="s">
        <v>142</v>
      </c>
      <c r="H534" t="str">
        <f>PROPER(TRIM(G534))</f>
        <v>Priya Menon</v>
      </c>
      <c r="I534" t="s">
        <v>108</v>
      </c>
      <c r="J534" t="str">
        <f>PROPER(TRIM(I534))</f>
        <v>Corporate</v>
      </c>
      <c r="K534" t="s">
        <v>42</v>
      </c>
      <c r="L534" t="s">
        <v>216</v>
      </c>
      <c r="M534" t="s">
        <v>217</v>
      </c>
      <c r="N534" t="s">
        <v>45</v>
      </c>
      <c r="O534" t="str">
        <f>TRIM(N534)</f>
        <v>Furniture</v>
      </c>
      <c r="P534" t="s">
        <v>46</v>
      </c>
      <c r="Q534" t="s">
        <v>2575</v>
      </c>
      <c r="R534" t="s">
        <v>33</v>
      </c>
      <c r="S534" t="s">
        <v>33</v>
      </c>
      <c r="T534">
        <v>9</v>
      </c>
      <c r="U534">
        <v>2089.14</v>
      </c>
      <c r="V534">
        <v>0.05</v>
      </c>
      <c r="W534">
        <v>17862.150000000001</v>
      </c>
      <c r="X534">
        <v>9892.2099999999991</v>
      </c>
      <c r="Y534">
        <v>7969.94</v>
      </c>
      <c r="Z534" t="s">
        <v>200</v>
      </c>
      <c r="AA534" t="s">
        <v>78</v>
      </c>
    </row>
    <row r="535" spans="1:27">
      <c r="A535" t="s">
        <v>2576</v>
      </c>
      <c r="B535" t="s">
        <v>2577</v>
      </c>
      <c r="C535" t="s">
        <v>395</v>
      </c>
      <c r="D535"/>
      <c r="E535" s="7">
        <f>IF(OR(D535="Invalid",D535&lt;0),"",D535)</f>
        <v>0</v>
      </c>
      <c r="F535" t="s">
        <v>2578</v>
      </c>
      <c r="G535" t="s">
        <v>53</v>
      </c>
      <c r="H535" t="str">
        <f>PROPER(TRIM(G535))</f>
        <v>Isha Nair</v>
      </c>
      <c r="I535" t="s">
        <v>115</v>
      </c>
      <c r="J535" t="str">
        <f>PROPER(TRIM(I535))</f>
        <v>Home Office</v>
      </c>
      <c r="K535" t="s">
        <v>27</v>
      </c>
      <c r="L535" t="s">
        <v>28</v>
      </c>
      <c r="M535" t="s">
        <v>29</v>
      </c>
      <c r="N535" t="s">
        <v>45</v>
      </c>
      <c r="O535" t="str">
        <f>TRIM(N535)</f>
        <v>Furniture</v>
      </c>
      <c r="P535" t="s">
        <v>46</v>
      </c>
      <c r="Q535" t="s">
        <v>2579</v>
      </c>
      <c r="R535" t="s">
        <v>48</v>
      </c>
      <c r="S535" t="s">
        <v>48</v>
      </c>
      <c r="T535">
        <v>6</v>
      </c>
      <c r="U535">
        <v>481.3</v>
      </c>
      <c r="V535">
        <v>0.25</v>
      </c>
      <c r="W535">
        <v>2165.85</v>
      </c>
      <c r="X535">
        <v>2124.48</v>
      </c>
      <c r="Y535">
        <v>430.45</v>
      </c>
      <c r="Z535" t="s">
        <v>34</v>
      </c>
      <c r="AA535" t="s">
        <v>35</v>
      </c>
    </row>
    <row r="536" spans="1:27">
      <c r="A536" t="s">
        <v>2580</v>
      </c>
      <c r="B536" t="s">
        <v>2581</v>
      </c>
      <c r="C536" t="s">
        <v>2582</v>
      </c>
      <c r="D536"/>
      <c r="E536" s="7">
        <f>IF(OR(D536="Invalid",D536&lt;0),"",D536)</f>
        <v>0</v>
      </c>
      <c r="F536" t="s">
        <v>2583</v>
      </c>
      <c r="G536" t="s">
        <v>180</v>
      </c>
      <c r="H536" t="str">
        <f>PROPER(TRIM(G536))</f>
        <v>Rohan Mehta</v>
      </c>
      <c r="I536" t="s">
        <v>115</v>
      </c>
      <c r="J536" t="str">
        <f>PROPER(TRIM(I536))</f>
        <v>Home Office</v>
      </c>
      <c r="K536" t="s">
        <v>42</v>
      </c>
      <c r="L536" t="s">
        <v>186</v>
      </c>
      <c r="M536" t="s">
        <v>187</v>
      </c>
      <c r="N536" t="s">
        <v>86</v>
      </c>
      <c r="O536" t="str">
        <f>TRIM(N536)</f>
        <v>Technology</v>
      </c>
      <c r="P536" t="s">
        <v>87</v>
      </c>
      <c r="Q536" t="s">
        <v>2584</v>
      </c>
      <c r="R536" t="s">
        <v>33</v>
      </c>
      <c r="S536" t="s">
        <v>33</v>
      </c>
      <c r="T536">
        <v>4</v>
      </c>
      <c r="U536">
        <v>3963.39</v>
      </c>
      <c r="V536">
        <v>0.1</v>
      </c>
      <c r="W536">
        <v>14268.2</v>
      </c>
      <c r="X536">
        <v>11705.3</v>
      </c>
      <c r="Y536">
        <v>2562.9</v>
      </c>
      <c r="Z536" t="s">
        <v>137</v>
      </c>
      <c r="AA536" t="s">
        <v>125</v>
      </c>
    </row>
    <row r="537" spans="1:27">
      <c r="A537" t="s">
        <v>2585</v>
      </c>
      <c r="B537" t="s">
        <v>2586</v>
      </c>
      <c r="C537" t="s">
        <v>2587</v>
      </c>
      <c r="D537"/>
      <c r="E537" s="7">
        <f>IF(OR(D537="Invalid",D537&lt;0),"",D537)</f>
        <v>0</v>
      </c>
      <c r="F537" t="s">
        <v>2588</v>
      </c>
      <c r="G537" t="s">
        <v>210</v>
      </c>
      <c r="H537" t="str">
        <f>PROPER(TRIM(G537))</f>
        <v>Diya Patel</v>
      </c>
      <c r="I537" t="s">
        <v>41</v>
      </c>
      <c r="J537" t="str">
        <f>PROPER(TRIM(I537))</f>
        <v>Small Business</v>
      </c>
      <c r="K537" t="s">
        <v>73</v>
      </c>
      <c r="L537" t="s">
        <v>74</v>
      </c>
      <c r="M537" t="s">
        <v>75</v>
      </c>
      <c r="N537" t="s">
        <v>86</v>
      </c>
      <c r="O537" t="str">
        <f>TRIM(N537)</f>
        <v>Technology</v>
      </c>
      <c r="P537" t="s">
        <v>94</v>
      </c>
      <c r="Q537" t="s">
        <v>2589</v>
      </c>
      <c r="R537" t="s">
        <v>56</v>
      </c>
      <c r="S537" t="s">
        <v>56</v>
      </c>
      <c r="T537">
        <v>3</v>
      </c>
      <c r="U537">
        <v>4000.98</v>
      </c>
      <c r="V537">
        <v>0.2</v>
      </c>
      <c r="W537">
        <v>9602.35</v>
      </c>
      <c r="X537">
        <v>7387.57</v>
      </c>
      <c r="Y537">
        <v>2214.7800000000002</v>
      </c>
      <c r="Z537" t="s">
        <v>34</v>
      </c>
      <c r="AA537" t="s">
        <v>35</v>
      </c>
    </row>
    <row r="538" spans="1:27">
      <c r="A538" t="s">
        <v>2590</v>
      </c>
      <c r="B538" t="s">
        <v>2591</v>
      </c>
      <c r="C538" t="s">
        <v>2592</v>
      </c>
      <c r="D538"/>
      <c r="E538" s="7">
        <f>IF(OR(D538="Invalid",D538&lt;0),"",D538)</f>
        <v>0</v>
      </c>
      <c r="F538" t="s">
        <v>2593</v>
      </c>
      <c r="G538" t="s">
        <v>72</v>
      </c>
      <c r="H538" t="str">
        <f>PROPER(TRIM(G538))</f>
        <v>Ananya Rao</v>
      </c>
      <c r="I538" t="s">
        <v>41</v>
      </c>
      <c r="J538" t="str">
        <f>PROPER(TRIM(I538))</f>
        <v>Small Business</v>
      </c>
      <c r="K538" t="s">
        <v>73</v>
      </c>
      <c r="L538" t="s">
        <v>28</v>
      </c>
      <c r="M538" t="s">
        <v>135</v>
      </c>
      <c r="N538" t="s">
        <v>45</v>
      </c>
      <c r="O538" t="str">
        <f>TRIM(N538)</f>
        <v>Furniture</v>
      </c>
      <c r="P538" t="s">
        <v>76</v>
      </c>
      <c r="Q538" t="s">
        <v>2594</v>
      </c>
      <c r="R538" t="s">
        <v>56</v>
      </c>
      <c r="S538" t="s">
        <v>56</v>
      </c>
      <c r="T538">
        <v>7</v>
      </c>
      <c r="U538">
        <v>3788.9</v>
      </c>
      <c r="V538">
        <v>0.25</v>
      </c>
      <c r="W538">
        <v>19891.72</v>
      </c>
      <c r="X538">
        <v>12295.76</v>
      </c>
      <c r="Y538">
        <v>7595.96</v>
      </c>
      <c r="Z538" t="s">
        <v>200</v>
      </c>
      <c r="AA538" t="s">
        <v>78</v>
      </c>
    </row>
    <row r="539" spans="1:27">
      <c r="A539" t="s">
        <v>2595</v>
      </c>
      <c r="B539" t="s">
        <v>2038</v>
      </c>
      <c r="C539" t="s">
        <v>2596</v>
      </c>
      <c r="D539"/>
      <c r="E539" s="7">
        <f>IF(OR(D539="Invalid",D539&lt;0),"",D539)</f>
        <v>0</v>
      </c>
      <c r="F539" t="s">
        <v>2597</v>
      </c>
      <c r="G539" t="s">
        <v>72</v>
      </c>
      <c r="H539" t="str">
        <f>PROPER(TRIM(G539))</f>
        <v>Ananya Rao</v>
      </c>
      <c r="I539" t="s">
        <v>41</v>
      </c>
      <c r="J539" t="str">
        <f>PROPER(TRIM(I539))</f>
        <v>Small Business</v>
      </c>
      <c r="K539" t="s">
        <v>27</v>
      </c>
      <c r="L539" t="s">
        <v>323</v>
      </c>
      <c r="M539" t="s">
        <v>324</v>
      </c>
      <c r="N539" t="s">
        <v>30</v>
      </c>
      <c r="O539" t="str">
        <f>TRIM(N539)</f>
        <v>Office Supplies</v>
      </c>
      <c r="P539" t="s">
        <v>54</v>
      </c>
      <c r="Q539" t="s">
        <v>2598</v>
      </c>
      <c r="R539" t="s">
        <v>48</v>
      </c>
      <c r="S539" t="s">
        <v>48</v>
      </c>
      <c r="T539">
        <v>3</v>
      </c>
      <c r="U539">
        <v>676.37</v>
      </c>
      <c r="V539">
        <v>0.05</v>
      </c>
      <c r="W539">
        <v>1927.65</v>
      </c>
      <c r="X539">
        <v>1460.6</v>
      </c>
      <c r="Y539">
        <v>467.05</v>
      </c>
      <c r="Z539" t="s">
        <v>200</v>
      </c>
      <c r="AA539" t="s">
        <v>78</v>
      </c>
    </row>
    <row r="540" spans="1:27">
      <c r="A540" t="s">
        <v>2599</v>
      </c>
      <c r="B540" t="s">
        <v>2266</v>
      </c>
      <c r="C540" t="s">
        <v>2600</v>
      </c>
      <c r="D540"/>
      <c r="E540" s="7">
        <f>IF(OR(D540="Invalid",D540&lt;0),"",D540)</f>
        <v>0</v>
      </c>
      <c r="F540" t="s">
        <v>2601</v>
      </c>
      <c r="G540" t="s">
        <v>210</v>
      </c>
      <c r="H540" t="str">
        <f>PROPER(TRIM(G540))</f>
        <v>Diya Patel</v>
      </c>
      <c r="I540" t="s">
        <v>41</v>
      </c>
      <c r="J540" t="str">
        <f>PROPER(TRIM(I540))</f>
        <v>Small Business</v>
      </c>
      <c r="K540" t="s">
        <v>42</v>
      </c>
      <c r="L540" t="s">
        <v>311</v>
      </c>
      <c r="M540" t="s">
        <v>312</v>
      </c>
      <c r="N540" t="s">
        <v>45</v>
      </c>
      <c r="O540" t="str">
        <f>TRIM(N540)</f>
        <v>Furniture</v>
      </c>
      <c r="P540" t="s">
        <v>46</v>
      </c>
      <c r="Q540" t="s">
        <v>2602</v>
      </c>
      <c r="R540" t="s">
        <v>33</v>
      </c>
      <c r="S540" t="s">
        <v>33</v>
      </c>
      <c r="T540">
        <v>9</v>
      </c>
      <c r="U540">
        <v>3908.6</v>
      </c>
      <c r="V540">
        <v>0.15</v>
      </c>
      <c r="W540">
        <v>29900.79</v>
      </c>
      <c r="X540">
        <v>24650.67</v>
      </c>
      <c r="Y540">
        <v>5250.12</v>
      </c>
      <c r="Z540" t="s">
        <v>34</v>
      </c>
      <c r="AA540" t="s">
        <v>35</v>
      </c>
    </row>
    <row r="541" spans="1:27">
      <c r="A541" t="s">
        <v>2603</v>
      </c>
      <c r="B541" t="s">
        <v>1216</v>
      </c>
      <c r="C541" t="s">
        <v>2415</v>
      </c>
      <c r="D541"/>
      <c r="E541" s="7">
        <f>IF(OR(D541="Invalid",D541&lt;0),"",D541)</f>
        <v>0</v>
      </c>
      <c r="F541" t="s">
        <v>2604</v>
      </c>
      <c r="G541" t="s">
        <v>2605</v>
      </c>
      <c r="H541" t="str">
        <f>PROPER(TRIM(G541))</f>
        <v>Mira Das</v>
      </c>
      <c r="I541" t="s">
        <v>41</v>
      </c>
      <c r="J541" t="str">
        <f>PROPER(TRIM(I541))</f>
        <v>Small Business</v>
      </c>
      <c r="K541" t="s">
        <v>62</v>
      </c>
      <c r="L541" t="s">
        <v>339</v>
      </c>
      <c r="M541" t="s">
        <v>340</v>
      </c>
      <c r="N541" t="s">
        <v>45</v>
      </c>
      <c r="O541" t="str">
        <f>TRIM(N541)</f>
        <v>Furniture</v>
      </c>
      <c r="P541" t="s">
        <v>76</v>
      </c>
      <c r="Q541" t="s">
        <v>2606</v>
      </c>
      <c r="R541" t="s">
        <v>67</v>
      </c>
      <c r="S541" t="s">
        <v>67</v>
      </c>
      <c r="T541">
        <v>3</v>
      </c>
      <c r="U541">
        <v>705.35</v>
      </c>
      <c r="V541">
        <v>0.1</v>
      </c>
      <c r="W541">
        <v>1904.45</v>
      </c>
      <c r="X541">
        <v>1316.54</v>
      </c>
      <c r="Y541">
        <v>587.91</v>
      </c>
      <c r="Z541" t="s">
        <v>34</v>
      </c>
      <c r="AA541" t="s">
        <v>78</v>
      </c>
    </row>
    <row r="542" spans="1:27">
      <c r="A542" t="s">
        <v>2607</v>
      </c>
      <c r="B542" t="s">
        <v>2608</v>
      </c>
      <c r="C542" t="s">
        <v>2343</v>
      </c>
      <c r="D542"/>
      <c r="E542" s="7">
        <f>IF(OR(D542="Invalid",D542&lt;0),"",D542)</f>
        <v>0</v>
      </c>
      <c r="F542" t="s">
        <v>2609</v>
      </c>
      <c r="G542" t="s">
        <v>366</v>
      </c>
      <c r="H542" t="str">
        <f>PROPER(TRIM(G542))</f>
        <v>Kabir Singh</v>
      </c>
      <c r="I542" t="s">
        <v>26</v>
      </c>
      <c r="J542" t="str">
        <f>PROPER(TRIM(I542))</f>
        <v>Consumer</v>
      </c>
      <c r="K542" t="s">
        <v>73</v>
      </c>
      <c r="L542" t="s">
        <v>235</v>
      </c>
      <c r="M542" t="s">
        <v>236</v>
      </c>
      <c r="N542" t="s">
        <v>45</v>
      </c>
      <c r="O542" t="str">
        <f>TRIM(N542)</f>
        <v>Furniture</v>
      </c>
      <c r="P542" t="s">
        <v>65</v>
      </c>
      <c r="Q542" t="s">
        <v>2610</v>
      </c>
      <c r="R542" t="s">
        <v>67</v>
      </c>
      <c r="S542" t="s">
        <v>67</v>
      </c>
      <c r="T542">
        <v>7</v>
      </c>
      <c r="U542">
        <v>3852.07</v>
      </c>
      <c r="V542">
        <v>0.2</v>
      </c>
      <c r="W542">
        <v>21571.59</v>
      </c>
      <c r="X542">
        <v>17118.07</v>
      </c>
      <c r="Y542">
        <v>4453.5200000000004</v>
      </c>
      <c r="Z542" t="s">
        <v>34</v>
      </c>
      <c r="AA542" t="s">
        <v>35</v>
      </c>
    </row>
    <row r="543" spans="1:27">
      <c r="A543" t="s">
        <v>2611</v>
      </c>
      <c r="B543" t="s">
        <v>2612</v>
      </c>
      <c r="C543" t="s">
        <v>2613</v>
      </c>
      <c r="D543"/>
      <c r="E543" s="7">
        <f>IF(OR(D543="Invalid",D543&lt;0),"",D543)</f>
        <v>0</v>
      </c>
      <c r="F543" t="s">
        <v>2614</v>
      </c>
      <c r="G543" t="s">
        <v>168</v>
      </c>
      <c r="H543" t="str">
        <f>PROPER(TRIM(G543))</f>
        <v>Sneha Kapoor</v>
      </c>
      <c r="I543" t="s">
        <v>26</v>
      </c>
      <c r="J543" t="str">
        <f>PROPER(TRIM(I543))</f>
        <v>Consumer</v>
      </c>
      <c r="K543" t="s">
        <v>73</v>
      </c>
      <c r="L543" t="s">
        <v>74</v>
      </c>
      <c r="M543" t="s">
        <v>75</v>
      </c>
      <c r="N543" t="s">
        <v>86</v>
      </c>
      <c r="O543" t="str">
        <f>TRIM(N543)</f>
        <v>Technology</v>
      </c>
      <c r="P543" t="s">
        <v>94</v>
      </c>
      <c r="Q543" t="s">
        <v>2615</v>
      </c>
      <c r="R543" t="s">
        <v>48</v>
      </c>
      <c r="S543" t="s">
        <v>48</v>
      </c>
      <c r="T543">
        <v>3</v>
      </c>
      <c r="U543">
        <v>2880.56</v>
      </c>
      <c r="V543">
        <v>0</v>
      </c>
      <c r="W543">
        <v>8641.68</v>
      </c>
      <c r="X543">
        <v>5747.09</v>
      </c>
      <c r="Y543">
        <v>2894.59</v>
      </c>
      <c r="Z543" t="s">
        <v>34</v>
      </c>
      <c r="AA543" t="s">
        <v>125</v>
      </c>
    </row>
    <row r="544" spans="1:27">
      <c r="A544" t="s">
        <v>2616</v>
      </c>
      <c r="B544" t="s">
        <v>2617</v>
      </c>
      <c r="C544" t="s">
        <v>2618</v>
      </c>
      <c r="D544"/>
      <c r="E544" s="7">
        <f>IF(OR(D544="Invalid",D544&lt;0),"",D544)</f>
        <v>0</v>
      </c>
      <c r="F544" t="s">
        <v>2619</v>
      </c>
      <c r="G544" t="s">
        <v>148</v>
      </c>
      <c r="H544" t="str">
        <f>PROPER(TRIM(G544))</f>
        <v>Rahul Verma</v>
      </c>
      <c r="I544" t="s">
        <v>115</v>
      </c>
      <c r="J544" t="str">
        <f>PROPER(TRIM(I544))</f>
        <v>Home Office</v>
      </c>
      <c r="K544" t="s">
        <v>62</v>
      </c>
      <c r="L544" t="s">
        <v>242</v>
      </c>
      <c r="M544" t="s">
        <v>243</v>
      </c>
      <c r="N544" t="s">
        <v>45</v>
      </c>
      <c r="O544" t="str">
        <f>TRIM(N544)</f>
        <v>Furniture</v>
      </c>
      <c r="P544" t="s">
        <v>204</v>
      </c>
      <c r="Q544" t="s">
        <v>2620</v>
      </c>
      <c r="R544" t="s">
        <v>33</v>
      </c>
      <c r="S544" t="s">
        <v>33</v>
      </c>
      <c r="T544">
        <v>3</v>
      </c>
      <c r="U544">
        <v>4067.62</v>
      </c>
      <c r="V544">
        <v>0.2</v>
      </c>
      <c r="W544">
        <v>9988.5300000000007</v>
      </c>
      <c r="X544">
        <v>8368.24</v>
      </c>
      <c r="Y544">
        <v>1394.05</v>
      </c>
      <c r="Z544" t="s">
        <v>34</v>
      </c>
      <c r="AA544" t="s">
        <v>2621</v>
      </c>
    </row>
    <row r="545" spans="1:27">
      <c r="A545" t="s">
        <v>2622</v>
      </c>
      <c r="B545" t="s">
        <v>2623</v>
      </c>
      <c r="C545" t="s">
        <v>400</v>
      </c>
      <c r="D545"/>
      <c r="E545" s="7">
        <f>IF(OR(D545="Invalid",D545&lt;0),"",D545)</f>
        <v>0</v>
      </c>
      <c r="F545" t="s">
        <v>2624</v>
      </c>
      <c r="G545" t="s">
        <v>40</v>
      </c>
      <c r="H545" t="str">
        <f>PROPER(TRIM(G545))</f>
        <v>Mira Das</v>
      </c>
      <c r="I545" t="s">
        <v>26</v>
      </c>
      <c r="J545" t="str">
        <f>PROPER(TRIM(I545))</f>
        <v>Consumer</v>
      </c>
      <c r="K545" t="s">
        <v>42</v>
      </c>
      <c r="L545" t="s">
        <v>186</v>
      </c>
      <c r="M545" t="s">
        <v>187</v>
      </c>
      <c r="N545" t="s">
        <v>86</v>
      </c>
      <c r="O545" t="str">
        <f>TRIM(N545)</f>
        <v>Technology</v>
      </c>
      <c r="P545" t="s">
        <v>94</v>
      </c>
      <c r="Q545" t="s">
        <v>2625</v>
      </c>
      <c r="R545" t="s">
        <v>48</v>
      </c>
      <c r="S545" t="s">
        <v>48</v>
      </c>
      <c r="T545">
        <v>1</v>
      </c>
      <c r="U545">
        <v>492.67</v>
      </c>
      <c r="V545">
        <v>0.15</v>
      </c>
      <c r="W545">
        <v>418.77</v>
      </c>
      <c r="X545">
        <v>313.72000000000003</v>
      </c>
      <c r="Y545">
        <v>105.05</v>
      </c>
      <c r="Z545" t="s">
        <v>34</v>
      </c>
      <c r="AA545" t="s">
        <v>35</v>
      </c>
    </row>
    <row r="546" spans="1:27">
      <c r="A546" t="s">
        <v>2626</v>
      </c>
      <c r="B546" t="s">
        <v>2627</v>
      </c>
      <c r="C546" t="s">
        <v>2060</v>
      </c>
      <c r="D546"/>
      <c r="E546" s="7">
        <f>IF(OR(D546="Invalid",D546&lt;0),"",D546)</f>
        <v>0</v>
      </c>
      <c r="F546" t="s">
        <v>2628</v>
      </c>
      <c r="G546" t="s">
        <v>72</v>
      </c>
      <c r="H546" t="str">
        <f>PROPER(TRIM(G546))</f>
        <v>Ananya Rao</v>
      </c>
      <c r="I546" t="s">
        <v>26</v>
      </c>
      <c r="J546" t="str">
        <f>PROPER(TRIM(I546))</f>
        <v>Consumer</v>
      </c>
      <c r="K546" t="s">
        <v>62</v>
      </c>
      <c r="L546" t="s">
        <v>242</v>
      </c>
      <c r="M546" t="s">
        <v>243</v>
      </c>
      <c r="N546" t="s">
        <v>30</v>
      </c>
      <c r="O546" t="str">
        <f>TRIM(N546)</f>
        <v>Office Supplies</v>
      </c>
      <c r="P546" t="s">
        <v>54</v>
      </c>
      <c r="Q546" t="s">
        <v>2629</v>
      </c>
      <c r="R546" t="s">
        <v>48</v>
      </c>
      <c r="S546" t="s">
        <v>48</v>
      </c>
      <c r="T546">
        <v>8</v>
      </c>
      <c r="U546">
        <v>3643.62</v>
      </c>
      <c r="V546">
        <v>0.25</v>
      </c>
      <c r="W546">
        <v>21861.72</v>
      </c>
      <c r="X546">
        <v>18464.34</v>
      </c>
      <c r="Y546">
        <v>3397.38</v>
      </c>
      <c r="Z546" t="s">
        <v>34</v>
      </c>
      <c r="AA546" t="s">
        <v>78</v>
      </c>
    </row>
    <row r="547" spans="1:27">
      <c r="A547" t="s">
        <v>2630</v>
      </c>
      <c r="B547" t="s">
        <v>2631</v>
      </c>
      <c r="C547" t="s">
        <v>2632</v>
      </c>
      <c r="D547"/>
      <c r="E547" s="7">
        <f>IF(OR(D547="Invalid",D547&lt;0),"",D547)</f>
        <v>0</v>
      </c>
      <c r="F547" t="s">
        <v>2633</v>
      </c>
      <c r="G547" t="s">
        <v>366</v>
      </c>
      <c r="H547" t="str">
        <f>PROPER(TRIM(G547))</f>
        <v>Kabir Singh</v>
      </c>
      <c r="I547" t="s">
        <v>41</v>
      </c>
      <c r="J547" t="str">
        <f>PROPER(TRIM(I547))</f>
        <v>Small Business</v>
      </c>
      <c r="K547" t="s">
        <v>42</v>
      </c>
      <c r="L547" t="s">
        <v>311</v>
      </c>
      <c r="M547" t="s">
        <v>312</v>
      </c>
      <c r="N547" t="s">
        <v>30</v>
      </c>
      <c r="O547" t="str">
        <f>TRIM(N547)</f>
        <v>Office Supplies</v>
      </c>
      <c r="P547" t="s">
        <v>156</v>
      </c>
      <c r="Q547" t="s">
        <v>2634</v>
      </c>
      <c r="R547" t="s">
        <v>48</v>
      </c>
      <c r="S547" t="s">
        <v>48</v>
      </c>
      <c r="T547">
        <v>7</v>
      </c>
      <c r="U547">
        <v>2900.86</v>
      </c>
      <c r="V547">
        <v>0.15</v>
      </c>
      <c r="W547">
        <v>17260.12</v>
      </c>
      <c r="X547">
        <v>13513.51</v>
      </c>
      <c r="Y547">
        <v>3746.61</v>
      </c>
      <c r="Z547" t="s">
        <v>34</v>
      </c>
      <c r="AA547" t="s">
        <v>35</v>
      </c>
    </row>
    <row r="548" spans="1:27">
      <c r="A548" t="s">
        <v>2635</v>
      </c>
      <c r="B548" t="s">
        <v>2636</v>
      </c>
      <c r="C548" t="s">
        <v>1491</v>
      </c>
      <c r="D548"/>
      <c r="E548" s="7">
        <f>IF(OR(D548="Invalid",D548&lt;0),"",D548)</f>
        <v>0</v>
      </c>
      <c r="F548" t="s">
        <v>2637</v>
      </c>
      <c r="G548" t="s">
        <v>61</v>
      </c>
      <c r="H548" t="str">
        <f>PROPER(TRIM(G548))</f>
        <v>Arjun Bose</v>
      </c>
      <c r="I548" t="s">
        <v>108</v>
      </c>
      <c r="J548" t="str">
        <f>PROPER(TRIM(I548))</f>
        <v>Corporate</v>
      </c>
      <c r="K548" t="s">
        <v>73</v>
      </c>
      <c r="L548" t="s">
        <v>235</v>
      </c>
      <c r="M548" t="s">
        <v>236</v>
      </c>
      <c r="N548" t="s">
        <v>2638</v>
      </c>
      <c r="O548" t="str">
        <f>TRIM(N548)</f>
        <v>office supplies</v>
      </c>
      <c r="P548" t="s">
        <v>31</v>
      </c>
      <c r="Q548" t="s">
        <v>2639</v>
      </c>
      <c r="R548" t="s">
        <v>56</v>
      </c>
      <c r="S548" t="s">
        <v>56</v>
      </c>
      <c r="T548">
        <v>5</v>
      </c>
      <c r="U548">
        <v>2567.37</v>
      </c>
      <c r="V548">
        <v>0.15</v>
      </c>
      <c r="W548">
        <v>10911.32</v>
      </c>
      <c r="X548">
        <v>6966.44</v>
      </c>
      <c r="Y548">
        <v>4395.17</v>
      </c>
      <c r="Z548" t="s">
        <v>34</v>
      </c>
      <c r="AA548" t="s">
        <v>35</v>
      </c>
    </row>
    <row r="549" spans="1:27">
      <c r="A549" t="s">
        <v>2640</v>
      </c>
      <c r="B549" t="s">
        <v>2641</v>
      </c>
      <c r="C549" t="s">
        <v>2642</v>
      </c>
      <c r="D549"/>
      <c r="E549" s="7">
        <f>IF(OR(D549="Invalid",D549&lt;0),"",D549)</f>
        <v>0</v>
      </c>
      <c r="F549" t="s">
        <v>2643</v>
      </c>
      <c r="G549" t="s">
        <v>93</v>
      </c>
      <c r="H549" t="str">
        <f>PROPER(TRIM(G549))</f>
        <v>Neha Gupta</v>
      </c>
      <c r="I549" t="s">
        <v>41</v>
      </c>
      <c r="J549" t="str">
        <f>PROPER(TRIM(I549))</f>
        <v>Small Business</v>
      </c>
      <c r="K549" t="s">
        <v>27</v>
      </c>
      <c r="L549" t="s">
        <v>174</v>
      </c>
      <c r="M549" t="s">
        <v>175</v>
      </c>
      <c r="N549" t="s">
        <v>86</v>
      </c>
      <c r="O549" t="str">
        <f>TRIM(N549)</f>
        <v>Technology</v>
      </c>
      <c r="P549" t="s">
        <v>94</v>
      </c>
      <c r="Q549" t="s">
        <v>2644</v>
      </c>
      <c r="R549" t="s">
        <v>67</v>
      </c>
      <c r="S549" t="s">
        <v>67</v>
      </c>
      <c r="T549">
        <v>9</v>
      </c>
      <c r="U549">
        <v>3722.09</v>
      </c>
      <c r="V549">
        <v>0.1</v>
      </c>
      <c r="W549">
        <v>30148.93</v>
      </c>
      <c r="X549">
        <v>25155.07</v>
      </c>
      <c r="Y549">
        <v>4993.8599999999997</v>
      </c>
      <c r="Z549" t="s">
        <v>34</v>
      </c>
      <c r="AA549" t="s">
        <v>35</v>
      </c>
    </row>
    <row r="550" spans="1:27">
      <c r="A550" t="s">
        <v>2645</v>
      </c>
      <c r="B550" t="s">
        <v>274</v>
      </c>
      <c r="C550" t="s">
        <v>273</v>
      </c>
      <c r="D550"/>
      <c r="E550" s="7">
        <f>IF(OR(D550="Invalid",D550&lt;0),"",D550)</f>
        <v>0</v>
      </c>
      <c r="F550" t="s">
        <v>2646</v>
      </c>
      <c r="G550" t="s">
        <v>180</v>
      </c>
      <c r="H550" t="str">
        <f>PROPER(TRIM(G550))</f>
        <v>Rohan Mehta</v>
      </c>
      <c r="I550" t="s">
        <v>108</v>
      </c>
      <c r="J550" t="str">
        <f>PROPER(TRIM(I550))</f>
        <v>Corporate</v>
      </c>
      <c r="K550" t="s">
        <v>42</v>
      </c>
      <c r="L550" t="s">
        <v>186</v>
      </c>
      <c r="M550" t="s">
        <v>187</v>
      </c>
      <c r="N550" t="s">
        <v>45</v>
      </c>
      <c r="O550" t="str">
        <f>TRIM(N550)</f>
        <v>Furniture</v>
      </c>
      <c r="P550" t="s">
        <v>204</v>
      </c>
      <c r="Q550" t="s">
        <v>2647</v>
      </c>
      <c r="R550" t="s">
        <v>48</v>
      </c>
      <c r="S550" t="s">
        <v>48</v>
      </c>
      <c r="T550">
        <v>1</v>
      </c>
      <c r="U550">
        <v>1072.01</v>
      </c>
      <c r="V550">
        <v>0</v>
      </c>
      <c r="W550">
        <v>1072.01</v>
      </c>
      <c r="X550">
        <v>852.62</v>
      </c>
      <c r="Y550">
        <v>219.39</v>
      </c>
      <c r="Z550" t="s">
        <v>137</v>
      </c>
      <c r="AA550" t="s">
        <v>78</v>
      </c>
    </row>
    <row r="551" spans="1:27">
      <c r="A551" t="s">
        <v>2648</v>
      </c>
      <c r="B551" t="s">
        <v>2649</v>
      </c>
      <c r="C551" t="s">
        <v>2650</v>
      </c>
      <c r="D551"/>
      <c r="E551" s="7">
        <f>IF(OR(D551="Invalid",D551&lt;0),"",D551)</f>
        <v>0</v>
      </c>
      <c r="F551" t="s">
        <v>2651</v>
      </c>
      <c r="G551" t="s">
        <v>40</v>
      </c>
      <c r="H551" t="str">
        <f>PROPER(TRIM(G551))</f>
        <v>Mira Das</v>
      </c>
      <c r="I551" t="s">
        <v>108</v>
      </c>
      <c r="J551" t="str">
        <f>PROPER(TRIM(I551))</f>
        <v>Corporate</v>
      </c>
      <c r="K551" t="s">
        <v>62</v>
      </c>
      <c r="L551" t="s">
        <v>63</v>
      </c>
      <c r="M551" t="s">
        <v>64</v>
      </c>
      <c r="N551" t="s">
        <v>30</v>
      </c>
      <c r="O551" t="str">
        <f>TRIM(N551)</f>
        <v>Office Supplies</v>
      </c>
      <c r="P551" t="s">
        <v>54</v>
      </c>
      <c r="Q551" t="s">
        <v>2652</v>
      </c>
      <c r="R551" t="s">
        <v>33</v>
      </c>
      <c r="S551" t="s">
        <v>33</v>
      </c>
      <c r="T551">
        <v>3</v>
      </c>
      <c r="U551">
        <v>3804.27</v>
      </c>
      <c r="V551">
        <v>0.1</v>
      </c>
      <c r="W551">
        <v>10271.530000000001</v>
      </c>
      <c r="X551">
        <v>8272.24</v>
      </c>
      <c r="Y551">
        <v>1999.29</v>
      </c>
      <c r="Z551" t="s">
        <v>34</v>
      </c>
      <c r="AA551" t="s">
        <v>35</v>
      </c>
    </row>
    <row r="552" spans="1:27">
      <c r="A552" t="s">
        <v>2653</v>
      </c>
      <c r="B552" t="s">
        <v>538</v>
      </c>
      <c r="C552" t="s">
        <v>2654</v>
      </c>
      <c r="D552"/>
      <c r="E552" s="7">
        <f>IF(OR(D552="Invalid",D552&lt;0),"",D552)</f>
        <v>0</v>
      </c>
      <c r="F552" t="s">
        <v>2655</v>
      </c>
      <c r="G552" t="s">
        <v>40</v>
      </c>
      <c r="H552" t="str">
        <f>PROPER(TRIM(G552))</f>
        <v>Mira Das</v>
      </c>
      <c r="I552" t="s">
        <v>115</v>
      </c>
      <c r="J552" t="str">
        <f>PROPER(TRIM(I552))</f>
        <v>Home Office</v>
      </c>
      <c r="K552" t="s">
        <v>42</v>
      </c>
      <c r="L552" t="s">
        <v>43</v>
      </c>
      <c r="M552" t="s">
        <v>44</v>
      </c>
      <c r="N552" t="s">
        <v>86</v>
      </c>
      <c r="O552" t="str">
        <f>TRIM(N552)</f>
        <v>Technology</v>
      </c>
      <c r="P552" t="s">
        <v>87</v>
      </c>
      <c r="Q552" t="s">
        <v>2656</v>
      </c>
      <c r="R552" t="s">
        <v>67</v>
      </c>
      <c r="S552" t="s">
        <v>67</v>
      </c>
      <c r="T552">
        <v>6</v>
      </c>
      <c r="U552">
        <v>2126.44</v>
      </c>
      <c r="V552">
        <v>0.2</v>
      </c>
      <c r="W552">
        <v>10206.91</v>
      </c>
      <c r="X552">
        <v>6764.53</v>
      </c>
      <c r="Y552">
        <v>3442.38</v>
      </c>
      <c r="Z552" t="s">
        <v>34</v>
      </c>
      <c r="AA552" t="s">
        <v>35</v>
      </c>
    </row>
    <row r="553" spans="1:27">
      <c r="A553" t="s">
        <v>2657</v>
      </c>
      <c r="B553" t="s">
        <v>2089</v>
      </c>
      <c r="C553" t="s">
        <v>2658</v>
      </c>
      <c r="D553"/>
      <c r="E553" s="7">
        <f>IF(OR(D553="Invalid",D553&lt;0),"",D553)</f>
        <v>0</v>
      </c>
      <c r="F553" t="s">
        <v>2659</v>
      </c>
      <c r="G553" t="s">
        <v>168</v>
      </c>
      <c r="H553" t="str">
        <f>PROPER(TRIM(G553))</f>
        <v>Sneha Kapoor</v>
      </c>
      <c r="I553" t="s">
        <v>26</v>
      </c>
      <c r="J553" t="str">
        <f>PROPER(TRIM(I553))</f>
        <v>Consumer</v>
      </c>
      <c r="K553" t="s">
        <v>42</v>
      </c>
      <c r="L553" t="s">
        <v>311</v>
      </c>
      <c r="M553" t="s">
        <v>312</v>
      </c>
      <c r="N553" t="s">
        <v>45</v>
      </c>
      <c r="O553" t="str">
        <f>TRIM(N553)</f>
        <v>Furniture</v>
      </c>
      <c r="P553" t="s">
        <v>76</v>
      </c>
      <c r="Q553" t="s">
        <v>2660</v>
      </c>
      <c r="R553" t="s">
        <v>33</v>
      </c>
      <c r="S553" t="s">
        <v>33</v>
      </c>
      <c r="T553">
        <v>3</v>
      </c>
      <c r="U553">
        <v>3148.09</v>
      </c>
      <c r="V553">
        <v>0.15</v>
      </c>
      <c r="W553">
        <v>8027.63</v>
      </c>
      <c r="X553">
        <v>5496.09</v>
      </c>
      <c r="Y553">
        <v>2531.54</v>
      </c>
      <c r="Z553" t="s">
        <v>34</v>
      </c>
      <c r="AA553" t="s">
        <v>35</v>
      </c>
    </row>
    <row r="554" spans="1:27">
      <c r="A554" t="s">
        <v>2661</v>
      </c>
      <c r="B554" t="s">
        <v>190</v>
      </c>
      <c r="C554" t="s">
        <v>343</v>
      </c>
      <c r="D554"/>
      <c r="E554" s="7">
        <f>IF(OR(D554="Invalid",D554&lt;0),"",D554)</f>
        <v>0</v>
      </c>
      <c r="F554" t="s">
        <v>2662</v>
      </c>
      <c r="G554" t="s">
        <v>72</v>
      </c>
      <c r="H554" t="str">
        <f>PROPER(TRIM(G554))</f>
        <v>Ananya Rao</v>
      </c>
      <c r="I554" t="s">
        <v>108</v>
      </c>
      <c r="J554" t="str">
        <f>PROPER(TRIM(I554))</f>
        <v>Corporate</v>
      </c>
      <c r="K554" t="s">
        <v>42</v>
      </c>
      <c r="L554" t="s">
        <v>121</v>
      </c>
      <c r="M554" t="s">
        <v>122</v>
      </c>
      <c r="N554" t="s">
        <v>86</v>
      </c>
      <c r="O554" t="str">
        <f>TRIM(N554)</f>
        <v>Technology</v>
      </c>
      <c r="P554" t="s">
        <v>94</v>
      </c>
      <c r="Q554" t="s">
        <v>2663</v>
      </c>
      <c r="R554" t="s">
        <v>67</v>
      </c>
      <c r="S554" t="s">
        <v>67</v>
      </c>
      <c r="T554">
        <v>8</v>
      </c>
      <c r="U554">
        <v>312.52999999999997</v>
      </c>
      <c r="V554" t="s">
        <v>681</v>
      </c>
      <c r="W554">
        <v>1875.18</v>
      </c>
      <c r="X554">
        <v>1579.17</v>
      </c>
      <c r="Y554">
        <v>296.01</v>
      </c>
      <c r="Z554" t="s">
        <v>34</v>
      </c>
      <c r="AA554" t="s">
        <v>35</v>
      </c>
    </row>
    <row r="555" spans="1:27">
      <c r="A555" t="s">
        <v>2664</v>
      </c>
      <c r="B555" t="s">
        <v>2665</v>
      </c>
      <c r="C555" t="s">
        <v>2666</v>
      </c>
      <c r="D555"/>
      <c r="E555" s="7">
        <f>IF(OR(D555="Invalid",D555&lt;0),"",D555)</f>
        <v>0</v>
      </c>
      <c r="F555" t="s">
        <v>2667</v>
      </c>
      <c r="G555" t="s">
        <v>162</v>
      </c>
      <c r="H555" t="str">
        <f>PROPER(TRIM(G555))</f>
        <v>Aarav Sharma</v>
      </c>
      <c r="I555" t="s">
        <v>41</v>
      </c>
      <c r="J555" t="str">
        <f>PROPER(TRIM(I555))</f>
        <v>Small Business</v>
      </c>
      <c r="K555" t="s">
        <v>73</v>
      </c>
      <c r="L555" t="s">
        <v>235</v>
      </c>
      <c r="M555" t="s">
        <v>236</v>
      </c>
      <c r="N555" t="s">
        <v>30</v>
      </c>
      <c r="O555" t="str">
        <f>TRIM(N555)</f>
        <v>Office Supplies</v>
      </c>
      <c r="P555" t="s">
        <v>156</v>
      </c>
      <c r="Q555" t="s">
        <v>2668</v>
      </c>
      <c r="R555" t="s">
        <v>56</v>
      </c>
      <c r="S555" t="s">
        <v>56</v>
      </c>
      <c r="T555">
        <v>9</v>
      </c>
      <c r="U555">
        <v>1294.1099999999999</v>
      </c>
      <c r="V555">
        <v>0.25</v>
      </c>
      <c r="W555">
        <v>8735.24</v>
      </c>
      <c r="X555">
        <v>6620.07</v>
      </c>
      <c r="Y555">
        <v>2115.17</v>
      </c>
      <c r="Z555" t="s">
        <v>34</v>
      </c>
      <c r="AA555" t="s">
        <v>35</v>
      </c>
    </row>
    <row r="556" spans="1:27">
      <c r="A556" t="s">
        <v>2669</v>
      </c>
      <c r="B556" s="4" t="s">
        <v>2670</v>
      </c>
      <c r="C556" s="4" t="s">
        <v>2671</v>
      </c>
      <c r="D556" s="4" t="str">
        <f>IF(C444&lt;B444,"Invalid","OK")</f>
        <v>OK</v>
      </c>
      <c r="E556" s="7" t="str">
        <f>IF(OR(D556="Invalid",D556&lt;0),"",D556)</f>
        <v>OK</v>
      </c>
      <c r="F556" t="s">
        <v>2672</v>
      </c>
      <c r="G556" t="s">
        <v>61</v>
      </c>
      <c r="H556" t="str">
        <f>PROPER(TRIM(G556))</f>
        <v>Arjun Bose</v>
      </c>
      <c r="I556" t="s">
        <v>26</v>
      </c>
      <c r="J556" t="str">
        <f>PROPER(TRIM(I556))</f>
        <v>Consumer</v>
      </c>
      <c r="K556" t="s">
        <v>42</v>
      </c>
      <c r="L556" t="s">
        <v>311</v>
      </c>
      <c r="M556" t="s">
        <v>312</v>
      </c>
      <c r="N556" t="s">
        <v>45</v>
      </c>
      <c r="O556" t="str">
        <f>TRIM(N556)</f>
        <v>Furniture</v>
      </c>
      <c r="P556" t="s">
        <v>65</v>
      </c>
      <c r="Q556" t="s">
        <v>2673</v>
      </c>
      <c r="R556" t="s">
        <v>67</v>
      </c>
      <c r="S556" t="s">
        <v>67</v>
      </c>
      <c r="T556">
        <v>4</v>
      </c>
      <c r="U556">
        <v>1071.22</v>
      </c>
      <c r="V556">
        <v>0.05</v>
      </c>
      <c r="W556">
        <v>4070.64</v>
      </c>
      <c r="X556">
        <v>2831.62</v>
      </c>
      <c r="Y556">
        <v>1239.02</v>
      </c>
      <c r="Z556" t="s">
        <v>34</v>
      </c>
      <c r="AA556" t="s">
        <v>35</v>
      </c>
    </row>
    <row r="557" spans="1:27">
      <c r="A557" t="s">
        <v>2674</v>
      </c>
      <c r="B557" t="s">
        <v>882</v>
      </c>
      <c r="C557" t="s">
        <v>2675</v>
      </c>
      <c r="D557"/>
      <c r="E557" s="7">
        <f>IF(OR(D557="Invalid",D557&lt;0),"",D557)</f>
        <v>0</v>
      </c>
      <c r="F557" t="s">
        <v>2676</v>
      </c>
      <c r="G557" t="s">
        <v>72</v>
      </c>
      <c r="H557" t="str">
        <f>PROPER(TRIM(G557))</f>
        <v>Ananya Rao</v>
      </c>
      <c r="I557" t="s">
        <v>41</v>
      </c>
      <c r="J557" t="str">
        <f>PROPER(TRIM(I557))</f>
        <v>Small Business</v>
      </c>
      <c r="K557" t="s">
        <v>62</v>
      </c>
      <c r="L557" t="s">
        <v>63</v>
      </c>
      <c r="M557" t="s">
        <v>64</v>
      </c>
      <c r="N557" t="s">
        <v>30</v>
      </c>
      <c r="O557" t="str">
        <f>TRIM(N557)</f>
        <v>Office Supplies</v>
      </c>
      <c r="P557" t="s">
        <v>156</v>
      </c>
      <c r="Q557" t="s">
        <v>2677</v>
      </c>
      <c r="R557" t="s">
        <v>67</v>
      </c>
      <c r="S557" t="s">
        <v>67</v>
      </c>
      <c r="T557">
        <v>6</v>
      </c>
      <c r="U557">
        <v>1042.8</v>
      </c>
      <c r="V557">
        <v>0.05</v>
      </c>
      <c r="W557">
        <v>5943.96</v>
      </c>
      <c r="X557">
        <v>3604.14</v>
      </c>
      <c r="Y557">
        <v>2339.8200000000002</v>
      </c>
      <c r="Z557" t="s">
        <v>34</v>
      </c>
      <c r="AA557" t="s">
        <v>35</v>
      </c>
    </row>
    <row r="558" spans="1:27">
      <c r="A558" t="s">
        <v>2678</v>
      </c>
      <c r="B558" t="s">
        <v>1553</v>
      </c>
      <c r="C558" t="s">
        <v>2095</v>
      </c>
      <c r="D558"/>
      <c r="E558" s="7">
        <f>IF(OR(D558="Invalid",D558&lt;0),"",D558)</f>
        <v>0</v>
      </c>
      <c r="F558" t="s">
        <v>2679</v>
      </c>
      <c r="G558" t="s">
        <v>93</v>
      </c>
      <c r="H558" t="str">
        <f>PROPER(TRIM(G558))</f>
        <v>Neha Gupta</v>
      </c>
      <c r="I558" t="s">
        <v>26</v>
      </c>
      <c r="J558" t="str">
        <f>PROPER(TRIM(I558))</f>
        <v>Consumer</v>
      </c>
      <c r="K558" t="s">
        <v>27</v>
      </c>
      <c r="L558" t="s">
        <v>323</v>
      </c>
      <c r="M558" t="s">
        <v>324</v>
      </c>
      <c r="N558" t="s">
        <v>45</v>
      </c>
      <c r="O558" t="str">
        <f>TRIM(N558)</f>
        <v>Furniture</v>
      </c>
      <c r="P558" t="s">
        <v>46</v>
      </c>
      <c r="Q558" t="s">
        <v>2680</v>
      </c>
      <c r="R558" t="s">
        <v>56</v>
      </c>
      <c r="S558" t="s">
        <v>56</v>
      </c>
      <c r="T558">
        <v>1</v>
      </c>
      <c r="U558">
        <v>4426.66</v>
      </c>
      <c r="V558">
        <v>0</v>
      </c>
      <c r="W558">
        <v>4426.66</v>
      </c>
      <c r="X558">
        <v>3035.2</v>
      </c>
      <c r="Y558">
        <v>1816.23</v>
      </c>
      <c r="Z558" t="s">
        <v>34</v>
      </c>
      <c r="AA558" t="s">
        <v>125</v>
      </c>
    </row>
    <row r="559" spans="1:27">
      <c r="A559" t="s">
        <v>2681</v>
      </c>
      <c r="B559" t="s">
        <v>2682</v>
      </c>
      <c r="C559" t="s">
        <v>2683</v>
      </c>
      <c r="D559"/>
      <c r="E559" s="7">
        <f>IF(OR(D559="Invalid",D559&lt;0),"",D559)</f>
        <v>0</v>
      </c>
      <c r="F559" t="s">
        <v>2684</v>
      </c>
      <c r="G559" t="s">
        <v>83</v>
      </c>
      <c r="H559" t="str">
        <f>PROPER(TRIM(G559))</f>
        <v>Vikram Iyer</v>
      </c>
      <c r="I559" t="s">
        <v>115</v>
      </c>
      <c r="J559" t="str">
        <f>PROPER(TRIM(I559))</f>
        <v>Home Office</v>
      </c>
      <c r="K559" t="s">
        <v>27</v>
      </c>
      <c r="L559" t="s">
        <v>323</v>
      </c>
      <c r="M559" t="s">
        <v>324</v>
      </c>
      <c r="N559" t="s">
        <v>86</v>
      </c>
      <c r="O559" t="str">
        <f>TRIM(N559)</f>
        <v>Technology</v>
      </c>
      <c r="P559" t="s">
        <v>223</v>
      </c>
      <c r="Q559" t="s">
        <v>2685</v>
      </c>
      <c r="R559" t="s">
        <v>56</v>
      </c>
      <c r="S559" t="s">
        <v>56</v>
      </c>
      <c r="T559">
        <v>9</v>
      </c>
      <c r="U559">
        <v>3769.46</v>
      </c>
      <c r="V559">
        <v>0.05</v>
      </c>
      <c r="W559">
        <v>32228.880000000001</v>
      </c>
      <c r="X559">
        <v>24971.360000000001</v>
      </c>
      <c r="Y559">
        <v>7257.52</v>
      </c>
      <c r="Z559" t="s">
        <v>34</v>
      </c>
      <c r="AA559" t="s">
        <v>78</v>
      </c>
    </row>
    <row r="560" spans="1:27">
      <c r="A560" t="s">
        <v>2686</v>
      </c>
      <c r="B560" t="s">
        <v>2687</v>
      </c>
      <c r="C560" t="s">
        <v>2688</v>
      </c>
      <c r="D560"/>
      <c r="E560" s="7">
        <f>IF(OR(D560="Invalid",D560&lt;0),"",D560)</f>
        <v>0</v>
      </c>
      <c r="F560" t="s">
        <v>2689</v>
      </c>
      <c r="G560" t="s">
        <v>107</v>
      </c>
      <c r="H560" t="str">
        <f>PROPER(TRIM(G560))</f>
        <v>Aditi Sen</v>
      </c>
      <c r="I560" t="s">
        <v>108</v>
      </c>
      <c r="J560" t="str">
        <f>PROPER(TRIM(I560))</f>
        <v>Corporate</v>
      </c>
      <c r="K560" t="s">
        <v>27</v>
      </c>
      <c r="L560" t="s">
        <v>154</v>
      </c>
      <c r="M560" t="s">
        <v>155</v>
      </c>
      <c r="N560" t="s">
        <v>86</v>
      </c>
      <c r="O560" t="str">
        <f>TRIM(N560)</f>
        <v>Technology</v>
      </c>
      <c r="P560" t="s">
        <v>382</v>
      </c>
      <c r="Q560" t="s">
        <v>2690</v>
      </c>
      <c r="R560" t="s">
        <v>56</v>
      </c>
      <c r="S560" t="s">
        <v>56</v>
      </c>
      <c r="T560">
        <v>8</v>
      </c>
      <c r="U560">
        <v>3079.95</v>
      </c>
      <c r="V560">
        <v>0.2</v>
      </c>
      <c r="W560">
        <v>19711.68</v>
      </c>
      <c r="X560">
        <v>14461.8</v>
      </c>
      <c r="Y560">
        <v>5249.88</v>
      </c>
      <c r="Z560" t="s">
        <v>34</v>
      </c>
      <c r="AA560" t="s">
        <v>35</v>
      </c>
    </row>
    <row r="561" spans="1:27">
      <c r="A561" t="s">
        <v>2691</v>
      </c>
      <c r="B561" t="s">
        <v>2257</v>
      </c>
      <c r="C561" t="s">
        <v>2692</v>
      </c>
      <c r="D561"/>
      <c r="E561" s="7">
        <f>IF(OR(D561="Invalid",D561&lt;0),"",D561)</f>
        <v>0</v>
      </c>
      <c r="F561" t="s">
        <v>2693</v>
      </c>
      <c r="G561" t="s">
        <v>210</v>
      </c>
      <c r="H561" t="str">
        <f>PROPER(TRIM(G561))</f>
        <v>Diya Patel</v>
      </c>
      <c r="I561" t="s">
        <v>108</v>
      </c>
      <c r="J561" t="str">
        <f>PROPER(TRIM(I561))</f>
        <v>Corporate</v>
      </c>
      <c r="K561" t="s">
        <v>42</v>
      </c>
      <c r="L561" t="s">
        <v>186</v>
      </c>
      <c r="M561" t="s">
        <v>187</v>
      </c>
      <c r="N561" t="s">
        <v>86</v>
      </c>
      <c r="O561" t="str">
        <f>TRIM(N561)</f>
        <v>Technology</v>
      </c>
      <c r="P561" t="s">
        <v>94</v>
      </c>
      <c r="Q561" t="s">
        <v>2694</v>
      </c>
      <c r="R561" t="s">
        <v>33</v>
      </c>
      <c r="S561" t="s">
        <v>33</v>
      </c>
      <c r="T561">
        <v>5</v>
      </c>
      <c r="U561">
        <v>3277.82</v>
      </c>
      <c r="V561">
        <v>0.1</v>
      </c>
      <c r="W561">
        <v>14750.19</v>
      </c>
      <c r="X561">
        <v>9482.58</v>
      </c>
      <c r="Y561">
        <v>5267.61</v>
      </c>
      <c r="Z561" t="s">
        <v>34</v>
      </c>
      <c r="AA561" t="s">
        <v>125</v>
      </c>
    </row>
    <row r="562" spans="1:27">
      <c r="A562" t="s">
        <v>2695</v>
      </c>
      <c r="B562" t="s">
        <v>2696</v>
      </c>
      <c r="C562" t="s">
        <v>1058</v>
      </c>
      <c r="D562"/>
      <c r="E562" s="7">
        <f>IF(OR(D562="Invalid",D562&lt;0),"",D562)</f>
        <v>0</v>
      </c>
      <c r="F562" t="s">
        <v>2697</v>
      </c>
      <c r="G562" t="s">
        <v>61</v>
      </c>
      <c r="H562" t="str">
        <f>PROPER(TRIM(G562))</f>
        <v>Arjun Bose</v>
      </c>
      <c r="I562" t="s">
        <v>26</v>
      </c>
      <c r="J562" t="str">
        <f>PROPER(TRIM(I562))</f>
        <v>Consumer</v>
      </c>
      <c r="K562" t="s">
        <v>73</v>
      </c>
      <c r="L562" t="s">
        <v>249</v>
      </c>
      <c r="M562" t="s">
        <v>250</v>
      </c>
      <c r="N562" t="s">
        <v>30</v>
      </c>
      <c r="O562" t="str">
        <f>TRIM(N562)</f>
        <v>Office Supplies</v>
      </c>
      <c r="P562" t="s">
        <v>156</v>
      </c>
      <c r="Q562" t="s">
        <v>2698</v>
      </c>
      <c r="R562" t="s">
        <v>67</v>
      </c>
      <c r="S562" t="s">
        <v>67</v>
      </c>
      <c r="T562">
        <v>4</v>
      </c>
      <c r="U562">
        <v>282.52999999999997</v>
      </c>
      <c r="V562">
        <v>0</v>
      </c>
      <c r="W562">
        <v>1130.1199999999999</v>
      </c>
      <c r="X562">
        <v>848.62</v>
      </c>
      <c r="Y562">
        <v>281.5</v>
      </c>
      <c r="Z562" t="s">
        <v>34</v>
      </c>
      <c r="AA562" t="s">
        <v>78</v>
      </c>
    </row>
    <row r="563" spans="1:27">
      <c r="A563" t="s">
        <v>2699</v>
      </c>
      <c r="B563" t="s">
        <v>762</v>
      </c>
      <c r="C563" t="s">
        <v>2700</v>
      </c>
      <c r="D563"/>
      <c r="E563" s="7">
        <f>IF(OR(D563="Invalid",D563&lt;0),"",D563)</f>
        <v>0</v>
      </c>
      <c r="F563" t="s">
        <v>2701</v>
      </c>
      <c r="G563" t="s">
        <v>107</v>
      </c>
      <c r="H563" t="str">
        <f>PROPER(TRIM(G563))</f>
        <v>Aditi Sen</v>
      </c>
      <c r="I563" t="s">
        <v>26</v>
      </c>
      <c r="J563" t="str">
        <f>PROPER(TRIM(I563))</f>
        <v>Consumer</v>
      </c>
      <c r="K563" t="s">
        <v>27</v>
      </c>
      <c r="L563" t="s">
        <v>154</v>
      </c>
      <c r="M563" t="s">
        <v>155</v>
      </c>
      <c r="N563" t="s">
        <v>86</v>
      </c>
      <c r="O563" t="str">
        <f>TRIM(N563)</f>
        <v>Technology</v>
      </c>
      <c r="P563" t="s">
        <v>94</v>
      </c>
      <c r="Q563" t="s">
        <v>2702</v>
      </c>
      <c r="R563" t="s">
        <v>56</v>
      </c>
      <c r="S563" t="s">
        <v>56</v>
      </c>
      <c r="T563">
        <v>4</v>
      </c>
      <c r="U563">
        <v>725.22</v>
      </c>
      <c r="V563">
        <v>0</v>
      </c>
      <c r="W563">
        <v>2900.88</v>
      </c>
      <c r="X563">
        <v>2391.85</v>
      </c>
      <c r="Y563">
        <v>509.03</v>
      </c>
      <c r="Z563" t="s">
        <v>137</v>
      </c>
      <c r="AA563" t="s">
        <v>125</v>
      </c>
    </row>
    <row r="564" spans="1:27">
      <c r="A564" t="s">
        <v>2703</v>
      </c>
      <c r="B564" t="s">
        <v>2704</v>
      </c>
      <c r="C564" t="s">
        <v>2641</v>
      </c>
      <c r="D564"/>
      <c r="E564" s="7">
        <f>IF(OR(D564="Invalid",D564&lt;0),"",D564)</f>
        <v>0</v>
      </c>
      <c r="F564" t="s">
        <v>2705</v>
      </c>
      <c r="G564" t="s">
        <v>25</v>
      </c>
      <c r="H564" t="str">
        <f>PROPER(TRIM(G564))</f>
        <v>Karan Malhotra</v>
      </c>
      <c r="I564" t="s">
        <v>26</v>
      </c>
      <c r="J564" t="str">
        <f>PROPER(TRIM(I564))</f>
        <v>Consumer</v>
      </c>
      <c r="K564" t="s">
        <v>27</v>
      </c>
      <c r="L564" t="s">
        <v>154</v>
      </c>
      <c r="M564" t="s">
        <v>155</v>
      </c>
      <c r="N564" t="s">
        <v>30</v>
      </c>
      <c r="O564" t="str">
        <f>TRIM(N564)</f>
        <v>Office Supplies</v>
      </c>
      <c r="P564" t="s">
        <v>198</v>
      </c>
      <c r="Q564" t="s">
        <v>2706</v>
      </c>
      <c r="R564" t="s">
        <v>48</v>
      </c>
      <c r="S564" t="s">
        <v>48</v>
      </c>
      <c r="T564">
        <v>7</v>
      </c>
      <c r="U564">
        <v>121.54</v>
      </c>
      <c r="V564">
        <v>0.2</v>
      </c>
      <c r="W564">
        <v>680.62</v>
      </c>
      <c r="X564">
        <v>463.49</v>
      </c>
      <c r="Y564">
        <v>217.13</v>
      </c>
      <c r="Z564" t="s">
        <v>200</v>
      </c>
      <c r="AA564" t="s">
        <v>125</v>
      </c>
    </row>
    <row r="565" spans="1:27">
      <c r="A565" t="s">
        <v>2707</v>
      </c>
      <c r="B565" t="s">
        <v>2708</v>
      </c>
      <c r="C565" t="s">
        <v>1784</v>
      </c>
      <c r="D565"/>
      <c r="E565" s="7">
        <f>IF(OR(D565="Invalid",D565&lt;0),"",D565)</f>
        <v>0</v>
      </c>
      <c r="F565" t="s">
        <v>2709</v>
      </c>
      <c r="G565" t="s">
        <v>61</v>
      </c>
      <c r="H565" t="str">
        <f>PROPER(TRIM(G565))</f>
        <v>Arjun Bose</v>
      </c>
      <c r="I565" t="s">
        <v>108</v>
      </c>
      <c r="J565" t="str">
        <f>PROPER(TRIM(I565))</f>
        <v>Corporate</v>
      </c>
      <c r="K565" t="s">
        <v>73</v>
      </c>
      <c r="L565" t="s">
        <v>249</v>
      </c>
      <c r="M565" t="s">
        <v>250</v>
      </c>
      <c r="N565" t="s">
        <v>45</v>
      </c>
      <c r="O565" t="str">
        <f>TRIM(N565)</f>
        <v>Furniture</v>
      </c>
      <c r="P565" t="s">
        <v>46</v>
      </c>
      <c r="Q565" t="s">
        <v>2710</v>
      </c>
      <c r="R565" t="s">
        <v>67</v>
      </c>
      <c r="S565" t="s">
        <v>67</v>
      </c>
      <c r="T565">
        <v>9</v>
      </c>
      <c r="U565">
        <v>790.97</v>
      </c>
      <c r="V565">
        <v>0.2</v>
      </c>
      <c r="W565">
        <v>5694.98</v>
      </c>
      <c r="X565">
        <v>4618.33</v>
      </c>
      <c r="Y565">
        <v>1076.6500000000001</v>
      </c>
      <c r="Z565" t="s">
        <v>137</v>
      </c>
      <c r="AA565" t="s">
        <v>78</v>
      </c>
    </row>
    <row r="566" spans="1:27">
      <c r="A566" t="s">
        <v>2711</v>
      </c>
      <c r="B566" t="s">
        <v>105</v>
      </c>
      <c r="C566" t="s">
        <v>2712</v>
      </c>
      <c r="D566"/>
      <c r="E566" s="7">
        <f>IF(OR(D566="Invalid",D566&lt;0),"",D566)</f>
        <v>0</v>
      </c>
      <c r="F566" t="s">
        <v>2713</v>
      </c>
      <c r="G566" t="s">
        <v>168</v>
      </c>
      <c r="H566" t="str">
        <f>PROPER(TRIM(G566))</f>
        <v>Sneha Kapoor</v>
      </c>
      <c r="I566" t="s">
        <v>108</v>
      </c>
      <c r="J566" t="str">
        <f>PROPER(TRIM(I566))</f>
        <v>Corporate</v>
      </c>
      <c r="K566" t="s">
        <v>62</v>
      </c>
      <c r="L566" t="s">
        <v>100</v>
      </c>
      <c r="M566" t="s">
        <v>101</v>
      </c>
      <c r="N566" t="s">
        <v>45</v>
      </c>
      <c r="O566" t="str">
        <f>TRIM(N566)</f>
        <v>Furniture</v>
      </c>
      <c r="P566" t="s">
        <v>46</v>
      </c>
      <c r="Q566" t="s">
        <v>2714</v>
      </c>
      <c r="R566" t="s">
        <v>56</v>
      </c>
      <c r="S566" t="s">
        <v>56</v>
      </c>
      <c r="T566">
        <v>2</v>
      </c>
      <c r="U566">
        <v>921.34</v>
      </c>
      <c r="V566">
        <v>0.2</v>
      </c>
      <c r="W566">
        <v>1474.14</v>
      </c>
      <c r="X566">
        <v>968.46</v>
      </c>
      <c r="Y566">
        <v>505.68</v>
      </c>
      <c r="Z566" t="s">
        <v>34</v>
      </c>
      <c r="AA566" t="s">
        <v>35</v>
      </c>
    </row>
    <row r="567" spans="1:27">
      <c r="A567" t="s">
        <v>2715</v>
      </c>
      <c r="B567" t="s">
        <v>2716</v>
      </c>
      <c r="C567" t="s">
        <v>240</v>
      </c>
      <c r="D567"/>
      <c r="E567" s="7">
        <f>IF(OR(D567="Invalid",D567&lt;0),"",D567)</f>
        <v>0</v>
      </c>
      <c r="F567" t="s">
        <v>2717</v>
      </c>
      <c r="G567" t="s">
        <v>40</v>
      </c>
      <c r="H567" t="str">
        <f>PROPER(TRIM(G567))</f>
        <v>Mira Das</v>
      </c>
      <c r="I567" t="s">
        <v>108</v>
      </c>
      <c r="J567" t="str">
        <f>PROPER(TRIM(I567))</f>
        <v>Corporate</v>
      </c>
      <c r="K567" t="s">
        <v>27</v>
      </c>
      <c r="L567" t="s">
        <v>506</v>
      </c>
      <c r="M567" t="s">
        <v>507</v>
      </c>
      <c r="N567" t="s">
        <v>86</v>
      </c>
      <c r="O567" t="str">
        <f>TRIM(N567)</f>
        <v>Technology</v>
      </c>
      <c r="P567" t="s">
        <v>223</v>
      </c>
      <c r="Q567" t="s">
        <v>2718</v>
      </c>
      <c r="R567" t="s">
        <v>67</v>
      </c>
      <c r="S567" t="s">
        <v>67</v>
      </c>
      <c r="T567">
        <v>6</v>
      </c>
      <c r="U567">
        <v>1921.86</v>
      </c>
      <c r="V567">
        <v>0.2</v>
      </c>
      <c r="W567">
        <v>9224.93</v>
      </c>
      <c r="X567">
        <v>7005.2</v>
      </c>
      <c r="Y567">
        <v>2219.73</v>
      </c>
      <c r="Z567" t="s">
        <v>124</v>
      </c>
      <c r="AA567" t="s">
        <v>78</v>
      </c>
    </row>
    <row r="568" spans="1:27">
      <c r="A568" t="s">
        <v>2719</v>
      </c>
      <c r="B568" t="s">
        <v>2438</v>
      </c>
      <c r="C568" t="s">
        <v>2720</v>
      </c>
      <c r="D568"/>
      <c r="E568" s="7">
        <f>IF(OR(D568="Invalid",D568&lt;0),"",D568)</f>
        <v>0</v>
      </c>
      <c r="F568" t="s">
        <v>2721</v>
      </c>
      <c r="G568" t="s">
        <v>168</v>
      </c>
      <c r="H568" t="str">
        <f>PROPER(TRIM(G568))</f>
        <v>Sneha Kapoor</v>
      </c>
      <c r="I568" t="s">
        <v>41</v>
      </c>
      <c r="J568" t="str">
        <f>PROPER(TRIM(I568))</f>
        <v>Small Business</v>
      </c>
      <c r="K568" t="s">
        <v>73</v>
      </c>
      <c r="L568" t="s">
        <v>74</v>
      </c>
      <c r="M568" t="s">
        <v>75</v>
      </c>
      <c r="N568" t="s">
        <v>30</v>
      </c>
      <c r="O568" t="str">
        <f>TRIM(N568)</f>
        <v>Office Supplies</v>
      </c>
      <c r="P568" t="s">
        <v>31</v>
      </c>
      <c r="Q568" t="s">
        <v>2722</v>
      </c>
      <c r="R568" t="s">
        <v>48</v>
      </c>
      <c r="S568" t="s">
        <v>48</v>
      </c>
      <c r="T568">
        <v>2</v>
      </c>
      <c r="U568">
        <v>2617.89</v>
      </c>
      <c r="V568">
        <v>0.1</v>
      </c>
      <c r="W568">
        <v>4712.2</v>
      </c>
      <c r="X568">
        <v>3851.91</v>
      </c>
      <c r="Y568">
        <v>860.29</v>
      </c>
      <c r="Z568" t="s">
        <v>200</v>
      </c>
      <c r="AA568" t="s">
        <v>125</v>
      </c>
    </row>
    <row r="569" spans="1:27">
      <c r="A569" t="s">
        <v>2723</v>
      </c>
      <c r="B569" t="s">
        <v>2724</v>
      </c>
      <c r="C569" t="s">
        <v>2725</v>
      </c>
      <c r="D569"/>
      <c r="E569" s="7">
        <f>IF(OR(D569="Invalid",D569&lt;0),"",D569)</f>
        <v>0</v>
      </c>
      <c r="F569" t="s">
        <v>2726</v>
      </c>
      <c r="G569" t="s">
        <v>61</v>
      </c>
      <c r="H569" t="str">
        <f>PROPER(TRIM(G569))</f>
        <v>Arjun Bose</v>
      </c>
      <c r="I569" t="s">
        <v>115</v>
      </c>
      <c r="J569" t="str">
        <f>PROPER(TRIM(I569))</f>
        <v>Home Office</v>
      </c>
      <c r="K569" t="s">
        <v>27</v>
      </c>
      <c r="L569" t="s">
        <v>174</v>
      </c>
      <c r="M569" t="s">
        <v>175</v>
      </c>
      <c r="N569" t="s">
        <v>45</v>
      </c>
      <c r="O569" t="str">
        <f>TRIM(N569)</f>
        <v>Furniture</v>
      </c>
      <c r="P569" t="s">
        <v>65</v>
      </c>
      <c r="Q569" t="s">
        <v>900</v>
      </c>
      <c r="R569" t="s">
        <v>48</v>
      </c>
      <c r="S569" t="s">
        <v>48</v>
      </c>
      <c r="T569">
        <v>1</v>
      </c>
      <c r="U569">
        <v>1374.06</v>
      </c>
      <c r="V569">
        <v>0.05</v>
      </c>
      <c r="W569">
        <v>1305.3599999999999</v>
      </c>
      <c r="X569">
        <v>731.89</v>
      </c>
      <c r="Y569">
        <v>573.47</v>
      </c>
      <c r="Z569" t="s">
        <v>34</v>
      </c>
      <c r="AA569" t="s">
        <v>35</v>
      </c>
    </row>
    <row r="570" spans="1:27">
      <c r="A570" t="s">
        <v>2727</v>
      </c>
      <c r="B570" t="s">
        <v>1719</v>
      </c>
      <c r="C570" t="s">
        <v>2728</v>
      </c>
      <c r="D570"/>
      <c r="E570" s="7">
        <f>IF(OR(D570="Invalid",D570&lt;0),"",D570)</f>
        <v>0</v>
      </c>
      <c r="F570" t="s">
        <v>2729</v>
      </c>
      <c r="G570" t="s">
        <v>366</v>
      </c>
      <c r="H570" t="str">
        <f>PROPER(TRIM(G570))</f>
        <v>Kabir Singh</v>
      </c>
      <c r="I570" t="s">
        <v>108</v>
      </c>
      <c r="J570" t="str">
        <f>PROPER(TRIM(I570))</f>
        <v>Corporate</v>
      </c>
      <c r="K570" t="s">
        <v>27</v>
      </c>
      <c r="L570" t="s">
        <v>154</v>
      </c>
      <c r="M570" t="s">
        <v>155</v>
      </c>
      <c r="N570" t="s">
        <v>86</v>
      </c>
      <c r="O570" t="str">
        <f>TRIM(N570)</f>
        <v>Technology</v>
      </c>
      <c r="P570" t="s">
        <v>382</v>
      </c>
      <c r="Q570" t="s">
        <v>2730</v>
      </c>
      <c r="R570" t="s">
        <v>48</v>
      </c>
      <c r="S570" t="s">
        <v>48</v>
      </c>
      <c r="T570">
        <v>1</v>
      </c>
      <c r="U570">
        <v>3806.3</v>
      </c>
      <c r="V570">
        <v>0.25</v>
      </c>
      <c r="W570">
        <v>2854.73</v>
      </c>
      <c r="X570">
        <v>1968.12</v>
      </c>
      <c r="Y570">
        <v>886.61</v>
      </c>
      <c r="Z570" t="s">
        <v>34</v>
      </c>
      <c r="AA570" t="s">
        <v>35</v>
      </c>
    </row>
    <row r="571" spans="1:27">
      <c r="A571" t="s">
        <v>2731</v>
      </c>
      <c r="B571" t="s">
        <v>2732</v>
      </c>
      <c r="C571" t="s">
        <v>2733</v>
      </c>
      <c r="D571"/>
      <c r="E571" s="7">
        <f>IF(OR(D571="Invalid",D571&lt;0),"",D571)</f>
        <v>0</v>
      </c>
      <c r="F571" t="s">
        <v>2734</v>
      </c>
      <c r="G571" t="s">
        <v>148</v>
      </c>
      <c r="H571" t="str">
        <f>PROPER(TRIM(G571))</f>
        <v>Rahul Verma</v>
      </c>
      <c r="I571" t="s">
        <v>115</v>
      </c>
      <c r="J571" t="str">
        <f>PROPER(TRIM(I571))</f>
        <v>Home Office</v>
      </c>
      <c r="K571" t="s">
        <v>73</v>
      </c>
      <c r="L571" t="s">
        <v>74</v>
      </c>
      <c r="M571" t="s">
        <v>75</v>
      </c>
      <c r="N571" t="s">
        <v>45</v>
      </c>
      <c r="O571" t="str">
        <f>TRIM(N571)</f>
        <v>Furniture</v>
      </c>
      <c r="P571" t="s">
        <v>65</v>
      </c>
      <c r="Q571" t="s">
        <v>2735</v>
      </c>
      <c r="R571" t="s">
        <v>67</v>
      </c>
      <c r="S571" t="s">
        <v>67</v>
      </c>
      <c r="T571">
        <v>6</v>
      </c>
      <c r="U571">
        <v>3251.17</v>
      </c>
      <c r="V571">
        <v>0.25</v>
      </c>
      <c r="W571">
        <v>14630.26</v>
      </c>
      <c r="X571">
        <v>11906.36</v>
      </c>
      <c r="Y571">
        <v>2723.9</v>
      </c>
      <c r="Z571" t="s">
        <v>124</v>
      </c>
      <c r="AA571" t="s">
        <v>125</v>
      </c>
    </row>
    <row r="572" spans="1:27">
      <c r="A572" t="s">
        <v>2736</v>
      </c>
      <c r="B572" t="s">
        <v>921</v>
      </c>
      <c r="C572" t="s">
        <v>698</v>
      </c>
      <c r="D572"/>
      <c r="E572" s="7">
        <f>IF(OR(D572="Invalid",D572&lt;0),"",D572)</f>
        <v>0</v>
      </c>
      <c r="F572" t="s">
        <v>2737</v>
      </c>
      <c r="G572" t="s">
        <v>61</v>
      </c>
      <c r="H572" t="str">
        <f>PROPER(TRIM(G572))</f>
        <v>Arjun Bose</v>
      </c>
      <c r="I572" t="s">
        <v>26</v>
      </c>
      <c r="J572" t="str">
        <f>PROPER(TRIM(I572))</f>
        <v>Consumer</v>
      </c>
      <c r="K572" t="s">
        <v>42</v>
      </c>
      <c r="L572" t="s">
        <v>311</v>
      </c>
      <c r="M572" t="s">
        <v>312</v>
      </c>
      <c r="N572" t="s">
        <v>45</v>
      </c>
      <c r="O572" t="str">
        <f>TRIM(N572)</f>
        <v>Furniture</v>
      </c>
      <c r="P572" t="s">
        <v>65</v>
      </c>
      <c r="Q572" t="s">
        <v>2738</v>
      </c>
      <c r="R572" t="s">
        <v>33</v>
      </c>
      <c r="S572" t="s">
        <v>33</v>
      </c>
      <c r="T572">
        <v>3</v>
      </c>
      <c r="U572">
        <v>3946.44</v>
      </c>
      <c r="V572">
        <v>0.25</v>
      </c>
      <c r="W572">
        <v>8879.49</v>
      </c>
      <c r="X572">
        <v>6344.57</v>
      </c>
      <c r="Y572">
        <v>2534.92</v>
      </c>
      <c r="Z572" t="s">
        <v>200</v>
      </c>
      <c r="AA572" t="s">
        <v>125</v>
      </c>
    </row>
    <row r="573" spans="1:27">
      <c r="A573" t="s">
        <v>2739</v>
      </c>
      <c r="B573" t="s">
        <v>2675</v>
      </c>
      <c r="C573" t="s">
        <v>2740</v>
      </c>
      <c r="D573"/>
      <c r="E573" s="7">
        <f>IF(OR(D573="Invalid",D573&lt;0),"",D573)</f>
        <v>0</v>
      </c>
      <c r="F573" t="s">
        <v>2741</v>
      </c>
      <c r="G573" t="s">
        <v>142</v>
      </c>
      <c r="H573" t="str">
        <f>PROPER(TRIM(G573))</f>
        <v>Priya Menon</v>
      </c>
      <c r="I573" t="s">
        <v>41</v>
      </c>
      <c r="J573" t="str">
        <f>PROPER(TRIM(I573))</f>
        <v>Small Business</v>
      </c>
      <c r="K573" t="s">
        <v>27</v>
      </c>
      <c r="L573" t="s">
        <v>174</v>
      </c>
      <c r="M573" t="s">
        <v>175</v>
      </c>
      <c r="N573" t="s">
        <v>86</v>
      </c>
      <c r="O573" t="str">
        <f>TRIM(N573)</f>
        <v>Technology</v>
      </c>
      <c r="P573" t="s">
        <v>223</v>
      </c>
      <c r="Q573" t="s">
        <v>2742</v>
      </c>
      <c r="R573" t="s">
        <v>4124</v>
      </c>
      <c r="S573" t="s">
        <v>4111</v>
      </c>
      <c r="T573">
        <v>5</v>
      </c>
      <c r="U573">
        <v>4276.29</v>
      </c>
      <c r="V573">
        <v>0</v>
      </c>
      <c r="W573">
        <v>21381.45</v>
      </c>
      <c r="X573">
        <v>13240.21</v>
      </c>
      <c r="Y573">
        <v>8141.24</v>
      </c>
      <c r="Z573" t="s">
        <v>200</v>
      </c>
      <c r="AA573" t="s">
        <v>125</v>
      </c>
    </row>
    <row r="574" spans="1:27">
      <c r="A574" t="s">
        <v>2743</v>
      </c>
      <c r="B574" t="s">
        <v>2744</v>
      </c>
      <c r="C574" t="s">
        <v>2745</v>
      </c>
      <c r="D574"/>
      <c r="E574" s="7">
        <f>IF(OR(D574="Invalid",D574&lt;0),"",D574)</f>
        <v>0</v>
      </c>
      <c r="F574" t="s">
        <v>2746</v>
      </c>
      <c r="G574" t="s">
        <v>210</v>
      </c>
      <c r="H574" t="str">
        <f>PROPER(TRIM(G574))</f>
        <v>Diya Patel</v>
      </c>
      <c r="I574" t="s">
        <v>108</v>
      </c>
      <c r="J574" t="str">
        <f>PROPER(TRIM(I574))</f>
        <v>Corporate</v>
      </c>
      <c r="K574" t="s">
        <v>27</v>
      </c>
      <c r="L574" t="s">
        <v>506</v>
      </c>
      <c r="M574" t="s">
        <v>507</v>
      </c>
      <c r="N574" t="s">
        <v>86</v>
      </c>
      <c r="O574" t="str">
        <f>TRIM(N574)</f>
        <v>Technology</v>
      </c>
      <c r="P574" t="s">
        <v>223</v>
      </c>
      <c r="Q574" t="s">
        <v>2747</v>
      </c>
      <c r="R574" t="s">
        <v>67</v>
      </c>
      <c r="S574" t="s">
        <v>67</v>
      </c>
      <c r="T574">
        <v>3</v>
      </c>
      <c r="U574">
        <v>739.56</v>
      </c>
      <c r="V574">
        <v>0.2</v>
      </c>
      <c r="W574">
        <v>1774.94</v>
      </c>
      <c r="X574">
        <v>1007.4</v>
      </c>
      <c r="Y574">
        <v>767.54</v>
      </c>
      <c r="Z574" t="s">
        <v>34</v>
      </c>
      <c r="AA574" t="s">
        <v>35</v>
      </c>
    </row>
    <row r="575" spans="1:27">
      <c r="A575" t="s">
        <v>2748</v>
      </c>
      <c r="B575" t="s">
        <v>2749</v>
      </c>
      <c r="C575" t="s">
        <v>2750</v>
      </c>
      <c r="D575"/>
      <c r="E575" s="7">
        <f>IF(OR(D575="Invalid",D575&lt;0),"",D575)</f>
        <v>0</v>
      </c>
      <c r="F575" t="s">
        <v>2751</v>
      </c>
      <c r="G575" t="s">
        <v>53</v>
      </c>
      <c r="H575" t="str">
        <f>PROPER(TRIM(G575))</f>
        <v>Isha Nair</v>
      </c>
      <c r="I575" t="s">
        <v>26</v>
      </c>
      <c r="J575" t="str">
        <f>PROPER(TRIM(I575))</f>
        <v>Consumer</v>
      </c>
      <c r="K575" t="s">
        <v>62</v>
      </c>
      <c r="L575" t="s">
        <v>100</v>
      </c>
      <c r="M575" t="s">
        <v>101</v>
      </c>
      <c r="N575" t="s">
        <v>86</v>
      </c>
      <c r="O575" t="str">
        <f>TRIM(N575)</f>
        <v>Technology</v>
      </c>
      <c r="P575" t="s">
        <v>223</v>
      </c>
      <c r="Q575" t="s">
        <v>2752</v>
      </c>
      <c r="R575" t="s">
        <v>67</v>
      </c>
      <c r="S575" t="s">
        <v>67</v>
      </c>
      <c r="T575">
        <v>1</v>
      </c>
      <c r="U575">
        <v>573.65</v>
      </c>
      <c r="V575">
        <v>0</v>
      </c>
      <c r="W575">
        <v>573.65</v>
      </c>
      <c r="X575">
        <v>322.67</v>
      </c>
      <c r="Y575">
        <v>250.98</v>
      </c>
      <c r="Z575" t="s">
        <v>34</v>
      </c>
      <c r="AA575" t="s">
        <v>35</v>
      </c>
    </row>
    <row r="576" spans="1:27">
      <c r="A576" t="s">
        <v>2753</v>
      </c>
      <c r="B576" t="s">
        <v>2754</v>
      </c>
      <c r="C576" t="s">
        <v>1645</v>
      </c>
      <c r="D576"/>
      <c r="E576" s="7">
        <f>IF(OR(D576="Invalid",D576&lt;0),"",D576)</f>
        <v>0</v>
      </c>
      <c r="F576" t="s">
        <v>1226</v>
      </c>
      <c r="G576" t="s">
        <v>210</v>
      </c>
      <c r="H576" t="str">
        <f>PROPER(TRIM(G576))</f>
        <v>Diya Patel</v>
      </c>
      <c r="I576" t="s">
        <v>115</v>
      </c>
      <c r="J576" t="str">
        <f>PROPER(TRIM(I576))</f>
        <v>Home Office</v>
      </c>
      <c r="K576" t="s">
        <v>27</v>
      </c>
      <c r="L576" t="s">
        <v>154</v>
      </c>
      <c r="M576" t="s">
        <v>155</v>
      </c>
      <c r="N576" t="s">
        <v>86</v>
      </c>
      <c r="O576" t="str">
        <f>TRIM(N576)</f>
        <v>Technology</v>
      </c>
      <c r="P576" t="s">
        <v>382</v>
      </c>
      <c r="Q576" t="s">
        <v>2755</v>
      </c>
      <c r="R576" t="s">
        <v>67</v>
      </c>
      <c r="S576" t="s">
        <v>67</v>
      </c>
      <c r="T576">
        <v>4</v>
      </c>
      <c r="U576">
        <v>1355.8</v>
      </c>
      <c r="V576">
        <v>0</v>
      </c>
      <c r="W576">
        <v>5423.2</v>
      </c>
      <c r="X576">
        <v>4072.44</v>
      </c>
      <c r="Y576">
        <v>1350.76</v>
      </c>
      <c r="Z576" t="s">
        <v>34</v>
      </c>
      <c r="AA576" t="s">
        <v>35</v>
      </c>
    </row>
    <row r="577" spans="1:27">
      <c r="A577" t="s">
        <v>2756</v>
      </c>
      <c r="B577" t="s">
        <v>2757</v>
      </c>
      <c r="C577" t="s">
        <v>2758</v>
      </c>
      <c r="D577"/>
      <c r="E577" s="7">
        <f>IF(OR(D577="Invalid",D577&lt;0),"",D577)</f>
        <v>0</v>
      </c>
      <c r="F577" t="s">
        <v>2759</v>
      </c>
      <c r="G577" t="s">
        <v>168</v>
      </c>
      <c r="H577" t="str">
        <f>PROPER(TRIM(G577))</f>
        <v>Sneha Kapoor</v>
      </c>
      <c r="I577" t="s">
        <v>115</v>
      </c>
      <c r="J577" t="str">
        <f>PROPER(TRIM(I577))</f>
        <v>Home Office</v>
      </c>
      <c r="K577" t="s">
        <v>62</v>
      </c>
      <c r="L577" t="s">
        <v>242</v>
      </c>
      <c r="M577" t="s">
        <v>243</v>
      </c>
      <c r="N577" t="s">
        <v>45</v>
      </c>
      <c r="O577" t="str">
        <f>TRIM(N577)</f>
        <v>Furniture</v>
      </c>
      <c r="P577" t="s">
        <v>65</v>
      </c>
      <c r="Q577" t="s">
        <v>2760</v>
      </c>
      <c r="R577" t="s">
        <v>48</v>
      </c>
      <c r="S577" t="s">
        <v>48</v>
      </c>
      <c r="T577">
        <v>4</v>
      </c>
      <c r="U577">
        <v>1244.82</v>
      </c>
      <c r="V577">
        <v>0.2</v>
      </c>
      <c r="W577">
        <v>3983.42</v>
      </c>
      <c r="X577">
        <v>3174.91</v>
      </c>
      <c r="Y577">
        <v>808.51</v>
      </c>
      <c r="Z577" t="s">
        <v>200</v>
      </c>
      <c r="AA577" t="s">
        <v>125</v>
      </c>
    </row>
    <row r="578" spans="1:27">
      <c r="A578" t="s">
        <v>2761</v>
      </c>
      <c r="B578" s="4" t="s">
        <v>2762</v>
      </c>
      <c r="C578" s="4" t="s">
        <v>2763</v>
      </c>
      <c r="D578" s="4" t="str">
        <f>IF(C466&lt;B466,"Invalid","OK")</f>
        <v>Invalid</v>
      </c>
      <c r="E578" s="7" t="str">
        <f>IF(OR(D578="Invalid",D578&lt;0),"",D578)</f>
        <v/>
      </c>
      <c r="F578" t="s">
        <v>2764</v>
      </c>
      <c r="G578" t="s">
        <v>180</v>
      </c>
      <c r="H578" t="str">
        <f>PROPER(TRIM(G578))</f>
        <v>Rohan Mehta</v>
      </c>
      <c r="I578" t="s">
        <v>115</v>
      </c>
      <c r="J578" t="str">
        <f>PROPER(TRIM(I578))</f>
        <v>Home Office</v>
      </c>
      <c r="K578" t="s">
        <v>42</v>
      </c>
      <c r="L578" t="s">
        <v>186</v>
      </c>
      <c r="M578" t="s">
        <v>187</v>
      </c>
      <c r="N578" t="s">
        <v>30</v>
      </c>
      <c r="O578" t="str">
        <f>TRIM(N578)</f>
        <v>Office Supplies</v>
      </c>
      <c r="P578" t="s">
        <v>198</v>
      </c>
      <c r="Q578" t="s">
        <v>2765</v>
      </c>
      <c r="R578" t="s">
        <v>67</v>
      </c>
      <c r="S578" t="s">
        <v>67</v>
      </c>
      <c r="T578">
        <v>9</v>
      </c>
      <c r="U578">
        <v>2614.46</v>
      </c>
      <c r="V578">
        <v>0</v>
      </c>
      <c r="W578">
        <v>23530.14</v>
      </c>
      <c r="X578">
        <v>19537.79</v>
      </c>
      <c r="Y578">
        <v>3992.35</v>
      </c>
      <c r="Z578" t="s">
        <v>124</v>
      </c>
      <c r="AA578" t="s">
        <v>125</v>
      </c>
    </row>
    <row r="579" spans="1:27">
      <c r="A579" t="s">
        <v>2766</v>
      </c>
      <c r="B579" t="s">
        <v>435</v>
      </c>
      <c r="C579" t="s">
        <v>2767</v>
      </c>
      <c r="D579"/>
      <c r="E579" s="7">
        <f>IF(OR(D579="Invalid",D579&lt;0),"",D579)</f>
        <v>0</v>
      </c>
      <c r="F579" t="s">
        <v>2768</v>
      </c>
      <c r="G579" t="s">
        <v>142</v>
      </c>
      <c r="H579" t="str">
        <f>PROPER(TRIM(G579))</f>
        <v>Priya Menon</v>
      </c>
      <c r="I579" t="s">
        <v>108</v>
      </c>
      <c r="J579" t="str">
        <f>PROPER(TRIM(I579))</f>
        <v>Corporate</v>
      </c>
      <c r="K579" t="s">
        <v>73</v>
      </c>
      <c r="L579" t="s">
        <v>84</v>
      </c>
      <c r="M579" t="s">
        <v>85</v>
      </c>
      <c r="N579" t="s">
        <v>45</v>
      </c>
      <c r="O579" t="str">
        <f>TRIM(N579)</f>
        <v>Furniture</v>
      </c>
      <c r="P579" t="s">
        <v>65</v>
      </c>
      <c r="Q579" t="s">
        <v>2769</v>
      </c>
      <c r="R579" t="s">
        <v>67</v>
      </c>
      <c r="S579" t="s">
        <v>67</v>
      </c>
      <c r="T579">
        <v>7</v>
      </c>
      <c r="U579">
        <v>268.45</v>
      </c>
      <c r="V579">
        <v>0</v>
      </c>
      <c r="W579">
        <v>1879.15</v>
      </c>
      <c r="X579">
        <v>1134.9000000000001</v>
      </c>
      <c r="Y579">
        <v>744.25</v>
      </c>
      <c r="Z579" t="s">
        <v>34</v>
      </c>
      <c r="AA579" t="s">
        <v>35</v>
      </c>
    </row>
    <row r="580" spans="1:27">
      <c r="A580" t="s">
        <v>2770</v>
      </c>
      <c r="B580" t="s">
        <v>2771</v>
      </c>
      <c r="C580" t="s">
        <v>2772</v>
      </c>
      <c r="D580"/>
      <c r="E580" s="7">
        <f>IF(OR(D580="Invalid",D580&lt;0),"",D580)</f>
        <v>0</v>
      </c>
      <c r="F580" t="s">
        <v>417</v>
      </c>
      <c r="G580" t="s">
        <v>93</v>
      </c>
      <c r="H580" t="str">
        <f>PROPER(TRIM(G580))</f>
        <v>Neha Gupta</v>
      </c>
      <c r="I580" t="s">
        <v>41</v>
      </c>
      <c r="J580" t="str">
        <f>PROPER(TRIM(I580))</f>
        <v>Small Business</v>
      </c>
      <c r="K580" t="s">
        <v>73</v>
      </c>
      <c r="L580" t="s">
        <v>235</v>
      </c>
      <c r="M580" t="s">
        <v>236</v>
      </c>
      <c r="N580" t="s">
        <v>86</v>
      </c>
      <c r="O580" t="str">
        <f>TRIM(N580)</f>
        <v>Technology</v>
      </c>
      <c r="P580" t="s">
        <v>94</v>
      </c>
      <c r="Q580" t="s">
        <v>2773</v>
      </c>
      <c r="R580" t="s">
        <v>56</v>
      </c>
      <c r="S580" t="s">
        <v>56</v>
      </c>
      <c r="T580">
        <v>6</v>
      </c>
      <c r="U580">
        <v>2633.65</v>
      </c>
      <c r="V580">
        <v>0.05</v>
      </c>
      <c r="W580">
        <v>15011.81</v>
      </c>
      <c r="X580">
        <v>9660.36</v>
      </c>
      <c r="Y580">
        <v>5351.45</v>
      </c>
      <c r="Z580" t="s">
        <v>34</v>
      </c>
      <c r="AA580" t="s">
        <v>35</v>
      </c>
    </row>
    <row r="581" spans="1:27">
      <c r="A581" t="s">
        <v>2774</v>
      </c>
      <c r="B581" t="s">
        <v>2775</v>
      </c>
      <c r="C581" t="s">
        <v>2776</v>
      </c>
      <c r="D581"/>
      <c r="E581" s="7">
        <f>IF(OR(D581="Invalid",D581&lt;0),"",D581)</f>
        <v>0</v>
      </c>
      <c r="F581" t="s">
        <v>2777</v>
      </c>
      <c r="G581" t="s">
        <v>162</v>
      </c>
      <c r="H581" t="str">
        <f>PROPER(TRIM(G581))</f>
        <v>Aarav Sharma</v>
      </c>
      <c r="I581" t="s">
        <v>41</v>
      </c>
      <c r="J581" t="str">
        <f>PROPER(TRIM(I581))</f>
        <v>Small Business</v>
      </c>
      <c r="K581" t="s">
        <v>62</v>
      </c>
      <c r="L581" t="s">
        <v>339</v>
      </c>
      <c r="M581" t="s">
        <v>340</v>
      </c>
      <c r="N581" t="s">
        <v>30</v>
      </c>
      <c r="O581" t="str">
        <f>TRIM(N581)</f>
        <v>Office Supplies</v>
      </c>
      <c r="P581" t="s">
        <v>156</v>
      </c>
      <c r="Q581" t="s">
        <v>2778</v>
      </c>
      <c r="R581" t="s">
        <v>48</v>
      </c>
      <c r="S581" t="s">
        <v>48</v>
      </c>
      <c r="T581">
        <v>1</v>
      </c>
      <c r="U581">
        <v>3202.41</v>
      </c>
      <c r="V581">
        <v>0</v>
      </c>
      <c r="W581">
        <v>3202.41</v>
      </c>
      <c r="X581">
        <v>2608.44</v>
      </c>
      <c r="Y581">
        <v>593.97</v>
      </c>
      <c r="Z581" t="s">
        <v>34</v>
      </c>
      <c r="AA581" t="s">
        <v>35</v>
      </c>
    </row>
    <row r="582" spans="1:27">
      <c r="A582" t="s">
        <v>2779</v>
      </c>
      <c r="B582" t="s">
        <v>2780</v>
      </c>
      <c r="C582" t="s">
        <v>1459</v>
      </c>
      <c r="D582"/>
      <c r="E582" s="7">
        <f>IF(OR(D582="Invalid",D582&lt;0),"",D582)</f>
        <v>0</v>
      </c>
      <c r="F582" t="s">
        <v>2781</v>
      </c>
      <c r="G582" t="s">
        <v>366</v>
      </c>
      <c r="H582" t="str">
        <f>PROPER(TRIM(G582))</f>
        <v>Kabir Singh</v>
      </c>
      <c r="I582" t="s">
        <v>26</v>
      </c>
      <c r="J582" t="str">
        <f>PROPER(TRIM(I582))</f>
        <v>Consumer</v>
      </c>
      <c r="K582" t="s">
        <v>62</v>
      </c>
      <c r="L582" t="s">
        <v>242</v>
      </c>
      <c r="M582" t="s">
        <v>243</v>
      </c>
      <c r="N582" t="s">
        <v>45</v>
      </c>
      <c r="O582" t="str">
        <f>TRIM(N582)</f>
        <v>Furniture</v>
      </c>
      <c r="P582" t="s">
        <v>76</v>
      </c>
      <c r="Q582" t="s">
        <v>2782</v>
      </c>
      <c r="R582" t="s">
        <v>67</v>
      </c>
      <c r="S582" t="s">
        <v>67</v>
      </c>
      <c r="T582">
        <v>3</v>
      </c>
      <c r="U582">
        <v>163.72</v>
      </c>
      <c r="V582">
        <v>0.15</v>
      </c>
      <c r="W582">
        <v>417.49</v>
      </c>
      <c r="X582">
        <v>261.67</v>
      </c>
      <c r="Y582">
        <v>155.82</v>
      </c>
      <c r="Z582" t="s">
        <v>200</v>
      </c>
      <c r="AA582" t="s">
        <v>125</v>
      </c>
    </row>
    <row r="583" spans="1:27">
      <c r="A583" t="s">
        <v>2783</v>
      </c>
      <c r="B583" t="s">
        <v>1343</v>
      </c>
      <c r="C583" t="s">
        <v>2784</v>
      </c>
      <c r="D583"/>
      <c r="E583" s="7">
        <f>IF(OR(D583="Invalid",D583&lt;0),"",D583)</f>
        <v>0</v>
      </c>
      <c r="F583" t="s">
        <v>2785</v>
      </c>
      <c r="G583" t="s">
        <v>93</v>
      </c>
      <c r="H583" t="str">
        <f>PROPER(TRIM(G583))</f>
        <v>Neha Gupta</v>
      </c>
      <c r="I583" t="s">
        <v>26</v>
      </c>
      <c r="J583" t="str">
        <f>PROPER(TRIM(I583))</f>
        <v>Consumer</v>
      </c>
      <c r="K583" t="s">
        <v>27</v>
      </c>
      <c r="L583" t="s">
        <v>506</v>
      </c>
      <c r="M583" t="s">
        <v>507</v>
      </c>
      <c r="N583" t="s">
        <v>30</v>
      </c>
      <c r="O583" t="str">
        <f>TRIM(N583)</f>
        <v>Office Supplies</v>
      </c>
      <c r="P583" t="s">
        <v>54</v>
      </c>
      <c r="Q583" t="s">
        <v>2786</v>
      </c>
      <c r="R583" t="s">
        <v>33</v>
      </c>
      <c r="S583" t="s">
        <v>33</v>
      </c>
      <c r="T583">
        <v>4</v>
      </c>
      <c r="U583">
        <v>4080.95</v>
      </c>
      <c r="V583">
        <v>0</v>
      </c>
      <c r="W583">
        <v>16323.8</v>
      </c>
      <c r="X583">
        <v>9965.7900000000009</v>
      </c>
      <c r="Y583">
        <v>6358.01</v>
      </c>
      <c r="Z583" t="s">
        <v>124</v>
      </c>
      <c r="AA583" t="s">
        <v>125</v>
      </c>
    </row>
    <row r="584" spans="1:27">
      <c r="A584" t="s">
        <v>2787</v>
      </c>
      <c r="B584" t="s">
        <v>2788</v>
      </c>
      <c r="C584" t="s">
        <v>2789</v>
      </c>
      <c r="D584"/>
      <c r="E584" s="7">
        <f>IF(OR(D584="Invalid",D584&lt;0),"",D584)</f>
        <v>0</v>
      </c>
      <c r="F584" t="s">
        <v>2790</v>
      </c>
      <c r="G584" t="s">
        <v>72</v>
      </c>
      <c r="H584" t="str">
        <f>PROPER(TRIM(G584))</f>
        <v>Ananya Rao</v>
      </c>
      <c r="I584" t="s">
        <v>26</v>
      </c>
      <c r="J584" t="str">
        <f>PROPER(TRIM(I584))</f>
        <v>Consumer</v>
      </c>
      <c r="K584" t="s">
        <v>42</v>
      </c>
      <c r="L584" t="s">
        <v>43</v>
      </c>
      <c r="M584" t="s">
        <v>44</v>
      </c>
      <c r="N584" t="s">
        <v>30</v>
      </c>
      <c r="O584" t="str">
        <f>TRIM(N584)</f>
        <v>Office Supplies</v>
      </c>
      <c r="P584" t="s">
        <v>54</v>
      </c>
      <c r="Q584" t="s">
        <v>2791</v>
      </c>
      <c r="R584" t="s">
        <v>56</v>
      </c>
      <c r="S584" t="s">
        <v>56</v>
      </c>
      <c r="T584">
        <v>5</v>
      </c>
      <c r="U584">
        <v>671.24</v>
      </c>
      <c r="V584">
        <v>0</v>
      </c>
      <c r="W584">
        <v>3356.2</v>
      </c>
      <c r="X584">
        <v>2205.7199999999998</v>
      </c>
      <c r="Y584">
        <v>1150.48</v>
      </c>
      <c r="Z584" t="s">
        <v>137</v>
      </c>
      <c r="AA584" t="s">
        <v>125</v>
      </c>
    </row>
    <row r="585" spans="1:27">
      <c r="A585" t="s">
        <v>2792</v>
      </c>
      <c r="B585" t="s">
        <v>626</v>
      </c>
      <c r="C585" t="s">
        <v>2793</v>
      </c>
      <c r="D585"/>
      <c r="E585" s="7">
        <f>IF(OR(D585="Invalid",D585&lt;0),"",D585)</f>
        <v>0</v>
      </c>
      <c r="F585" t="s">
        <v>2794</v>
      </c>
      <c r="G585" t="s">
        <v>180</v>
      </c>
      <c r="H585" t="str">
        <f>PROPER(TRIM(G585))</f>
        <v>Rohan Mehta</v>
      </c>
      <c r="I585" t="s">
        <v>41</v>
      </c>
      <c r="J585" t="str">
        <f>PROPER(TRIM(I585))</f>
        <v>Small Business</v>
      </c>
      <c r="K585" t="s">
        <v>42</v>
      </c>
      <c r="L585" t="s">
        <v>121</v>
      </c>
      <c r="M585" t="s">
        <v>122</v>
      </c>
      <c r="N585" t="s">
        <v>30</v>
      </c>
      <c r="O585" t="str">
        <f>TRIM(N585)</f>
        <v>Office Supplies</v>
      </c>
      <c r="P585" t="s">
        <v>156</v>
      </c>
      <c r="Q585" t="s">
        <v>2795</v>
      </c>
      <c r="R585" t="s">
        <v>56</v>
      </c>
      <c r="S585" t="s">
        <v>56</v>
      </c>
      <c r="T585">
        <v>1</v>
      </c>
      <c r="U585">
        <v>2626.84</v>
      </c>
      <c r="V585">
        <v>0.2</v>
      </c>
      <c r="W585">
        <v>2101.4699999999998</v>
      </c>
      <c r="X585">
        <v>1217.83</v>
      </c>
      <c r="Y585">
        <v>883.64</v>
      </c>
      <c r="Z585" t="s">
        <v>200</v>
      </c>
      <c r="AA585" t="s">
        <v>125</v>
      </c>
    </row>
    <row r="586" spans="1:27">
      <c r="A586" t="s">
        <v>2796</v>
      </c>
      <c r="B586" t="s">
        <v>2797</v>
      </c>
      <c r="C586" t="s">
        <v>2798</v>
      </c>
      <c r="D586"/>
      <c r="E586" s="7">
        <f>IF(OR(D586="Invalid",D586&lt;0),"",D586)</f>
        <v>0</v>
      </c>
      <c r="F586" t="s">
        <v>2799</v>
      </c>
      <c r="G586" t="s">
        <v>83</v>
      </c>
      <c r="H586" t="str">
        <f>PROPER(TRIM(G586))</f>
        <v>Vikram Iyer</v>
      </c>
      <c r="I586" t="s">
        <v>26</v>
      </c>
      <c r="J586" t="str">
        <f>PROPER(TRIM(I586))</f>
        <v>Consumer</v>
      </c>
      <c r="K586" t="s">
        <v>42</v>
      </c>
      <c r="L586" t="s">
        <v>186</v>
      </c>
      <c r="M586" t="s">
        <v>187</v>
      </c>
      <c r="N586" t="s">
        <v>30</v>
      </c>
      <c r="O586" t="str">
        <f>TRIM(N586)</f>
        <v>Office Supplies</v>
      </c>
      <c r="P586" t="s">
        <v>54</v>
      </c>
      <c r="Q586" t="s">
        <v>2800</v>
      </c>
      <c r="R586" t="s">
        <v>48</v>
      </c>
      <c r="S586" t="s">
        <v>48</v>
      </c>
      <c r="T586">
        <v>1</v>
      </c>
      <c r="U586">
        <v>984.93</v>
      </c>
      <c r="V586">
        <v>0.15</v>
      </c>
      <c r="W586">
        <v>837.19</v>
      </c>
      <c r="X586">
        <v>583.79</v>
      </c>
      <c r="Y586">
        <v>253.4</v>
      </c>
      <c r="Z586" t="s">
        <v>137</v>
      </c>
      <c r="AA586" t="s">
        <v>125</v>
      </c>
    </row>
    <row r="587" spans="1:27">
      <c r="A587" t="s">
        <v>2801</v>
      </c>
      <c r="B587" t="s">
        <v>1688</v>
      </c>
      <c r="C587" t="s">
        <v>2802</v>
      </c>
      <c r="D587"/>
      <c r="E587" s="7">
        <f>IF(OR(D587="Invalid",D587&lt;0),"",D587)</f>
        <v>0</v>
      </c>
      <c r="F587" t="s">
        <v>2803</v>
      </c>
      <c r="G587" t="s">
        <v>210</v>
      </c>
      <c r="H587" t="str">
        <f>PROPER(TRIM(G587))</f>
        <v>Diya Patel</v>
      </c>
      <c r="I587" t="s">
        <v>41</v>
      </c>
      <c r="J587" t="str">
        <f>PROPER(TRIM(I587))</f>
        <v>Small Business</v>
      </c>
      <c r="K587" t="s">
        <v>1050</v>
      </c>
      <c r="L587" t="s">
        <v>74</v>
      </c>
      <c r="M587" t="s">
        <v>75</v>
      </c>
      <c r="N587" t="s">
        <v>86</v>
      </c>
      <c r="O587" t="str">
        <f>TRIM(N587)</f>
        <v>Technology</v>
      </c>
      <c r="P587" t="s">
        <v>223</v>
      </c>
      <c r="Q587" t="s">
        <v>2804</v>
      </c>
      <c r="R587" t="s">
        <v>56</v>
      </c>
      <c r="S587" t="s">
        <v>56</v>
      </c>
      <c r="T587">
        <v>8</v>
      </c>
      <c r="U587">
        <v>3453.66</v>
      </c>
      <c r="V587">
        <v>0</v>
      </c>
      <c r="W587">
        <v>27629.279999999999</v>
      </c>
      <c r="X587">
        <v>22026.48</v>
      </c>
      <c r="Y587">
        <v>5602.8</v>
      </c>
      <c r="Z587" t="s">
        <v>34</v>
      </c>
      <c r="AA587" t="s">
        <v>35</v>
      </c>
    </row>
    <row r="588" spans="1:27">
      <c r="A588" t="s">
        <v>2805</v>
      </c>
      <c r="B588" t="s">
        <v>2806</v>
      </c>
      <c r="C588" t="s">
        <v>2807</v>
      </c>
      <c r="D588"/>
      <c r="E588" s="7">
        <f>IF(OR(D588="Invalid",D588&lt;0),"",D588)</f>
        <v>0</v>
      </c>
      <c r="F588" t="s">
        <v>2808</v>
      </c>
      <c r="G588" t="s">
        <v>40</v>
      </c>
      <c r="H588" t="str">
        <f>PROPER(TRIM(G588))</f>
        <v>Mira Das</v>
      </c>
      <c r="I588" t="s">
        <v>115</v>
      </c>
      <c r="J588" t="str">
        <f>PROPER(TRIM(I588))</f>
        <v>Home Office</v>
      </c>
      <c r="K588" t="s">
        <v>27</v>
      </c>
      <c r="L588" t="s">
        <v>154</v>
      </c>
      <c r="M588" t="s">
        <v>155</v>
      </c>
      <c r="N588" t="s">
        <v>30</v>
      </c>
      <c r="O588" t="str">
        <f>TRIM(N588)</f>
        <v>Office Supplies</v>
      </c>
      <c r="P588" t="s">
        <v>198</v>
      </c>
      <c r="Q588" t="s">
        <v>2809</v>
      </c>
      <c r="R588" t="s">
        <v>33</v>
      </c>
      <c r="S588" t="s">
        <v>33</v>
      </c>
      <c r="T588">
        <v>7</v>
      </c>
      <c r="U588">
        <v>1334.2</v>
      </c>
      <c r="V588">
        <v>0.2</v>
      </c>
      <c r="W588">
        <v>7471.52</v>
      </c>
      <c r="X588">
        <v>6184.32</v>
      </c>
      <c r="Y588">
        <v>1287.2</v>
      </c>
      <c r="Z588" t="s">
        <v>34</v>
      </c>
      <c r="AA588" t="s">
        <v>35</v>
      </c>
    </row>
    <row r="589" spans="1:27">
      <c r="A589" t="s">
        <v>2810</v>
      </c>
      <c r="B589" t="s">
        <v>2811</v>
      </c>
      <c r="C589" t="s">
        <v>2812</v>
      </c>
      <c r="D589"/>
      <c r="E589" s="7">
        <f>IF(OR(D589="Invalid",D589&lt;0),"",D589)</f>
        <v>0</v>
      </c>
      <c r="F589" t="s">
        <v>2813</v>
      </c>
      <c r="G589" t="s">
        <v>366</v>
      </c>
      <c r="H589" t="str">
        <f>PROPER(TRIM(G589))</f>
        <v>Kabir Singh</v>
      </c>
      <c r="I589" t="s">
        <v>115</v>
      </c>
      <c r="J589" t="str">
        <f>PROPER(TRIM(I589))</f>
        <v>Home Office</v>
      </c>
      <c r="K589" t="s">
        <v>73</v>
      </c>
      <c r="L589" t="s">
        <v>84</v>
      </c>
      <c r="M589" t="s">
        <v>85</v>
      </c>
      <c r="N589" t="s">
        <v>86</v>
      </c>
      <c r="O589" t="str">
        <f>TRIM(N589)</f>
        <v>Technology</v>
      </c>
      <c r="P589" t="s">
        <v>87</v>
      </c>
      <c r="Q589" t="s">
        <v>2814</v>
      </c>
      <c r="R589" t="s">
        <v>56</v>
      </c>
      <c r="S589" t="s">
        <v>56</v>
      </c>
      <c r="T589">
        <v>1</v>
      </c>
      <c r="U589">
        <v>4253.84</v>
      </c>
      <c r="V589">
        <v>0.15</v>
      </c>
      <c r="W589">
        <v>3615.76</v>
      </c>
      <c r="X589">
        <v>2951.52</v>
      </c>
      <c r="Y589">
        <v>664.24</v>
      </c>
      <c r="Z589" t="s">
        <v>124</v>
      </c>
      <c r="AA589" t="s">
        <v>78</v>
      </c>
    </row>
    <row r="590" spans="1:27">
      <c r="A590" t="s">
        <v>2815</v>
      </c>
      <c r="B590" t="s">
        <v>2816</v>
      </c>
      <c r="C590" t="s">
        <v>2817</v>
      </c>
      <c r="D590"/>
      <c r="E590" s="7">
        <f>IF(OR(D590="Invalid",D590&lt;0),"",D590)</f>
        <v>0</v>
      </c>
      <c r="F590" t="s">
        <v>2818</v>
      </c>
      <c r="G590" t="s">
        <v>162</v>
      </c>
      <c r="H590" t="str">
        <f>PROPER(TRIM(G590))</f>
        <v>Aarav Sharma</v>
      </c>
      <c r="I590" t="s">
        <v>115</v>
      </c>
      <c r="J590" t="str">
        <f>PROPER(TRIM(I590))</f>
        <v>Home Office</v>
      </c>
      <c r="K590" t="s">
        <v>62</v>
      </c>
      <c r="L590" t="s">
        <v>229</v>
      </c>
      <c r="M590" t="s">
        <v>230</v>
      </c>
      <c r="N590" t="s">
        <v>86</v>
      </c>
      <c r="O590" t="str">
        <f>TRIM(N590)</f>
        <v>Technology</v>
      </c>
      <c r="P590" t="s">
        <v>87</v>
      </c>
      <c r="Q590" t="s">
        <v>2819</v>
      </c>
      <c r="R590" t="s">
        <v>33</v>
      </c>
      <c r="S590" t="s">
        <v>33</v>
      </c>
      <c r="T590">
        <v>8</v>
      </c>
      <c r="U590">
        <v>4446.3599999999997</v>
      </c>
      <c r="V590">
        <v>0.1</v>
      </c>
      <c r="W590">
        <v>32013.79</v>
      </c>
      <c r="X590">
        <v>20896.88</v>
      </c>
      <c r="Y590">
        <v>11116.91</v>
      </c>
      <c r="Z590" t="s">
        <v>124</v>
      </c>
      <c r="AA590" t="s">
        <v>78</v>
      </c>
    </row>
    <row r="591" spans="1:27">
      <c r="A591" t="s">
        <v>2820</v>
      </c>
      <c r="B591" t="s">
        <v>2821</v>
      </c>
      <c r="C591" t="s">
        <v>2822</v>
      </c>
      <c r="D591"/>
      <c r="E591" s="7">
        <f>IF(OR(D591="Invalid",D591&lt;0),"",D591)</f>
        <v>0</v>
      </c>
      <c r="F591" t="s">
        <v>2823</v>
      </c>
      <c r="G591" t="s">
        <v>180</v>
      </c>
      <c r="H591" t="str">
        <f>PROPER(TRIM(G591))</f>
        <v>Rohan Mehta</v>
      </c>
      <c r="I591" t="s">
        <v>108</v>
      </c>
      <c r="J591" t="str">
        <f>PROPER(TRIM(I591))</f>
        <v>Corporate</v>
      </c>
      <c r="K591" t="s">
        <v>27</v>
      </c>
      <c r="L591" t="s">
        <v>174</v>
      </c>
      <c r="M591" t="s">
        <v>175</v>
      </c>
      <c r="N591" t="s">
        <v>86</v>
      </c>
      <c r="O591" t="str">
        <f>TRIM(N591)</f>
        <v>Technology</v>
      </c>
      <c r="P591" t="s">
        <v>223</v>
      </c>
      <c r="Q591" t="s">
        <v>2824</v>
      </c>
      <c r="R591" t="s">
        <v>56</v>
      </c>
      <c r="S591" t="s">
        <v>56</v>
      </c>
      <c r="T591">
        <v>3</v>
      </c>
      <c r="U591">
        <v>524.75</v>
      </c>
      <c r="V591">
        <v>0</v>
      </c>
      <c r="W591">
        <v>1574.25</v>
      </c>
      <c r="X591">
        <v>1326.12</v>
      </c>
      <c r="Y591">
        <v>248.13</v>
      </c>
      <c r="Z591" t="s">
        <v>34</v>
      </c>
      <c r="AA591" t="s">
        <v>35</v>
      </c>
    </row>
    <row r="592" spans="1:27">
      <c r="A592" t="s">
        <v>2825</v>
      </c>
      <c r="B592" t="s">
        <v>273</v>
      </c>
      <c r="C592" t="s">
        <v>2826</v>
      </c>
      <c r="D592"/>
      <c r="E592" s="7">
        <f>IF(OR(D592="Invalid",D592&lt;0),"",D592)</f>
        <v>0</v>
      </c>
      <c r="F592" t="s">
        <v>2827</v>
      </c>
      <c r="G592" t="s">
        <v>162</v>
      </c>
      <c r="H592" t="str">
        <f>PROPER(TRIM(G592))</f>
        <v>Aarav Sharma</v>
      </c>
      <c r="I592" t="s">
        <v>115</v>
      </c>
      <c r="J592" t="str">
        <f>PROPER(TRIM(I592))</f>
        <v>Home Office</v>
      </c>
      <c r="K592" t="s">
        <v>27</v>
      </c>
      <c r="L592" t="s">
        <v>506</v>
      </c>
      <c r="M592" t="s">
        <v>507</v>
      </c>
      <c r="N592" t="s">
        <v>45</v>
      </c>
      <c r="O592" t="str">
        <f>TRIM(N592)</f>
        <v>Furniture</v>
      </c>
      <c r="P592" t="s">
        <v>76</v>
      </c>
      <c r="Q592" t="s">
        <v>2828</v>
      </c>
      <c r="R592" t="s">
        <v>48</v>
      </c>
      <c r="S592" t="s">
        <v>48</v>
      </c>
      <c r="T592">
        <v>6</v>
      </c>
      <c r="U592">
        <v>3430.35</v>
      </c>
      <c r="V592">
        <v>0</v>
      </c>
      <c r="W592">
        <v>20582.099999999999</v>
      </c>
      <c r="X592">
        <v>15897.65</v>
      </c>
      <c r="Y592">
        <v>4684.45</v>
      </c>
      <c r="Z592" t="s">
        <v>137</v>
      </c>
      <c r="AA592" t="s">
        <v>78</v>
      </c>
    </row>
    <row r="593" spans="1:27">
      <c r="A593" t="s">
        <v>2829</v>
      </c>
      <c r="B593" t="s">
        <v>2830</v>
      </c>
      <c r="C593" t="s">
        <v>2831</v>
      </c>
      <c r="D593"/>
      <c r="E593" s="7">
        <f>IF(OR(D593="Invalid",D593&lt;0),"",D593)</f>
        <v>0</v>
      </c>
      <c r="F593" t="s">
        <v>2832</v>
      </c>
      <c r="G593" t="s">
        <v>168</v>
      </c>
      <c r="H593" t="str">
        <f>PROPER(TRIM(G593))</f>
        <v>Sneha Kapoor</v>
      </c>
      <c r="I593" t="s">
        <v>26</v>
      </c>
      <c r="J593" t="str">
        <f>PROPER(TRIM(I593))</f>
        <v>Consumer</v>
      </c>
      <c r="K593" t="s">
        <v>62</v>
      </c>
      <c r="L593" t="s">
        <v>229</v>
      </c>
      <c r="M593" t="s">
        <v>230</v>
      </c>
      <c r="N593" t="s">
        <v>86</v>
      </c>
      <c r="O593" t="str">
        <f>TRIM(N593)</f>
        <v>Technology</v>
      </c>
      <c r="P593" t="s">
        <v>94</v>
      </c>
      <c r="Q593" t="s">
        <v>2833</v>
      </c>
      <c r="R593" t="s">
        <v>56</v>
      </c>
      <c r="S593" t="s">
        <v>56</v>
      </c>
      <c r="T593">
        <v>3</v>
      </c>
      <c r="U593">
        <v>3545.08</v>
      </c>
      <c r="V593">
        <v>0</v>
      </c>
      <c r="W593">
        <v>10635.24</v>
      </c>
      <c r="X593">
        <v>6031.88</v>
      </c>
      <c r="Y593">
        <v>4603.3599999999997</v>
      </c>
      <c r="Z593" t="s">
        <v>200</v>
      </c>
      <c r="AA593" t="s">
        <v>125</v>
      </c>
    </row>
    <row r="594" spans="1:27">
      <c r="A594" t="s">
        <v>2834</v>
      </c>
      <c r="B594" t="s">
        <v>839</v>
      </c>
      <c r="C594" t="s">
        <v>897</v>
      </c>
      <c r="D594"/>
      <c r="E594" s="7">
        <f>IF(OR(D594="Invalid",D594&lt;0),"",D594)</f>
        <v>0</v>
      </c>
      <c r="F594" t="s">
        <v>2835</v>
      </c>
      <c r="G594" t="s">
        <v>40</v>
      </c>
      <c r="H594" t="str">
        <f>PROPER(TRIM(G594))</f>
        <v>Mira Das</v>
      </c>
      <c r="I594" t="s">
        <v>26</v>
      </c>
      <c r="J594" t="str">
        <f>PROPER(TRIM(I594))</f>
        <v>Consumer</v>
      </c>
      <c r="K594" t="s">
        <v>42</v>
      </c>
      <c r="L594" t="s">
        <v>121</v>
      </c>
      <c r="M594" t="s">
        <v>122</v>
      </c>
      <c r="N594" t="s">
        <v>86</v>
      </c>
      <c r="O594" t="str">
        <f>TRIM(N594)</f>
        <v>Technology</v>
      </c>
      <c r="P594" t="s">
        <v>87</v>
      </c>
      <c r="Q594" t="s">
        <v>2836</v>
      </c>
      <c r="R594" t="s">
        <v>48</v>
      </c>
      <c r="S594" t="s">
        <v>48</v>
      </c>
      <c r="T594">
        <v>8</v>
      </c>
      <c r="U594">
        <v>4401.41</v>
      </c>
      <c r="V594">
        <v>0.15</v>
      </c>
      <c r="W594">
        <v>29929.59</v>
      </c>
      <c r="X594">
        <v>22436.03</v>
      </c>
      <c r="Y594">
        <v>7493.56</v>
      </c>
      <c r="Z594" t="s">
        <v>34</v>
      </c>
      <c r="AA594" t="s">
        <v>35</v>
      </c>
    </row>
    <row r="595" spans="1:27">
      <c r="A595" t="s">
        <v>2837</v>
      </c>
      <c r="B595" t="s">
        <v>1358</v>
      </c>
      <c r="C595" t="s">
        <v>2838</v>
      </c>
      <c r="D595"/>
      <c r="E595" s="7">
        <f>IF(OR(D595="Invalid",D595&lt;0),"",D595)</f>
        <v>0</v>
      </c>
      <c r="F595" t="s">
        <v>2529</v>
      </c>
      <c r="G595" t="s">
        <v>61</v>
      </c>
      <c r="H595" t="str">
        <f>PROPER(TRIM(G595))</f>
        <v>Arjun Bose</v>
      </c>
      <c r="I595" t="s">
        <v>115</v>
      </c>
      <c r="J595" t="str">
        <f>PROPER(TRIM(I595))</f>
        <v>Home Office</v>
      </c>
      <c r="K595" t="s">
        <v>27</v>
      </c>
      <c r="L595" t="s">
        <v>174</v>
      </c>
      <c r="M595" t="s">
        <v>175</v>
      </c>
      <c r="N595" t="s">
        <v>45</v>
      </c>
      <c r="O595" t="str">
        <f>TRIM(N595)</f>
        <v>Furniture</v>
      </c>
      <c r="P595" t="s">
        <v>46</v>
      </c>
      <c r="Q595" t="s">
        <v>2839</v>
      </c>
      <c r="R595" t="s">
        <v>33</v>
      </c>
      <c r="S595" t="s">
        <v>33</v>
      </c>
      <c r="T595">
        <v>9</v>
      </c>
      <c r="U595">
        <v>4100.1099999999997</v>
      </c>
      <c r="V595">
        <v>0.25</v>
      </c>
      <c r="W595">
        <v>27675.74</v>
      </c>
      <c r="X595">
        <v>15571.08</v>
      </c>
      <c r="Y595">
        <v>12104.66</v>
      </c>
      <c r="Z595" t="s">
        <v>34</v>
      </c>
      <c r="AA595" t="s">
        <v>35</v>
      </c>
    </row>
    <row r="596" spans="1:27">
      <c r="A596" t="s">
        <v>2840</v>
      </c>
      <c r="B596" t="s">
        <v>2841</v>
      </c>
      <c r="C596" t="s">
        <v>1135</v>
      </c>
      <c r="D596"/>
      <c r="E596" s="7">
        <f>IF(OR(D596="Invalid",D596&lt;0),"",D596)</f>
        <v>0</v>
      </c>
      <c r="F596" t="s">
        <v>2842</v>
      </c>
      <c r="G596" t="s">
        <v>25</v>
      </c>
      <c r="H596" t="str">
        <f>PROPER(TRIM(G596))</f>
        <v>Karan Malhotra</v>
      </c>
      <c r="I596" t="s">
        <v>41</v>
      </c>
      <c r="J596" t="str">
        <f>PROPER(TRIM(I596))</f>
        <v>Small Business</v>
      </c>
      <c r="K596" t="s">
        <v>42</v>
      </c>
      <c r="L596" t="s">
        <v>121</v>
      </c>
      <c r="M596" t="s">
        <v>122</v>
      </c>
      <c r="N596" t="s">
        <v>45</v>
      </c>
      <c r="O596" t="str">
        <f>TRIM(N596)</f>
        <v>Furniture</v>
      </c>
      <c r="P596" t="s">
        <v>76</v>
      </c>
      <c r="Q596" t="s">
        <v>2843</v>
      </c>
      <c r="R596" t="s">
        <v>56</v>
      </c>
      <c r="S596" t="s">
        <v>56</v>
      </c>
      <c r="T596">
        <v>3</v>
      </c>
      <c r="U596">
        <v>3981.76</v>
      </c>
      <c r="V596">
        <v>0</v>
      </c>
      <c r="W596">
        <v>11945.28</v>
      </c>
      <c r="X596">
        <v>9700.31</v>
      </c>
      <c r="Y596">
        <v>2244.9699999999998</v>
      </c>
      <c r="Z596" t="s">
        <v>34</v>
      </c>
      <c r="AA596" t="s">
        <v>35</v>
      </c>
    </row>
    <row r="597" spans="1:27">
      <c r="A597" t="s">
        <v>2844</v>
      </c>
      <c r="B597" t="s">
        <v>2845</v>
      </c>
      <c r="C597" t="s">
        <v>2846</v>
      </c>
      <c r="D597"/>
      <c r="E597" s="7">
        <f>IF(OR(D597="Invalid",D597&lt;0),"",D597)</f>
        <v>0</v>
      </c>
      <c r="F597" t="s">
        <v>2847</v>
      </c>
      <c r="G597" t="s">
        <v>40</v>
      </c>
      <c r="H597" t="str">
        <f>PROPER(TRIM(G597))</f>
        <v>Mira Das</v>
      </c>
      <c r="I597" t="s">
        <v>108</v>
      </c>
      <c r="J597" t="str">
        <f>PROPER(TRIM(I597))</f>
        <v>Corporate</v>
      </c>
      <c r="K597" t="s">
        <v>27</v>
      </c>
      <c r="L597" t="s">
        <v>174</v>
      </c>
      <c r="M597" t="s">
        <v>175</v>
      </c>
      <c r="N597" t="s">
        <v>86</v>
      </c>
      <c r="O597" t="str">
        <f>TRIM(N597)</f>
        <v>Technology</v>
      </c>
      <c r="P597" t="s">
        <v>223</v>
      </c>
      <c r="Q597" t="s">
        <v>2848</v>
      </c>
      <c r="R597" t="s">
        <v>56</v>
      </c>
      <c r="S597" t="s">
        <v>56</v>
      </c>
      <c r="T597">
        <v>8</v>
      </c>
      <c r="U597">
        <v>1825.56</v>
      </c>
      <c r="V597">
        <v>0.1</v>
      </c>
      <c r="W597">
        <v>13144.03</v>
      </c>
      <c r="X597">
        <v>9764</v>
      </c>
      <c r="Y597">
        <v>3380.03</v>
      </c>
      <c r="Z597" t="s">
        <v>34</v>
      </c>
      <c r="AA597" t="s">
        <v>35</v>
      </c>
    </row>
    <row r="598" spans="1:27">
      <c r="A598" t="s">
        <v>2849</v>
      </c>
      <c r="B598" t="s">
        <v>1440</v>
      </c>
      <c r="C598" t="s">
        <v>411</v>
      </c>
      <c r="D598"/>
      <c r="E598" s="7">
        <f>IF(OR(D598="Invalid",D598&lt;0),"",D598)</f>
        <v>0</v>
      </c>
      <c r="F598" t="s">
        <v>2850</v>
      </c>
      <c r="G598" t="s">
        <v>107</v>
      </c>
      <c r="H598" t="str">
        <f>PROPER(TRIM(G598))</f>
        <v>Aditi Sen</v>
      </c>
      <c r="I598" t="s">
        <v>26</v>
      </c>
      <c r="J598" t="str">
        <f>PROPER(TRIM(I598))</f>
        <v>Consumer</v>
      </c>
      <c r="K598" t="s">
        <v>62</v>
      </c>
      <c r="L598" t="s">
        <v>242</v>
      </c>
      <c r="M598" t="s">
        <v>243</v>
      </c>
      <c r="N598" t="s">
        <v>45</v>
      </c>
      <c r="O598" t="str">
        <f>TRIM(N598)</f>
        <v>Furniture</v>
      </c>
      <c r="P598" t="s">
        <v>76</v>
      </c>
      <c r="Q598" t="s">
        <v>2851</v>
      </c>
      <c r="R598" t="s">
        <v>33</v>
      </c>
      <c r="S598" t="s">
        <v>33</v>
      </c>
      <c r="T598">
        <v>9</v>
      </c>
      <c r="U598">
        <v>2723.26</v>
      </c>
      <c r="V598">
        <v>0.25</v>
      </c>
      <c r="W598">
        <v>18382.009999999998</v>
      </c>
      <c r="X598">
        <v>13108.2</v>
      </c>
      <c r="Y598">
        <v>5273.81</v>
      </c>
      <c r="Z598" t="s">
        <v>34</v>
      </c>
      <c r="AA598" t="s">
        <v>35</v>
      </c>
    </row>
    <row r="599" spans="1:27">
      <c r="A599" t="s">
        <v>2852</v>
      </c>
      <c r="B599" t="s">
        <v>2853</v>
      </c>
      <c r="C599" t="s">
        <v>488</v>
      </c>
      <c r="D599"/>
      <c r="E599" s="7">
        <f>IF(OR(D599="Invalid",D599&lt;0),"",D599)</f>
        <v>0</v>
      </c>
      <c r="F599" t="s">
        <v>2854</v>
      </c>
      <c r="G599" t="s">
        <v>107</v>
      </c>
      <c r="H599" t="str">
        <f>PROPER(TRIM(G599))</f>
        <v>Aditi Sen</v>
      </c>
      <c r="I599" t="s">
        <v>26</v>
      </c>
      <c r="J599" t="str">
        <f>PROPER(TRIM(I599))</f>
        <v>Consumer</v>
      </c>
      <c r="K599" t="s">
        <v>62</v>
      </c>
      <c r="L599" t="s">
        <v>63</v>
      </c>
      <c r="M599" t="s">
        <v>64</v>
      </c>
      <c r="N599" t="s">
        <v>86</v>
      </c>
      <c r="O599" t="str">
        <f>TRIM(N599)</f>
        <v>Technology</v>
      </c>
      <c r="P599" t="s">
        <v>94</v>
      </c>
      <c r="Q599" t="s">
        <v>2855</v>
      </c>
      <c r="R599" t="s">
        <v>48</v>
      </c>
      <c r="S599" t="s">
        <v>48</v>
      </c>
      <c r="T599">
        <v>9</v>
      </c>
      <c r="U599">
        <v>274.88</v>
      </c>
      <c r="V599">
        <v>0.25</v>
      </c>
      <c r="W599">
        <v>1855.44</v>
      </c>
      <c r="X599">
        <v>1262.74</v>
      </c>
      <c r="Y599">
        <v>592.70000000000005</v>
      </c>
      <c r="Z599" t="s">
        <v>34</v>
      </c>
      <c r="AA599" t="s">
        <v>35</v>
      </c>
    </row>
    <row r="600" spans="1:27">
      <c r="A600" t="s">
        <v>2856</v>
      </c>
      <c r="B600" t="s">
        <v>2439</v>
      </c>
      <c r="C600" t="s">
        <v>2857</v>
      </c>
      <c r="D600"/>
      <c r="E600" s="7">
        <f>IF(OR(D600="Invalid",D600&lt;0),"",D600)</f>
        <v>0</v>
      </c>
      <c r="F600" t="s">
        <v>2858</v>
      </c>
      <c r="G600" t="s">
        <v>72</v>
      </c>
      <c r="H600" t="str">
        <f>PROPER(TRIM(G600))</f>
        <v>Ananya Rao</v>
      </c>
      <c r="I600" t="s">
        <v>108</v>
      </c>
      <c r="J600" t="str">
        <f>PROPER(TRIM(I600))</f>
        <v>Corporate</v>
      </c>
      <c r="K600" t="s">
        <v>42</v>
      </c>
      <c r="L600" t="s">
        <v>121</v>
      </c>
      <c r="M600" t="s">
        <v>122</v>
      </c>
      <c r="N600" t="s">
        <v>86</v>
      </c>
      <c r="O600" t="str">
        <f>TRIM(N600)</f>
        <v>Technology</v>
      </c>
      <c r="P600" t="s">
        <v>94</v>
      </c>
      <c r="Q600" t="s">
        <v>2859</v>
      </c>
      <c r="R600" t="s">
        <v>48</v>
      </c>
      <c r="S600" t="s">
        <v>48</v>
      </c>
      <c r="T600">
        <v>3</v>
      </c>
      <c r="U600">
        <v>1490.69</v>
      </c>
      <c r="V600">
        <v>0.25</v>
      </c>
      <c r="W600">
        <v>3354.05</v>
      </c>
      <c r="X600">
        <v>2672.67</v>
      </c>
      <c r="Y600">
        <v>681.38</v>
      </c>
      <c r="Z600" t="s">
        <v>34</v>
      </c>
      <c r="AA600" t="s">
        <v>35</v>
      </c>
    </row>
    <row r="601" spans="1:27">
      <c r="A601" t="s">
        <v>2860</v>
      </c>
      <c r="B601" t="s">
        <v>2861</v>
      </c>
      <c r="C601" t="s">
        <v>1626</v>
      </c>
      <c r="D601"/>
      <c r="E601" s="7">
        <f>IF(OR(D601="Invalid",D601&lt;0),"",D601)</f>
        <v>0</v>
      </c>
      <c r="F601" t="s">
        <v>2862</v>
      </c>
      <c r="G601" t="s">
        <v>61</v>
      </c>
      <c r="H601" t="str">
        <f>PROPER(TRIM(G601))</f>
        <v>Arjun Bose</v>
      </c>
      <c r="I601" t="s">
        <v>26</v>
      </c>
      <c r="J601" t="str">
        <f>PROPER(TRIM(I601))</f>
        <v>Consumer</v>
      </c>
      <c r="K601" t="s">
        <v>27</v>
      </c>
      <c r="L601" t="s">
        <v>154</v>
      </c>
      <c r="M601" t="s">
        <v>155</v>
      </c>
      <c r="N601" t="s">
        <v>86</v>
      </c>
      <c r="O601" t="str">
        <f>TRIM(N601)</f>
        <v>Technology</v>
      </c>
      <c r="P601" t="s">
        <v>223</v>
      </c>
      <c r="Q601" t="s">
        <v>2863</v>
      </c>
      <c r="R601" t="s">
        <v>56</v>
      </c>
      <c r="S601" t="s">
        <v>56</v>
      </c>
      <c r="T601">
        <v>3</v>
      </c>
      <c r="U601">
        <v>1103.54</v>
      </c>
      <c r="V601">
        <v>0.25</v>
      </c>
      <c r="W601">
        <v>2482.9699999999998</v>
      </c>
      <c r="X601">
        <v>1621.72</v>
      </c>
      <c r="Y601">
        <v>861.25</v>
      </c>
      <c r="Z601" t="s">
        <v>34</v>
      </c>
      <c r="AA601" t="s">
        <v>35</v>
      </c>
    </row>
    <row r="602" spans="1:27">
      <c r="A602" t="s">
        <v>2864</v>
      </c>
      <c r="B602" t="s">
        <v>2865</v>
      </c>
      <c r="C602" t="s">
        <v>2866</v>
      </c>
      <c r="D602"/>
      <c r="E602" s="7">
        <f>IF(OR(D602="Invalid",D602&lt;0),"",D602)</f>
        <v>0</v>
      </c>
      <c r="F602" t="s">
        <v>2867</v>
      </c>
      <c r="G602" t="s">
        <v>72</v>
      </c>
      <c r="H602" t="str">
        <f>PROPER(TRIM(G602))</f>
        <v>Ananya Rao</v>
      </c>
      <c r="I602" t="s">
        <v>108</v>
      </c>
      <c r="J602" t="str">
        <f>PROPER(TRIM(I602))</f>
        <v>Corporate</v>
      </c>
      <c r="K602" t="s">
        <v>73</v>
      </c>
      <c r="L602" t="s">
        <v>84</v>
      </c>
      <c r="M602" t="s">
        <v>85</v>
      </c>
      <c r="N602" t="s">
        <v>30</v>
      </c>
      <c r="O602" t="str">
        <f>TRIM(N602)</f>
        <v>Office Supplies</v>
      </c>
      <c r="P602" t="s">
        <v>156</v>
      </c>
      <c r="Q602" t="s">
        <v>2868</v>
      </c>
      <c r="R602" t="s">
        <v>48</v>
      </c>
      <c r="S602" t="s">
        <v>48</v>
      </c>
      <c r="T602">
        <v>3</v>
      </c>
      <c r="U602">
        <v>3682.75</v>
      </c>
      <c r="W602">
        <v>11048.25</v>
      </c>
      <c r="X602">
        <v>9062.7199999999993</v>
      </c>
      <c r="Y602">
        <v>1985.53</v>
      </c>
      <c r="Z602" t="s">
        <v>34</v>
      </c>
      <c r="AA602" t="s">
        <v>35</v>
      </c>
    </row>
    <row r="603" spans="1:27">
      <c r="A603" t="s">
        <v>2869</v>
      </c>
      <c r="B603" t="s">
        <v>2870</v>
      </c>
      <c r="C603" t="s">
        <v>2871</v>
      </c>
      <c r="D603"/>
      <c r="E603" s="7">
        <f>IF(OR(D603="Invalid",D603&lt;0),"",D603)</f>
        <v>0</v>
      </c>
      <c r="F603" t="s">
        <v>2872</v>
      </c>
      <c r="G603" t="s">
        <v>72</v>
      </c>
      <c r="H603" t="str">
        <f>PROPER(TRIM(G603))</f>
        <v>Ananya Rao</v>
      </c>
      <c r="I603" t="s">
        <v>115</v>
      </c>
      <c r="J603" t="str">
        <f>PROPER(TRIM(I603))</f>
        <v>Home Office</v>
      </c>
      <c r="K603" t="s">
        <v>42</v>
      </c>
      <c r="L603" t="s">
        <v>121</v>
      </c>
      <c r="M603" t="s">
        <v>122</v>
      </c>
      <c r="N603" t="s">
        <v>30</v>
      </c>
      <c r="O603" t="str">
        <f>TRIM(N603)</f>
        <v>Office Supplies</v>
      </c>
      <c r="P603" t="s">
        <v>31</v>
      </c>
      <c r="Q603" t="s">
        <v>2873</v>
      </c>
      <c r="R603" t="s">
        <v>33</v>
      </c>
      <c r="S603" t="s">
        <v>33</v>
      </c>
      <c r="T603">
        <v>5</v>
      </c>
      <c r="U603">
        <v>1615.03</v>
      </c>
      <c r="V603">
        <v>0.2</v>
      </c>
      <c r="W603">
        <v>6460.12</v>
      </c>
      <c r="X603">
        <v>3604.03</v>
      </c>
      <c r="Y603">
        <v>2856.09</v>
      </c>
      <c r="Z603" t="s">
        <v>34</v>
      </c>
      <c r="AA603" t="s">
        <v>35</v>
      </c>
    </row>
    <row r="604" spans="1:27">
      <c r="A604" t="s">
        <v>2874</v>
      </c>
      <c r="B604" t="s">
        <v>2875</v>
      </c>
      <c r="C604" t="s">
        <v>2876</v>
      </c>
      <c r="D604"/>
      <c r="E604" s="7">
        <f>IF(OR(D604="Invalid",D604&lt;0),"",D604)</f>
        <v>0</v>
      </c>
      <c r="F604" t="s">
        <v>2877</v>
      </c>
      <c r="G604" t="s">
        <v>162</v>
      </c>
      <c r="H604" t="str">
        <f>PROPER(TRIM(G604))</f>
        <v>Aarav Sharma</v>
      </c>
      <c r="I604" t="s">
        <v>26</v>
      </c>
      <c r="J604" t="str">
        <f>PROPER(TRIM(I604))</f>
        <v>Consumer</v>
      </c>
      <c r="K604" t="s">
        <v>42</v>
      </c>
      <c r="L604" t="s">
        <v>311</v>
      </c>
      <c r="M604" t="s">
        <v>312</v>
      </c>
      <c r="N604" t="s">
        <v>86</v>
      </c>
      <c r="O604" t="str">
        <f>TRIM(N604)</f>
        <v>Technology</v>
      </c>
      <c r="P604" t="s">
        <v>94</v>
      </c>
      <c r="Q604" t="s">
        <v>2878</v>
      </c>
      <c r="R604" t="s">
        <v>33</v>
      </c>
      <c r="S604" t="s">
        <v>33</v>
      </c>
      <c r="T604">
        <v>9</v>
      </c>
      <c r="U604">
        <v>3423.82</v>
      </c>
      <c r="V604">
        <v>0.15</v>
      </c>
      <c r="W604">
        <v>26192.22</v>
      </c>
      <c r="X604">
        <v>20795.55</v>
      </c>
      <c r="Y604">
        <v>5396.67</v>
      </c>
      <c r="Z604" t="s">
        <v>34</v>
      </c>
      <c r="AA604" t="s">
        <v>35</v>
      </c>
    </row>
    <row r="605" spans="1:27">
      <c r="A605" t="s">
        <v>2879</v>
      </c>
      <c r="B605" t="s">
        <v>2880</v>
      </c>
      <c r="C605" t="s">
        <v>592</v>
      </c>
      <c r="D605"/>
      <c r="E605" s="7">
        <f>IF(OR(D605="Invalid",D605&lt;0),"",D605)</f>
        <v>0</v>
      </c>
      <c r="F605" t="s">
        <v>480</v>
      </c>
      <c r="G605" t="s">
        <v>83</v>
      </c>
      <c r="H605" t="str">
        <f>PROPER(TRIM(G605))</f>
        <v>Vikram Iyer</v>
      </c>
      <c r="I605" t="s">
        <v>108</v>
      </c>
      <c r="J605" t="str">
        <f>PROPER(TRIM(I605))</f>
        <v>Corporate</v>
      </c>
      <c r="K605" t="s">
        <v>42</v>
      </c>
      <c r="L605" t="s">
        <v>186</v>
      </c>
      <c r="M605" t="s">
        <v>187</v>
      </c>
      <c r="N605" t="s">
        <v>86</v>
      </c>
      <c r="O605" t="str">
        <f>TRIM(N605)</f>
        <v>Technology</v>
      </c>
      <c r="P605" t="s">
        <v>87</v>
      </c>
      <c r="Q605" t="s">
        <v>2881</v>
      </c>
      <c r="R605" t="s">
        <v>56</v>
      </c>
      <c r="S605" t="s">
        <v>56</v>
      </c>
      <c r="T605">
        <v>8</v>
      </c>
      <c r="U605">
        <v>2574.29</v>
      </c>
      <c r="V605">
        <v>0.05</v>
      </c>
      <c r="W605">
        <v>19564.599999999999</v>
      </c>
      <c r="X605">
        <v>11154.59</v>
      </c>
      <c r="Y605">
        <v>8410.01</v>
      </c>
      <c r="Z605" t="s">
        <v>137</v>
      </c>
      <c r="AA605" t="s">
        <v>78</v>
      </c>
    </row>
    <row r="606" spans="1:27">
      <c r="A606" t="s">
        <v>2882</v>
      </c>
      <c r="B606" t="s">
        <v>2883</v>
      </c>
      <c r="C606" t="s">
        <v>2884</v>
      </c>
      <c r="D606"/>
      <c r="E606" s="7">
        <f>IF(OR(D606="Invalid",D606&lt;0),"",D606)</f>
        <v>0</v>
      </c>
      <c r="F606" t="s">
        <v>2885</v>
      </c>
      <c r="G606" t="s">
        <v>72</v>
      </c>
      <c r="H606" t="str">
        <f>PROPER(TRIM(G606))</f>
        <v>Ananya Rao</v>
      </c>
      <c r="I606" t="s">
        <v>26</v>
      </c>
      <c r="J606" t="str">
        <f>PROPER(TRIM(I606))</f>
        <v>Consumer</v>
      </c>
      <c r="K606" t="s">
        <v>73</v>
      </c>
      <c r="L606" t="s">
        <v>84</v>
      </c>
      <c r="M606" t="s">
        <v>85</v>
      </c>
      <c r="N606" t="s">
        <v>30</v>
      </c>
      <c r="O606" t="str">
        <f>TRIM(N606)</f>
        <v>Office Supplies</v>
      </c>
      <c r="P606" t="s">
        <v>198</v>
      </c>
      <c r="Q606" t="s">
        <v>2886</v>
      </c>
      <c r="R606" t="s">
        <v>48</v>
      </c>
      <c r="S606" t="s">
        <v>48</v>
      </c>
      <c r="T606">
        <v>3</v>
      </c>
      <c r="U606">
        <v>1076.3</v>
      </c>
      <c r="V606">
        <v>0</v>
      </c>
      <c r="W606">
        <v>3228.9</v>
      </c>
      <c r="X606">
        <v>1853.23</v>
      </c>
      <c r="Y606">
        <v>1375.67</v>
      </c>
      <c r="Z606" t="s">
        <v>34</v>
      </c>
      <c r="AA606" t="s">
        <v>35</v>
      </c>
    </row>
    <row r="607" spans="1:27">
      <c r="A607" t="s">
        <v>2887</v>
      </c>
      <c r="B607" t="s">
        <v>2613</v>
      </c>
      <c r="C607" t="s">
        <v>2888</v>
      </c>
      <c r="D607"/>
      <c r="E607" s="7">
        <f>IF(OR(D607="Invalid",D607&lt;0),"",D607)</f>
        <v>0</v>
      </c>
      <c r="F607" t="s">
        <v>2889</v>
      </c>
      <c r="G607" t="s">
        <v>366</v>
      </c>
      <c r="H607" t="str">
        <f>PROPER(TRIM(G607))</f>
        <v>Kabir Singh</v>
      </c>
      <c r="I607" t="s">
        <v>108</v>
      </c>
      <c r="J607" t="str">
        <f>PROPER(TRIM(I607))</f>
        <v>Corporate</v>
      </c>
      <c r="K607" t="s">
        <v>73</v>
      </c>
      <c r="L607" t="s">
        <v>249</v>
      </c>
      <c r="M607" t="s">
        <v>250</v>
      </c>
      <c r="N607" t="s">
        <v>45</v>
      </c>
      <c r="O607" t="str">
        <f>TRIM(N607)</f>
        <v>Furniture</v>
      </c>
      <c r="P607" t="s">
        <v>65</v>
      </c>
      <c r="Q607" t="s">
        <v>2890</v>
      </c>
      <c r="R607" t="s">
        <v>33</v>
      </c>
      <c r="S607" t="s">
        <v>33</v>
      </c>
      <c r="T607">
        <v>5</v>
      </c>
      <c r="U607">
        <v>1680.01</v>
      </c>
      <c r="V607" t="s">
        <v>1170</v>
      </c>
      <c r="W607">
        <v>7560.04</v>
      </c>
      <c r="X607">
        <v>6448.05</v>
      </c>
      <c r="Y607">
        <v>1111.99</v>
      </c>
      <c r="Z607" t="s">
        <v>34</v>
      </c>
      <c r="AA607" t="s">
        <v>78</v>
      </c>
    </row>
    <row r="608" spans="1:27">
      <c r="A608" t="s">
        <v>2891</v>
      </c>
      <c r="B608" t="s">
        <v>2892</v>
      </c>
      <c r="C608" t="s">
        <v>2528</v>
      </c>
      <c r="D608"/>
      <c r="E608" s="7">
        <f>IF(OR(D608="Invalid",D608&lt;0),"",D608)</f>
        <v>0</v>
      </c>
      <c r="F608" t="s">
        <v>2893</v>
      </c>
      <c r="G608" t="s">
        <v>148</v>
      </c>
      <c r="H608" t="str">
        <f>PROPER(TRIM(G608))</f>
        <v>Rahul Verma</v>
      </c>
      <c r="I608" t="s">
        <v>115</v>
      </c>
      <c r="J608" t="str">
        <f>PROPER(TRIM(I608))</f>
        <v>Home Office</v>
      </c>
      <c r="K608" t="s">
        <v>73</v>
      </c>
      <c r="L608" t="s">
        <v>84</v>
      </c>
      <c r="M608" t="s">
        <v>85</v>
      </c>
      <c r="N608" t="s">
        <v>86</v>
      </c>
      <c r="O608" t="str">
        <f>TRIM(N608)</f>
        <v>Technology</v>
      </c>
      <c r="P608" t="s">
        <v>94</v>
      </c>
      <c r="Q608" t="s">
        <v>2894</v>
      </c>
      <c r="R608" t="s">
        <v>48</v>
      </c>
      <c r="S608" t="s">
        <v>48</v>
      </c>
      <c r="T608">
        <v>3</v>
      </c>
      <c r="U608">
        <v>3890.81</v>
      </c>
      <c r="V608">
        <v>0.25</v>
      </c>
      <c r="W608">
        <v>8754.32</v>
      </c>
      <c r="X608">
        <v>6238.9</v>
      </c>
      <c r="Y608">
        <v>2515.42</v>
      </c>
      <c r="Z608" t="s">
        <v>34</v>
      </c>
      <c r="AA608" t="s">
        <v>35</v>
      </c>
    </row>
    <row r="609" spans="1:27">
      <c r="A609" t="s">
        <v>2895</v>
      </c>
      <c r="B609" t="s">
        <v>2846</v>
      </c>
      <c r="C609" t="s">
        <v>2892</v>
      </c>
      <c r="D609"/>
      <c r="E609" s="7">
        <f>IF(OR(D609="Invalid",D609&lt;0),"",D609)</f>
        <v>0</v>
      </c>
      <c r="F609" t="s">
        <v>2896</v>
      </c>
      <c r="G609" t="s">
        <v>168</v>
      </c>
      <c r="H609" t="str">
        <f>PROPER(TRIM(G609))</f>
        <v>Sneha Kapoor</v>
      </c>
      <c r="I609" t="s">
        <v>115</v>
      </c>
      <c r="J609" t="str">
        <f>PROPER(TRIM(I609))</f>
        <v>Home Office</v>
      </c>
      <c r="K609" t="s">
        <v>42</v>
      </c>
      <c r="L609" t="s">
        <v>186</v>
      </c>
      <c r="M609" t="s">
        <v>187</v>
      </c>
      <c r="N609" t="s">
        <v>30</v>
      </c>
      <c r="O609" t="str">
        <f>TRIM(N609)</f>
        <v>Office Supplies</v>
      </c>
      <c r="P609" t="s">
        <v>156</v>
      </c>
      <c r="Q609" t="s">
        <v>2897</v>
      </c>
      <c r="R609" t="s">
        <v>48</v>
      </c>
      <c r="S609" t="s">
        <v>48</v>
      </c>
      <c r="T609">
        <v>5</v>
      </c>
      <c r="U609">
        <v>954.67</v>
      </c>
      <c r="V609">
        <v>0.15</v>
      </c>
      <c r="W609">
        <v>4057.35</v>
      </c>
      <c r="X609">
        <v>2862.03</v>
      </c>
      <c r="Y609">
        <v>1195.32</v>
      </c>
      <c r="Z609" t="s">
        <v>34</v>
      </c>
      <c r="AA609" t="s">
        <v>35</v>
      </c>
    </row>
    <row r="610" spans="1:27">
      <c r="A610" t="s">
        <v>2898</v>
      </c>
      <c r="B610" t="s">
        <v>2152</v>
      </c>
      <c r="C610" t="s">
        <v>1553</v>
      </c>
      <c r="D610"/>
      <c r="E610" s="7">
        <f>IF(OR(D610="Invalid",D610&lt;0),"",D610)</f>
        <v>0</v>
      </c>
      <c r="F610" t="s">
        <v>2574</v>
      </c>
      <c r="G610" t="s">
        <v>25</v>
      </c>
      <c r="H610" t="str">
        <f>PROPER(TRIM(G610))</f>
        <v>Karan Malhotra</v>
      </c>
      <c r="I610" t="s">
        <v>115</v>
      </c>
      <c r="J610" t="str">
        <f>PROPER(TRIM(I610))</f>
        <v>Home Office</v>
      </c>
      <c r="K610" t="s">
        <v>73</v>
      </c>
      <c r="L610" t="s">
        <v>249</v>
      </c>
      <c r="M610" t="s">
        <v>250</v>
      </c>
      <c r="N610" t="s">
        <v>45</v>
      </c>
      <c r="O610" t="str">
        <f>TRIM(N610)</f>
        <v>Furniture</v>
      </c>
      <c r="P610" t="s">
        <v>65</v>
      </c>
      <c r="Q610" t="s">
        <v>2899</v>
      </c>
      <c r="R610" t="s">
        <v>33</v>
      </c>
      <c r="S610" t="s">
        <v>33</v>
      </c>
      <c r="T610">
        <v>9</v>
      </c>
      <c r="U610">
        <v>2153.75</v>
      </c>
      <c r="V610">
        <v>0</v>
      </c>
      <c r="W610">
        <v>19383.75</v>
      </c>
      <c r="X610">
        <v>11667.43</v>
      </c>
      <c r="Y610">
        <v>7716.32</v>
      </c>
      <c r="Z610" t="s">
        <v>34</v>
      </c>
      <c r="AA610" t="s">
        <v>35</v>
      </c>
    </row>
    <row r="611" spans="1:27">
      <c r="A611" t="s">
        <v>2900</v>
      </c>
      <c r="B611" t="s">
        <v>2055</v>
      </c>
      <c r="C611" t="s">
        <v>1176</v>
      </c>
      <c r="D611"/>
      <c r="E611" s="7">
        <f>IF(OR(D611="Invalid",D611&lt;0),"",D611)</f>
        <v>0</v>
      </c>
      <c r="F611" t="s">
        <v>2901</v>
      </c>
      <c r="G611" t="s">
        <v>168</v>
      </c>
      <c r="H611" t="str">
        <f>PROPER(TRIM(G611))</f>
        <v>Sneha Kapoor</v>
      </c>
      <c r="I611" t="s">
        <v>115</v>
      </c>
      <c r="J611" t="str">
        <f>PROPER(TRIM(I611))</f>
        <v>Home Office</v>
      </c>
      <c r="K611" t="s">
        <v>62</v>
      </c>
      <c r="L611" t="s">
        <v>229</v>
      </c>
      <c r="M611" t="s">
        <v>230</v>
      </c>
      <c r="N611" t="s">
        <v>45</v>
      </c>
      <c r="O611" t="str">
        <f>TRIM(N611)</f>
        <v>Furniture</v>
      </c>
      <c r="P611" t="s">
        <v>76</v>
      </c>
      <c r="Q611" t="s">
        <v>2902</v>
      </c>
      <c r="R611" t="s">
        <v>67</v>
      </c>
      <c r="S611" t="s">
        <v>67</v>
      </c>
      <c r="T611">
        <v>7</v>
      </c>
      <c r="U611">
        <v>4337.4799999999996</v>
      </c>
      <c r="V611">
        <v>0</v>
      </c>
      <c r="W611">
        <v>30362.36</v>
      </c>
      <c r="X611">
        <v>25065.4</v>
      </c>
      <c r="Y611">
        <v>5296.96</v>
      </c>
      <c r="Z611" t="s">
        <v>34</v>
      </c>
      <c r="AA611" t="s">
        <v>35</v>
      </c>
    </row>
    <row r="612" spans="1:27">
      <c r="A612" t="s">
        <v>2903</v>
      </c>
      <c r="B612" t="s">
        <v>2904</v>
      </c>
      <c r="C612" t="s">
        <v>2905</v>
      </c>
      <c r="D612"/>
      <c r="E612" s="7">
        <f>IF(OR(D612="Invalid",D612&lt;0),"",D612)</f>
        <v>0</v>
      </c>
      <c r="F612" t="s">
        <v>2080</v>
      </c>
      <c r="G612" t="s">
        <v>25</v>
      </c>
      <c r="H612" t="str">
        <f>PROPER(TRIM(G612))</f>
        <v>Karan Malhotra</v>
      </c>
      <c r="I612" t="s">
        <v>115</v>
      </c>
      <c r="J612" t="str">
        <f>PROPER(TRIM(I612))</f>
        <v>Home Office</v>
      </c>
      <c r="K612" t="s">
        <v>73</v>
      </c>
      <c r="L612" t="s">
        <v>84</v>
      </c>
      <c r="M612" t="s">
        <v>85</v>
      </c>
      <c r="N612" t="s">
        <v>45</v>
      </c>
      <c r="O612" t="str">
        <f>TRIM(N612)</f>
        <v>Furniture</v>
      </c>
      <c r="P612" t="s">
        <v>76</v>
      </c>
      <c r="Q612" t="s">
        <v>2906</v>
      </c>
      <c r="R612" t="s">
        <v>67</v>
      </c>
      <c r="S612" t="s">
        <v>67</v>
      </c>
      <c r="T612">
        <v>1</v>
      </c>
      <c r="U612">
        <v>3032.95</v>
      </c>
      <c r="V612">
        <v>0.1</v>
      </c>
      <c r="W612">
        <v>2729.65</v>
      </c>
      <c r="X612">
        <v>1715.36</v>
      </c>
      <c r="Y612">
        <v>1014.29</v>
      </c>
      <c r="Z612" t="s">
        <v>34</v>
      </c>
      <c r="AA612" t="s">
        <v>35</v>
      </c>
    </row>
    <row r="613" spans="1:27">
      <c r="A613" t="s">
        <v>2907</v>
      </c>
      <c r="B613" t="s">
        <v>2612</v>
      </c>
      <c r="C613" t="s">
        <v>2908</v>
      </c>
      <c r="D613"/>
      <c r="E613" s="7">
        <f>IF(OR(D613="Invalid",D613&lt;0),"",D613)</f>
        <v>0</v>
      </c>
      <c r="F613" t="s">
        <v>2909</v>
      </c>
      <c r="G613" t="s">
        <v>72</v>
      </c>
      <c r="H613" t="str">
        <f>PROPER(TRIM(G613))</f>
        <v>Ananya Rao</v>
      </c>
      <c r="I613" t="s">
        <v>41</v>
      </c>
      <c r="J613" t="str">
        <f>PROPER(TRIM(I613))</f>
        <v>Small Business</v>
      </c>
      <c r="K613" t="s">
        <v>27</v>
      </c>
      <c r="L613" t="s">
        <v>28</v>
      </c>
      <c r="M613" t="s">
        <v>29</v>
      </c>
      <c r="N613" t="s">
        <v>30</v>
      </c>
      <c r="O613" t="str">
        <f>TRIM(N613)</f>
        <v>Office Supplies</v>
      </c>
      <c r="P613" t="s">
        <v>198</v>
      </c>
      <c r="Q613" t="s">
        <v>2910</v>
      </c>
      <c r="R613" t="s">
        <v>48</v>
      </c>
      <c r="S613" t="s">
        <v>48</v>
      </c>
      <c r="T613">
        <v>8</v>
      </c>
      <c r="U613">
        <v>655.28</v>
      </c>
      <c r="V613">
        <v>0.1</v>
      </c>
      <c r="W613">
        <v>4718.0200000000004</v>
      </c>
      <c r="X613">
        <v>3908.23</v>
      </c>
      <c r="Y613">
        <v>809.79</v>
      </c>
      <c r="Z613" t="s">
        <v>34</v>
      </c>
      <c r="AA613" t="s">
        <v>35</v>
      </c>
    </row>
    <row r="614" spans="1:27">
      <c r="A614" t="s">
        <v>2911</v>
      </c>
      <c r="B614" s="4" t="s">
        <v>2912</v>
      </c>
      <c r="C614" s="4" t="s">
        <v>2913</v>
      </c>
      <c r="D614" s="4" t="str">
        <f>IF(C502&lt;B502,"Invalid","OK")</f>
        <v>OK</v>
      </c>
      <c r="E614" s="7" t="str">
        <f>IF(OR(D614="Invalid",D614&lt;0),"",D614)</f>
        <v>OK</v>
      </c>
      <c r="F614" t="s">
        <v>2914</v>
      </c>
      <c r="G614" t="s">
        <v>107</v>
      </c>
      <c r="H614" t="str">
        <f>PROPER(TRIM(G614))</f>
        <v>Aditi Sen</v>
      </c>
      <c r="I614" t="s">
        <v>26</v>
      </c>
      <c r="J614" t="str">
        <f>PROPER(TRIM(I614))</f>
        <v>Consumer</v>
      </c>
      <c r="K614" t="s">
        <v>42</v>
      </c>
      <c r="L614" t="s">
        <v>43</v>
      </c>
      <c r="M614" t="s">
        <v>44</v>
      </c>
      <c r="N614" t="s">
        <v>86</v>
      </c>
      <c r="O614" t="str">
        <f>TRIM(N614)</f>
        <v>Technology</v>
      </c>
      <c r="P614" t="s">
        <v>223</v>
      </c>
      <c r="Q614" t="s">
        <v>2915</v>
      </c>
      <c r="R614" t="s">
        <v>67</v>
      </c>
      <c r="S614" t="s">
        <v>67</v>
      </c>
      <c r="T614">
        <v>1</v>
      </c>
      <c r="U614">
        <v>3844.01</v>
      </c>
      <c r="V614">
        <v>0</v>
      </c>
      <c r="W614">
        <v>3844.01</v>
      </c>
      <c r="X614">
        <v>2195.79</v>
      </c>
      <c r="Y614">
        <v>1648.22</v>
      </c>
      <c r="Z614" t="s">
        <v>34</v>
      </c>
      <c r="AA614" t="s">
        <v>35</v>
      </c>
    </row>
    <row r="615" spans="1:27">
      <c r="A615" t="s">
        <v>2916</v>
      </c>
      <c r="B615" t="s">
        <v>2448</v>
      </c>
      <c r="C615" t="s">
        <v>2917</v>
      </c>
      <c r="D615"/>
      <c r="E615" s="7">
        <f>IF(OR(D615="Invalid",D615&lt;0),"",D615)</f>
        <v>0</v>
      </c>
      <c r="F615" t="s">
        <v>2918</v>
      </c>
      <c r="G615" t="s">
        <v>210</v>
      </c>
      <c r="H615" t="str">
        <f>PROPER(TRIM(G615))</f>
        <v>Diya Patel</v>
      </c>
      <c r="I615" t="s">
        <v>115</v>
      </c>
      <c r="J615" t="str">
        <f>PROPER(TRIM(I615))</f>
        <v>Home Office</v>
      </c>
      <c r="K615" t="s">
        <v>73</v>
      </c>
      <c r="L615" t="s">
        <v>235</v>
      </c>
      <c r="M615" t="s">
        <v>236</v>
      </c>
      <c r="N615" t="s">
        <v>86</v>
      </c>
      <c r="O615" t="str">
        <f>TRIM(N615)</f>
        <v>Technology</v>
      </c>
      <c r="P615" t="s">
        <v>382</v>
      </c>
      <c r="Q615" t="s">
        <v>2919</v>
      </c>
      <c r="R615" t="s">
        <v>48</v>
      </c>
      <c r="S615" t="s">
        <v>48</v>
      </c>
      <c r="T615">
        <v>9</v>
      </c>
      <c r="U615">
        <v>3361.3</v>
      </c>
      <c r="V615">
        <v>0.25</v>
      </c>
      <c r="W615">
        <v>22688.78</v>
      </c>
      <c r="X615">
        <v>14672.41</v>
      </c>
      <c r="Y615">
        <v>8016.37</v>
      </c>
      <c r="Z615" t="s">
        <v>34</v>
      </c>
      <c r="AA615" t="s">
        <v>35</v>
      </c>
    </row>
    <row r="616" spans="1:27">
      <c r="A616" t="s">
        <v>2920</v>
      </c>
      <c r="B616" t="s">
        <v>2306</v>
      </c>
      <c r="C616" t="s">
        <v>2921</v>
      </c>
      <c r="D616"/>
      <c r="E616" s="7">
        <f>IF(OR(D616="Invalid",D616&lt;0),"",D616)</f>
        <v>0</v>
      </c>
      <c r="F616" t="s">
        <v>2922</v>
      </c>
      <c r="G616" t="s">
        <v>72</v>
      </c>
      <c r="H616" t="str">
        <f>PROPER(TRIM(G616))</f>
        <v>Ananya Rao</v>
      </c>
      <c r="I616" t="s">
        <v>115</v>
      </c>
      <c r="J616" t="str">
        <f>PROPER(TRIM(I616))</f>
        <v>Home Office</v>
      </c>
      <c r="K616" t="s">
        <v>62</v>
      </c>
      <c r="L616" t="s">
        <v>63</v>
      </c>
      <c r="M616" t="s">
        <v>64</v>
      </c>
      <c r="N616" t="s">
        <v>45</v>
      </c>
      <c r="O616" t="str">
        <f>TRIM(N616)</f>
        <v>Furniture</v>
      </c>
      <c r="P616" t="s">
        <v>76</v>
      </c>
      <c r="Q616" t="s">
        <v>2923</v>
      </c>
      <c r="R616" t="s">
        <v>67</v>
      </c>
      <c r="S616" t="s">
        <v>67</v>
      </c>
      <c r="T616">
        <v>8</v>
      </c>
      <c r="U616">
        <v>3398.32</v>
      </c>
      <c r="V616">
        <v>0.25</v>
      </c>
      <c r="W616">
        <v>20389.919999999998</v>
      </c>
      <c r="X616">
        <v>16661.080000000002</v>
      </c>
      <c r="Y616">
        <v>3728.84</v>
      </c>
      <c r="Z616" t="s">
        <v>124</v>
      </c>
      <c r="AA616" t="s">
        <v>78</v>
      </c>
    </row>
    <row r="617" spans="1:27">
      <c r="A617" t="s">
        <v>2924</v>
      </c>
      <c r="B617" t="s">
        <v>2925</v>
      </c>
      <c r="C617" t="s">
        <v>2926</v>
      </c>
      <c r="D617"/>
      <c r="E617" s="7">
        <f>IF(OR(D617="Invalid",D617&lt;0),"",D617)</f>
        <v>0</v>
      </c>
      <c r="F617" t="s">
        <v>2927</v>
      </c>
      <c r="G617" t="s">
        <v>148</v>
      </c>
      <c r="H617" t="str">
        <f>PROPER(TRIM(G617))</f>
        <v>Rahul Verma</v>
      </c>
      <c r="I617" t="s">
        <v>108</v>
      </c>
      <c r="J617" t="str">
        <f>PROPER(TRIM(I617))</f>
        <v>Corporate</v>
      </c>
      <c r="K617" t="s">
        <v>62</v>
      </c>
      <c r="L617" t="s">
        <v>242</v>
      </c>
      <c r="M617" t="s">
        <v>243</v>
      </c>
      <c r="N617" t="s">
        <v>30</v>
      </c>
      <c r="O617" t="str">
        <f>TRIM(N617)</f>
        <v>Office Supplies</v>
      </c>
      <c r="P617" t="s">
        <v>54</v>
      </c>
      <c r="Q617" t="s">
        <v>2928</v>
      </c>
      <c r="R617" t="s">
        <v>33</v>
      </c>
      <c r="S617" t="s">
        <v>33</v>
      </c>
      <c r="T617">
        <v>2</v>
      </c>
      <c r="U617">
        <v>3144.38</v>
      </c>
      <c r="V617">
        <v>0.1</v>
      </c>
      <c r="W617">
        <v>5904.57</v>
      </c>
      <c r="X617">
        <v>4337.79</v>
      </c>
      <c r="Y617">
        <v>1322.09</v>
      </c>
      <c r="Z617" t="s">
        <v>34</v>
      </c>
      <c r="AA617" t="s">
        <v>35</v>
      </c>
    </row>
    <row r="618" spans="1:27">
      <c r="A618" t="s">
        <v>2929</v>
      </c>
      <c r="B618" t="s">
        <v>2930</v>
      </c>
      <c r="C618" t="s">
        <v>2861</v>
      </c>
      <c r="D618"/>
      <c r="E618" s="7">
        <f>IF(OR(D618="Invalid",D618&lt;0),"",D618)</f>
        <v>0</v>
      </c>
      <c r="F618" t="s">
        <v>2931</v>
      </c>
      <c r="G618" t="s">
        <v>366</v>
      </c>
      <c r="H618" t="str">
        <f>PROPER(TRIM(G618))</f>
        <v>Kabir Singh</v>
      </c>
      <c r="I618" t="s">
        <v>26</v>
      </c>
      <c r="J618" t="str">
        <f>PROPER(TRIM(I618))</f>
        <v>Consumer</v>
      </c>
      <c r="K618" t="s">
        <v>62</v>
      </c>
      <c r="L618" t="s">
        <v>63</v>
      </c>
      <c r="M618" t="s">
        <v>64</v>
      </c>
      <c r="N618" t="s">
        <v>30</v>
      </c>
      <c r="O618" t="str">
        <f>TRIM(N618)</f>
        <v>Office Supplies</v>
      </c>
      <c r="P618" t="s">
        <v>31</v>
      </c>
      <c r="Q618" t="s">
        <v>2932</v>
      </c>
      <c r="R618" t="s">
        <v>67</v>
      </c>
      <c r="S618" t="s">
        <v>67</v>
      </c>
      <c r="T618">
        <v>6</v>
      </c>
      <c r="U618">
        <v>3925.55</v>
      </c>
      <c r="V618">
        <v>0.2</v>
      </c>
      <c r="W618">
        <v>18842.64</v>
      </c>
      <c r="X618">
        <v>11840.58</v>
      </c>
      <c r="Y618">
        <v>7002.06</v>
      </c>
      <c r="Z618" t="s">
        <v>34</v>
      </c>
      <c r="AA618" t="s">
        <v>35</v>
      </c>
    </row>
    <row r="619" spans="1:27">
      <c r="A619" t="s">
        <v>2933</v>
      </c>
      <c r="B619" t="s">
        <v>2934</v>
      </c>
      <c r="C619" t="s">
        <v>974</v>
      </c>
      <c r="D619"/>
      <c r="E619" s="7">
        <f>IF(OR(D619="Invalid",D619&lt;0),"",D619)</f>
        <v>0</v>
      </c>
      <c r="F619" t="s">
        <v>2935</v>
      </c>
      <c r="G619" t="s">
        <v>40</v>
      </c>
      <c r="H619" t="str">
        <f>PROPER(TRIM(G619))</f>
        <v>Mira Das</v>
      </c>
      <c r="I619" t="s">
        <v>115</v>
      </c>
      <c r="J619" t="str">
        <f>PROPER(TRIM(I619))</f>
        <v>Home Office</v>
      </c>
      <c r="K619" t="s">
        <v>62</v>
      </c>
      <c r="L619" t="s">
        <v>63</v>
      </c>
      <c r="M619" t="s">
        <v>64</v>
      </c>
      <c r="N619" t="s">
        <v>86</v>
      </c>
      <c r="O619" t="str">
        <f>TRIM(N619)</f>
        <v>Technology</v>
      </c>
      <c r="P619" t="s">
        <v>223</v>
      </c>
      <c r="Q619" t="s">
        <v>2936</v>
      </c>
      <c r="R619" t="s">
        <v>67</v>
      </c>
      <c r="S619" t="s">
        <v>67</v>
      </c>
      <c r="T619">
        <v>9</v>
      </c>
      <c r="U619">
        <v>2741.91</v>
      </c>
      <c r="V619">
        <v>0</v>
      </c>
      <c r="W619">
        <v>24677.19</v>
      </c>
      <c r="X619">
        <v>20350.849999999999</v>
      </c>
      <c r="Y619">
        <v>4326.34</v>
      </c>
      <c r="Z619" t="s">
        <v>34</v>
      </c>
      <c r="AA619" t="s">
        <v>35</v>
      </c>
    </row>
    <row r="620" spans="1:27">
      <c r="A620" t="s">
        <v>2937</v>
      </c>
      <c r="B620" t="s">
        <v>2938</v>
      </c>
      <c r="C620" t="s">
        <v>529</v>
      </c>
      <c r="D620"/>
      <c r="E620" s="7">
        <f>IF(OR(D620="Invalid",D620&lt;0),"",D620)</f>
        <v>0</v>
      </c>
      <c r="F620" t="s">
        <v>2939</v>
      </c>
      <c r="G620" t="s">
        <v>366</v>
      </c>
      <c r="H620" t="str">
        <f>PROPER(TRIM(G620))</f>
        <v>Kabir Singh</v>
      </c>
      <c r="I620" t="s">
        <v>108</v>
      </c>
      <c r="J620" t="str">
        <f>PROPER(TRIM(I620))</f>
        <v>Corporate</v>
      </c>
      <c r="K620" t="s">
        <v>27</v>
      </c>
      <c r="L620" t="s">
        <v>28</v>
      </c>
      <c r="M620" t="s">
        <v>29</v>
      </c>
      <c r="N620" t="s">
        <v>45</v>
      </c>
      <c r="O620" t="str">
        <f>TRIM(N620)</f>
        <v>Furniture</v>
      </c>
      <c r="P620" t="s">
        <v>46</v>
      </c>
      <c r="Q620" t="s">
        <v>2940</v>
      </c>
      <c r="R620" t="s">
        <v>48</v>
      </c>
      <c r="S620" t="s">
        <v>48</v>
      </c>
      <c r="T620">
        <v>9</v>
      </c>
      <c r="U620">
        <v>1870.11</v>
      </c>
      <c r="V620">
        <v>0.25</v>
      </c>
      <c r="W620">
        <v>12623.24</v>
      </c>
      <c r="X620">
        <v>10540.8</v>
      </c>
      <c r="Y620">
        <v>2082.44</v>
      </c>
      <c r="Z620" t="s">
        <v>200</v>
      </c>
      <c r="AA620" t="s">
        <v>78</v>
      </c>
    </row>
    <row r="621" spans="1:27">
      <c r="A621" t="s">
        <v>2941</v>
      </c>
      <c r="B621" t="s">
        <v>911</v>
      </c>
      <c r="C621" t="s">
        <v>2942</v>
      </c>
      <c r="D621"/>
      <c r="E621" s="7">
        <f>IF(OR(D621="Invalid",D621&lt;0),"",D621)</f>
        <v>0</v>
      </c>
      <c r="F621" t="s">
        <v>2943</v>
      </c>
      <c r="G621" t="s">
        <v>142</v>
      </c>
      <c r="H621" t="str">
        <f>PROPER(TRIM(G621))</f>
        <v>Priya Menon</v>
      </c>
      <c r="I621" t="s">
        <v>108</v>
      </c>
      <c r="J621" t="str">
        <f>PROPER(TRIM(I621))</f>
        <v>Corporate</v>
      </c>
      <c r="K621" t="s">
        <v>62</v>
      </c>
      <c r="L621" t="s">
        <v>339</v>
      </c>
      <c r="M621" t="s">
        <v>340</v>
      </c>
      <c r="N621" t="s">
        <v>30</v>
      </c>
      <c r="O621" t="str">
        <f>TRIM(N621)</f>
        <v>Office Supplies</v>
      </c>
      <c r="P621" t="s">
        <v>198</v>
      </c>
      <c r="Q621" t="s">
        <v>2944</v>
      </c>
      <c r="R621" t="s">
        <v>56</v>
      </c>
      <c r="S621" t="s">
        <v>56</v>
      </c>
      <c r="T621">
        <v>1</v>
      </c>
      <c r="U621">
        <v>4251.26</v>
      </c>
      <c r="V621">
        <v>0.2</v>
      </c>
      <c r="W621">
        <v>3401.01</v>
      </c>
      <c r="X621">
        <v>2917.54</v>
      </c>
      <c r="Y621">
        <v>483.47</v>
      </c>
      <c r="Z621" t="s">
        <v>124</v>
      </c>
      <c r="AA621" t="s">
        <v>125</v>
      </c>
    </row>
    <row r="622" spans="1:27">
      <c r="A622" t="s">
        <v>2945</v>
      </c>
      <c r="B622" t="s">
        <v>2946</v>
      </c>
      <c r="C622" t="s">
        <v>2947</v>
      </c>
      <c r="D622"/>
      <c r="E622" s="7">
        <f>IF(OR(D622="Invalid",D622&lt;0),"",D622)</f>
        <v>0</v>
      </c>
      <c r="F622" t="s">
        <v>2948</v>
      </c>
      <c r="G622" t="s">
        <v>83</v>
      </c>
      <c r="H622" t="str">
        <f>PROPER(TRIM(G622))</f>
        <v>Vikram Iyer</v>
      </c>
      <c r="I622" t="s">
        <v>26</v>
      </c>
      <c r="J622" t="str">
        <f>PROPER(TRIM(I622))</f>
        <v>Consumer</v>
      </c>
      <c r="K622" t="s">
        <v>27</v>
      </c>
      <c r="L622" t="s">
        <v>174</v>
      </c>
      <c r="M622" t="s">
        <v>175</v>
      </c>
      <c r="N622" t="s">
        <v>86</v>
      </c>
      <c r="O622" t="str">
        <f>TRIM(N622)</f>
        <v>Technology</v>
      </c>
      <c r="P622" t="s">
        <v>382</v>
      </c>
      <c r="Q622" t="s">
        <v>2949</v>
      </c>
      <c r="R622" t="s">
        <v>67</v>
      </c>
      <c r="S622" t="s">
        <v>67</v>
      </c>
      <c r="T622">
        <v>9</v>
      </c>
      <c r="U622">
        <v>734.34</v>
      </c>
      <c r="V622">
        <v>0</v>
      </c>
      <c r="W622">
        <v>6609.06</v>
      </c>
      <c r="X622">
        <v>4946.78</v>
      </c>
      <c r="Y622">
        <v>1662.28</v>
      </c>
      <c r="Z622" t="s">
        <v>34</v>
      </c>
      <c r="AA622" t="s">
        <v>35</v>
      </c>
    </row>
    <row r="623" spans="1:27">
      <c r="A623" t="s">
        <v>2950</v>
      </c>
      <c r="B623" t="s">
        <v>58</v>
      </c>
      <c r="C623" t="s">
        <v>2951</v>
      </c>
      <c r="D623"/>
      <c r="E623" s="7">
        <f>IF(OR(D623="Invalid",D623&lt;0),"",D623)</f>
        <v>0</v>
      </c>
      <c r="F623" t="s">
        <v>2952</v>
      </c>
      <c r="G623" t="s">
        <v>107</v>
      </c>
      <c r="H623" t="str">
        <f>PROPER(TRIM(G623))</f>
        <v>Aditi Sen</v>
      </c>
      <c r="I623" t="s">
        <v>26</v>
      </c>
      <c r="J623" t="str">
        <f>PROPER(TRIM(I623))</f>
        <v>Consumer</v>
      </c>
      <c r="K623" t="s">
        <v>73</v>
      </c>
      <c r="L623" t="s">
        <v>74</v>
      </c>
      <c r="M623" t="s">
        <v>75</v>
      </c>
      <c r="N623" t="s">
        <v>45</v>
      </c>
      <c r="O623" t="str">
        <f>TRIM(N623)</f>
        <v>Furniture</v>
      </c>
      <c r="P623" t="s">
        <v>76</v>
      </c>
      <c r="Q623" t="s">
        <v>2953</v>
      </c>
      <c r="R623" t="s">
        <v>48</v>
      </c>
      <c r="S623" t="s">
        <v>48</v>
      </c>
      <c r="T623">
        <v>5</v>
      </c>
      <c r="U623">
        <v>1092.8399999999999</v>
      </c>
      <c r="W623">
        <v>5464.2</v>
      </c>
      <c r="X623">
        <v>3318.09</v>
      </c>
      <c r="Y623">
        <v>2146.11</v>
      </c>
      <c r="Z623" t="s">
        <v>34</v>
      </c>
      <c r="AA623" t="s">
        <v>35</v>
      </c>
    </row>
    <row r="624" spans="1:27">
      <c r="A624" t="s">
        <v>2954</v>
      </c>
      <c r="B624" t="s">
        <v>2955</v>
      </c>
      <c r="C624" t="s">
        <v>2956</v>
      </c>
      <c r="D624"/>
      <c r="E624" s="7">
        <f>IF(OR(D624="Invalid",D624&lt;0),"",D624)</f>
        <v>0</v>
      </c>
      <c r="F624" t="s">
        <v>2957</v>
      </c>
      <c r="G624" t="s">
        <v>83</v>
      </c>
      <c r="H624" t="str">
        <f>PROPER(TRIM(G624))</f>
        <v>Vikram Iyer</v>
      </c>
      <c r="I624" t="s">
        <v>26</v>
      </c>
      <c r="J624" t="str">
        <f>PROPER(TRIM(I624))</f>
        <v>Consumer</v>
      </c>
      <c r="K624" t="s">
        <v>42</v>
      </c>
      <c r="L624" t="s">
        <v>186</v>
      </c>
      <c r="M624" t="s">
        <v>187</v>
      </c>
      <c r="N624" t="s">
        <v>30</v>
      </c>
      <c r="O624" t="str">
        <f>TRIM(N624)</f>
        <v>Office Supplies</v>
      </c>
      <c r="P624" t="s">
        <v>156</v>
      </c>
      <c r="Q624" t="s">
        <v>2958</v>
      </c>
      <c r="R624" t="s">
        <v>67</v>
      </c>
      <c r="S624" t="s">
        <v>67</v>
      </c>
      <c r="T624">
        <v>4</v>
      </c>
      <c r="U624">
        <v>2759.01</v>
      </c>
      <c r="V624">
        <v>0.05</v>
      </c>
      <c r="W624">
        <v>10484.24</v>
      </c>
      <c r="X624">
        <v>6680.15</v>
      </c>
      <c r="Y624">
        <v>3804.09</v>
      </c>
      <c r="Z624" t="s">
        <v>34</v>
      </c>
      <c r="AA624" t="s">
        <v>35</v>
      </c>
    </row>
    <row r="625" spans="1:27">
      <c r="A625" t="s">
        <v>2959</v>
      </c>
      <c r="B625" t="s">
        <v>2960</v>
      </c>
      <c r="C625" t="s">
        <v>2961</v>
      </c>
      <c r="D625"/>
      <c r="E625" s="7">
        <f>IF(OR(D625="Invalid",D625&lt;0),"",D625)</f>
        <v>0</v>
      </c>
      <c r="F625" t="s">
        <v>2962</v>
      </c>
      <c r="G625" t="s">
        <v>83</v>
      </c>
      <c r="H625" t="str">
        <f>PROPER(TRIM(G625))</f>
        <v>Vikram Iyer</v>
      </c>
      <c r="I625" t="s">
        <v>115</v>
      </c>
      <c r="J625" t="str">
        <f>PROPER(TRIM(I625))</f>
        <v>Home Office</v>
      </c>
      <c r="K625" t="s">
        <v>27</v>
      </c>
      <c r="L625" t="s">
        <v>154</v>
      </c>
      <c r="M625" t="s">
        <v>155</v>
      </c>
      <c r="N625" t="s">
        <v>30</v>
      </c>
      <c r="O625" t="str">
        <f>TRIM(N625)</f>
        <v>Office Supplies</v>
      </c>
      <c r="P625" t="s">
        <v>156</v>
      </c>
      <c r="Q625" t="s">
        <v>2963</v>
      </c>
      <c r="R625" t="s">
        <v>33</v>
      </c>
      <c r="S625" t="s">
        <v>33</v>
      </c>
      <c r="T625">
        <v>8</v>
      </c>
      <c r="U625">
        <v>1359.19</v>
      </c>
      <c r="V625">
        <v>0.05</v>
      </c>
      <c r="W625">
        <v>10329.84</v>
      </c>
      <c r="X625">
        <v>7512.22</v>
      </c>
      <c r="Y625">
        <v>2817.62</v>
      </c>
      <c r="Z625" t="s">
        <v>34</v>
      </c>
      <c r="AA625" t="s">
        <v>35</v>
      </c>
    </row>
    <row r="626" spans="1:27">
      <c r="A626" t="s">
        <v>2964</v>
      </c>
      <c r="B626" t="s">
        <v>2965</v>
      </c>
      <c r="C626" t="s">
        <v>2966</v>
      </c>
      <c r="D626"/>
      <c r="E626" s="7">
        <f>IF(OR(D626="Invalid",D626&lt;0),"",D626)</f>
        <v>0</v>
      </c>
      <c r="F626" t="s">
        <v>2967</v>
      </c>
      <c r="G626" t="s">
        <v>93</v>
      </c>
      <c r="H626" t="str">
        <f>PROPER(TRIM(G626))</f>
        <v>Neha Gupta</v>
      </c>
      <c r="I626" t="s">
        <v>115</v>
      </c>
      <c r="J626" t="str">
        <f>PROPER(TRIM(I626))</f>
        <v>Home Office</v>
      </c>
      <c r="K626" t="s">
        <v>42</v>
      </c>
      <c r="L626" t="s">
        <v>216</v>
      </c>
      <c r="M626" t="s">
        <v>217</v>
      </c>
      <c r="N626" t="s">
        <v>45</v>
      </c>
      <c r="O626" t="str">
        <f>TRIM(N626)</f>
        <v>Furniture</v>
      </c>
      <c r="P626" t="s">
        <v>76</v>
      </c>
      <c r="Q626" t="s">
        <v>2968</v>
      </c>
      <c r="R626" t="s">
        <v>56</v>
      </c>
      <c r="S626" t="s">
        <v>56</v>
      </c>
      <c r="T626">
        <v>2</v>
      </c>
      <c r="U626">
        <v>4451.03</v>
      </c>
      <c r="V626">
        <v>0.05</v>
      </c>
      <c r="W626">
        <v>8456.9599999999991</v>
      </c>
      <c r="X626">
        <v>5462.85</v>
      </c>
      <c r="Y626">
        <v>2994.11</v>
      </c>
      <c r="Z626" t="s">
        <v>34</v>
      </c>
      <c r="AA626" t="s">
        <v>35</v>
      </c>
    </row>
    <row r="627" spans="1:27">
      <c r="A627" t="s">
        <v>2969</v>
      </c>
      <c r="B627" t="s">
        <v>2970</v>
      </c>
      <c r="C627" t="s">
        <v>1404</v>
      </c>
      <c r="D627"/>
      <c r="E627" s="7">
        <f>IF(OR(D627="Invalid",D627&lt;0),"",D627)</f>
        <v>0</v>
      </c>
      <c r="F627" t="s">
        <v>2971</v>
      </c>
      <c r="G627" t="s">
        <v>210</v>
      </c>
      <c r="H627" t="str">
        <f>PROPER(TRIM(G627))</f>
        <v>Diya Patel</v>
      </c>
      <c r="I627" t="s">
        <v>108</v>
      </c>
      <c r="J627" t="str">
        <f>PROPER(TRIM(I627))</f>
        <v>Corporate</v>
      </c>
      <c r="K627" t="s">
        <v>73</v>
      </c>
      <c r="L627" t="s">
        <v>28</v>
      </c>
      <c r="M627" t="s">
        <v>135</v>
      </c>
      <c r="N627" t="s">
        <v>45</v>
      </c>
      <c r="O627" t="str">
        <f>TRIM(N627)</f>
        <v>Furniture</v>
      </c>
      <c r="P627" t="s">
        <v>76</v>
      </c>
      <c r="Q627" t="s">
        <v>2972</v>
      </c>
      <c r="R627" t="s">
        <v>48</v>
      </c>
      <c r="S627" t="s">
        <v>48</v>
      </c>
      <c r="T627">
        <v>3</v>
      </c>
      <c r="U627">
        <v>527.66999999999996</v>
      </c>
      <c r="V627">
        <v>0.2</v>
      </c>
      <c r="W627">
        <v>1266.4100000000001</v>
      </c>
      <c r="X627">
        <v>983.92</v>
      </c>
      <c r="Y627">
        <v>282.49</v>
      </c>
      <c r="Z627" t="s">
        <v>34</v>
      </c>
      <c r="AA627" t="s">
        <v>35</v>
      </c>
    </row>
    <row r="628" spans="1:27">
      <c r="A628" t="s">
        <v>2973</v>
      </c>
      <c r="B628" t="s">
        <v>1389</v>
      </c>
      <c r="C628" t="s">
        <v>2974</v>
      </c>
      <c r="D628"/>
      <c r="E628" s="7">
        <f>IF(OR(D628="Invalid",D628&lt;0),"",D628)</f>
        <v>0</v>
      </c>
      <c r="F628" t="s">
        <v>2975</v>
      </c>
      <c r="G628" t="s">
        <v>168</v>
      </c>
      <c r="H628" t="str">
        <f>PROPER(TRIM(G628))</f>
        <v>Sneha Kapoor</v>
      </c>
      <c r="I628" t="s">
        <v>115</v>
      </c>
      <c r="J628" t="str">
        <f>PROPER(TRIM(I628))</f>
        <v>Home Office</v>
      </c>
      <c r="K628" t="s">
        <v>42</v>
      </c>
      <c r="L628" t="s">
        <v>216</v>
      </c>
      <c r="M628" t="s">
        <v>217</v>
      </c>
      <c r="N628" t="s">
        <v>86</v>
      </c>
      <c r="O628" t="str">
        <f>TRIM(N628)</f>
        <v>Technology</v>
      </c>
      <c r="P628" t="s">
        <v>382</v>
      </c>
      <c r="Q628" t="s">
        <v>2976</v>
      </c>
      <c r="R628" t="s">
        <v>67</v>
      </c>
      <c r="S628" t="s">
        <v>67</v>
      </c>
      <c r="T628">
        <v>8</v>
      </c>
      <c r="U628">
        <v>1434.13</v>
      </c>
      <c r="V628">
        <v>0</v>
      </c>
      <c r="W628">
        <v>11473.04</v>
      </c>
      <c r="X628">
        <v>8931.33</v>
      </c>
      <c r="Y628">
        <v>2541.71</v>
      </c>
      <c r="Z628" t="s">
        <v>137</v>
      </c>
      <c r="AA628" t="s">
        <v>125</v>
      </c>
    </row>
    <row r="629" spans="1:27">
      <c r="A629" t="s">
        <v>2977</v>
      </c>
      <c r="B629" t="s">
        <v>1414</v>
      </c>
      <c r="C629" t="s">
        <v>1775</v>
      </c>
      <c r="D629"/>
      <c r="E629" s="7">
        <f>IF(OR(D629="Invalid",D629&lt;0),"",D629)</f>
        <v>0</v>
      </c>
      <c r="F629" t="s">
        <v>2978</v>
      </c>
      <c r="G629" t="s">
        <v>25</v>
      </c>
      <c r="H629" t="str">
        <f>PROPER(TRIM(G629))</f>
        <v>Karan Malhotra</v>
      </c>
      <c r="I629" t="s">
        <v>41</v>
      </c>
      <c r="J629" t="str">
        <f>PROPER(TRIM(I629))</f>
        <v>Small Business</v>
      </c>
      <c r="K629" t="s">
        <v>62</v>
      </c>
      <c r="L629" t="s">
        <v>242</v>
      </c>
      <c r="M629" t="s">
        <v>243</v>
      </c>
      <c r="N629" t="s">
        <v>86</v>
      </c>
      <c r="O629" t="str">
        <f>TRIM(N629)</f>
        <v>Technology</v>
      </c>
      <c r="P629" t="s">
        <v>223</v>
      </c>
      <c r="Q629" t="s">
        <v>2979</v>
      </c>
      <c r="R629" t="s">
        <v>33</v>
      </c>
      <c r="S629" t="s">
        <v>33</v>
      </c>
      <c r="T629">
        <v>2</v>
      </c>
      <c r="U629">
        <v>2360.02</v>
      </c>
      <c r="V629">
        <v>0.15</v>
      </c>
      <c r="W629">
        <v>4012.03</v>
      </c>
      <c r="X629">
        <v>3142.92</v>
      </c>
      <c r="Y629">
        <v>869.11</v>
      </c>
      <c r="Z629" t="s">
        <v>137</v>
      </c>
      <c r="AA629" t="s">
        <v>78</v>
      </c>
    </row>
    <row r="630" spans="1:27">
      <c r="A630" t="s">
        <v>2980</v>
      </c>
      <c r="B630" t="s">
        <v>2553</v>
      </c>
      <c r="C630" t="s">
        <v>2981</v>
      </c>
      <c r="D630"/>
      <c r="E630" s="7">
        <f>IF(OR(D630="Invalid",D630&lt;0),"",D630)</f>
        <v>0</v>
      </c>
      <c r="F630" t="s">
        <v>2982</v>
      </c>
      <c r="G630" t="s">
        <v>72</v>
      </c>
      <c r="H630" t="str">
        <f>PROPER(TRIM(G630))</f>
        <v>Ananya Rao</v>
      </c>
      <c r="I630" t="s">
        <v>115</v>
      </c>
      <c r="J630" t="str">
        <f>PROPER(TRIM(I630))</f>
        <v>Home Office</v>
      </c>
      <c r="K630" t="s">
        <v>42</v>
      </c>
      <c r="L630" t="s">
        <v>311</v>
      </c>
      <c r="M630" t="s">
        <v>312</v>
      </c>
      <c r="N630" t="s">
        <v>86</v>
      </c>
      <c r="O630" t="str">
        <f>TRIM(N630)</f>
        <v>Technology</v>
      </c>
      <c r="P630" t="s">
        <v>87</v>
      </c>
      <c r="Q630" t="s">
        <v>2983</v>
      </c>
      <c r="R630" t="s">
        <v>48</v>
      </c>
      <c r="S630" t="s">
        <v>48</v>
      </c>
      <c r="T630">
        <v>7</v>
      </c>
      <c r="U630">
        <v>806.67</v>
      </c>
      <c r="V630">
        <v>0.05</v>
      </c>
      <c r="W630">
        <v>5364.36</v>
      </c>
      <c r="X630">
        <v>4391.29</v>
      </c>
      <c r="Y630">
        <v>973.07</v>
      </c>
      <c r="Z630" t="s">
        <v>34</v>
      </c>
      <c r="AA630" t="s">
        <v>35</v>
      </c>
    </row>
    <row r="631" spans="1:27">
      <c r="A631" t="s">
        <v>2984</v>
      </c>
      <c r="B631" t="s">
        <v>573</v>
      </c>
      <c r="C631" t="s">
        <v>2985</v>
      </c>
      <c r="D631"/>
      <c r="E631" s="7">
        <f>IF(OR(D631="Invalid",D631&lt;0),"",D631)</f>
        <v>0</v>
      </c>
      <c r="F631" t="s">
        <v>2986</v>
      </c>
      <c r="G631" t="s">
        <v>61</v>
      </c>
      <c r="H631" t="str">
        <f>PROPER(TRIM(G631))</f>
        <v>Arjun Bose</v>
      </c>
      <c r="I631" t="s">
        <v>115</v>
      </c>
      <c r="J631" t="str">
        <f>PROPER(TRIM(I631))</f>
        <v>Home Office</v>
      </c>
      <c r="K631" t="s">
        <v>73</v>
      </c>
      <c r="L631" t="s">
        <v>235</v>
      </c>
      <c r="M631" t="s">
        <v>236</v>
      </c>
      <c r="N631" t="s">
        <v>45</v>
      </c>
      <c r="O631" t="str">
        <f>TRIM(N631)</f>
        <v>Furniture</v>
      </c>
      <c r="P631" t="s">
        <v>46</v>
      </c>
      <c r="Q631" t="s">
        <v>2987</v>
      </c>
      <c r="R631" t="s">
        <v>48</v>
      </c>
      <c r="S631" t="s">
        <v>48</v>
      </c>
      <c r="T631">
        <v>3</v>
      </c>
      <c r="U631">
        <v>4198.46</v>
      </c>
      <c r="V631">
        <v>0.15</v>
      </c>
      <c r="W631">
        <v>10706.07</v>
      </c>
      <c r="X631">
        <v>5927.1</v>
      </c>
      <c r="Y631">
        <v>4778.97</v>
      </c>
      <c r="Z631" t="s">
        <v>34</v>
      </c>
      <c r="AA631" t="s">
        <v>35</v>
      </c>
    </row>
    <row r="632" spans="1:27">
      <c r="A632" t="s">
        <v>2988</v>
      </c>
      <c r="B632" t="s">
        <v>2443</v>
      </c>
      <c r="C632" t="s">
        <v>1497</v>
      </c>
      <c r="D632"/>
      <c r="E632" s="7">
        <f>IF(OR(D632="Invalid",D632&lt;0),"",D632)</f>
        <v>0</v>
      </c>
      <c r="F632" t="s">
        <v>2989</v>
      </c>
      <c r="G632" t="s">
        <v>142</v>
      </c>
      <c r="H632" t="str">
        <f>PROPER(TRIM(G632))</f>
        <v>Priya Menon</v>
      </c>
      <c r="I632" t="s">
        <v>108</v>
      </c>
      <c r="J632" t="str">
        <f>PROPER(TRIM(I632))</f>
        <v>Corporate</v>
      </c>
      <c r="K632" t="s">
        <v>42</v>
      </c>
      <c r="L632" t="s">
        <v>216</v>
      </c>
      <c r="M632" t="s">
        <v>217</v>
      </c>
      <c r="N632" t="s">
        <v>30</v>
      </c>
      <c r="O632" t="str">
        <f>TRIM(N632)</f>
        <v>Office Supplies</v>
      </c>
      <c r="P632" t="s">
        <v>31</v>
      </c>
      <c r="Q632" t="s">
        <v>2990</v>
      </c>
      <c r="R632" t="s">
        <v>67</v>
      </c>
      <c r="S632" t="s">
        <v>67</v>
      </c>
      <c r="T632">
        <v>4</v>
      </c>
      <c r="U632">
        <v>3047.05</v>
      </c>
      <c r="V632">
        <v>0.1</v>
      </c>
      <c r="W632">
        <v>10969.38</v>
      </c>
      <c r="X632">
        <v>9254.4599999999991</v>
      </c>
      <c r="Y632">
        <v>1714.92</v>
      </c>
      <c r="Z632" t="s">
        <v>34</v>
      </c>
      <c r="AA632" t="s">
        <v>35</v>
      </c>
    </row>
    <row r="633" spans="1:27">
      <c r="A633" t="s">
        <v>2991</v>
      </c>
      <c r="B633" t="s">
        <v>1440</v>
      </c>
      <c r="C633" t="s">
        <v>1540</v>
      </c>
      <c r="D633"/>
      <c r="E633" s="7">
        <f>IF(OR(D633="Invalid",D633&lt;0),"",D633)</f>
        <v>0</v>
      </c>
      <c r="F633" t="s">
        <v>2992</v>
      </c>
      <c r="G633" t="s">
        <v>162</v>
      </c>
      <c r="H633" t="str">
        <f>PROPER(TRIM(G633))</f>
        <v>Aarav Sharma</v>
      </c>
      <c r="I633" t="s">
        <v>115</v>
      </c>
      <c r="J633" t="str">
        <f>PROPER(TRIM(I633))</f>
        <v>Home Office</v>
      </c>
      <c r="K633" t="s">
        <v>73</v>
      </c>
      <c r="L633" t="s">
        <v>28</v>
      </c>
      <c r="M633" t="s">
        <v>135</v>
      </c>
      <c r="N633" t="s">
        <v>45</v>
      </c>
      <c r="O633" t="str">
        <f>TRIM(N633)</f>
        <v>Furniture</v>
      </c>
      <c r="P633" t="s">
        <v>76</v>
      </c>
      <c r="Q633" t="s">
        <v>2993</v>
      </c>
      <c r="R633" t="s">
        <v>67</v>
      </c>
      <c r="S633" t="s">
        <v>67</v>
      </c>
      <c r="T633">
        <v>8</v>
      </c>
      <c r="U633">
        <v>4362.4799999999996</v>
      </c>
      <c r="V633">
        <v>0.1</v>
      </c>
      <c r="W633">
        <v>31409.86</v>
      </c>
      <c r="X633">
        <v>22523.54</v>
      </c>
      <c r="Y633">
        <v>8886.32</v>
      </c>
      <c r="Z633" t="s">
        <v>34</v>
      </c>
      <c r="AA633" t="s">
        <v>35</v>
      </c>
    </row>
    <row r="634" spans="1:27">
      <c r="A634" t="s">
        <v>2994</v>
      </c>
      <c r="B634" t="s">
        <v>2995</v>
      </c>
      <c r="C634" t="s">
        <v>2996</v>
      </c>
      <c r="D634"/>
      <c r="E634" s="7">
        <f>IF(OR(D634="Invalid",D634&lt;0),"",D634)</f>
        <v>0</v>
      </c>
      <c r="F634" t="s">
        <v>2997</v>
      </c>
      <c r="G634" t="s">
        <v>168</v>
      </c>
      <c r="H634" t="str">
        <f>PROPER(TRIM(G634))</f>
        <v>Sneha Kapoor</v>
      </c>
      <c r="I634" t="s">
        <v>41</v>
      </c>
      <c r="J634" t="str">
        <f>PROPER(TRIM(I634))</f>
        <v>Small Business</v>
      </c>
      <c r="K634" t="s">
        <v>62</v>
      </c>
      <c r="L634" t="s">
        <v>229</v>
      </c>
      <c r="M634" t="s">
        <v>230</v>
      </c>
      <c r="N634" t="s">
        <v>45</v>
      </c>
      <c r="O634" t="str">
        <f>TRIM(N634)</f>
        <v>Furniture</v>
      </c>
      <c r="P634" t="s">
        <v>65</v>
      </c>
      <c r="Q634" t="s">
        <v>2998</v>
      </c>
      <c r="R634" t="s">
        <v>56</v>
      </c>
      <c r="S634" t="s">
        <v>56</v>
      </c>
      <c r="T634">
        <v>5</v>
      </c>
      <c r="U634">
        <v>2850.53</v>
      </c>
      <c r="V634">
        <v>0</v>
      </c>
      <c r="W634">
        <v>14252.65</v>
      </c>
      <c r="X634">
        <v>11558.31</v>
      </c>
      <c r="Y634">
        <v>2694.34</v>
      </c>
      <c r="Z634" t="s">
        <v>34</v>
      </c>
      <c r="AA634" t="s">
        <v>35</v>
      </c>
    </row>
    <row r="635" spans="1:27">
      <c r="A635" t="s">
        <v>2999</v>
      </c>
      <c r="B635" t="s">
        <v>3000</v>
      </c>
      <c r="C635" t="s">
        <v>3001</v>
      </c>
      <c r="D635"/>
      <c r="E635" s="7">
        <f>IF(OR(D635="Invalid",D635&lt;0),"",D635)</f>
        <v>0</v>
      </c>
      <c r="F635" t="s">
        <v>3002</v>
      </c>
      <c r="G635" t="s">
        <v>162</v>
      </c>
      <c r="H635" t="str">
        <f>PROPER(TRIM(G635))</f>
        <v>Aarav Sharma</v>
      </c>
      <c r="I635" t="s">
        <v>41</v>
      </c>
      <c r="J635" t="str">
        <f>PROPER(TRIM(I635))</f>
        <v>Small Business</v>
      </c>
      <c r="K635" t="s">
        <v>62</v>
      </c>
      <c r="L635" t="s">
        <v>339</v>
      </c>
      <c r="M635" t="s">
        <v>340</v>
      </c>
      <c r="N635" t="s">
        <v>86</v>
      </c>
      <c r="O635" t="str">
        <f>TRIM(N635)</f>
        <v>Technology</v>
      </c>
      <c r="P635" t="s">
        <v>87</v>
      </c>
      <c r="Q635" t="s">
        <v>3003</v>
      </c>
      <c r="R635" t="s">
        <v>33</v>
      </c>
      <c r="S635" t="s">
        <v>33</v>
      </c>
      <c r="T635">
        <v>1</v>
      </c>
      <c r="U635">
        <v>1626.08</v>
      </c>
      <c r="V635">
        <v>0.15</v>
      </c>
      <c r="W635">
        <v>1382.17</v>
      </c>
      <c r="X635">
        <v>810.03</v>
      </c>
      <c r="Y635">
        <v>572.14</v>
      </c>
      <c r="Z635" t="s">
        <v>34</v>
      </c>
      <c r="AA635" t="s">
        <v>35</v>
      </c>
    </row>
    <row r="636" spans="1:27">
      <c r="A636" t="s">
        <v>3004</v>
      </c>
      <c r="B636" t="s">
        <v>3005</v>
      </c>
      <c r="C636" t="s">
        <v>2178</v>
      </c>
      <c r="D636"/>
      <c r="E636" s="7">
        <f>IF(OR(D636="Invalid",D636&lt;0),"",D636)</f>
        <v>0</v>
      </c>
      <c r="F636" t="s">
        <v>3006</v>
      </c>
      <c r="G636" t="s">
        <v>107</v>
      </c>
      <c r="H636" t="str">
        <f>PROPER(TRIM(G636))</f>
        <v>Aditi Sen</v>
      </c>
      <c r="I636" t="s">
        <v>26</v>
      </c>
      <c r="J636" t="str">
        <f>PROPER(TRIM(I636))</f>
        <v>Consumer</v>
      </c>
      <c r="K636" t="s">
        <v>62</v>
      </c>
      <c r="L636" t="s">
        <v>63</v>
      </c>
      <c r="M636" t="s">
        <v>64</v>
      </c>
      <c r="N636" t="s">
        <v>45</v>
      </c>
      <c r="O636" t="str">
        <f>TRIM(N636)</f>
        <v>Furniture</v>
      </c>
      <c r="P636" t="s">
        <v>76</v>
      </c>
      <c r="Q636" t="s">
        <v>3007</v>
      </c>
      <c r="R636" t="s">
        <v>33</v>
      </c>
      <c r="S636" t="s">
        <v>33</v>
      </c>
      <c r="T636">
        <v>4</v>
      </c>
      <c r="U636">
        <v>2427.15</v>
      </c>
      <c r="V636">
        <v>0.05</v>
      </c>
      <c r="W636">
        <v>9223.17</v>
      </c>
      <c r="X636">
        <v>5103.7</v>
      </c>
      <c r="Y636">
        <v>4119.47</v>
      </c>
      <c r="Z636" t="s">
        <v>34</v>
      </c>
      <c r="AA636" t="s">
        <v>35</v>
      </c>
    </row>
    <row r="637" spans="1:27">
      <c r="A637" t="s">
        <v>3008</v>
      </c>
      <c r="B637" t="s">
        <v>2904</v>
      </c>
      <c r="C637" t="s">
        <v>3009</v>
      </c>
      <c r="D637"/>
      <c r="E637" s="7">
        <f>IF(OR(D637="Invalid",D637&lt;0),"",D637)</f>
        <v>0</v>
      </c>
      <c r="F637" t="s">
        <v>3010</v>
      </c>
      <c r="G637" t="s">
        <v>40</v>
      </c>
      <c r="H637" t="str">
        <f>PROPER(TRIM(G637))</f>
        <v>Mira Das</v>
      </c>
      <c r="I637" t="s">
        <v>108</v>
      </c>
      <c r="J637" t="str">
        <f>PROPER(TRIM(I637))</f>
        <v>Corporate</v>
      </c>
      <c r="K637" t="s">
        <v>62</v>
      </c>
      <c r="L637" t="s">
        <v>100</v>
      </c>
      <c r="M637" t="s">
        <v>101</v>
      </c>
      <c r="N637" t="s">
        <v>45</v>
      </c>
      <c r="O637" t="str">
        <f>TRIM(N637)</f>
        <v>Furniture</v>
      </c>
      <c r="P637" t="s">
        <v>76</v>
      </c>
      <c r="Q637" t="s">
        <v>3011</v>
      </c>
      <c r="R637" t="s">
        <v>48</v>
      </c>
      <c r="S637" t="s">
        <v>48</v>
      </c>
      <c r="T637">
        <v>7</v>
      </c>
      <c r="U637">
        <v>3122.85</v>
      </c>
      <c r="V637">
        <v>0.25</v>
      </c>
      <c r="W637">
        <v>16394.96</v>
      </c>
      <c r="X637">
        <v>10404.17</v>
      </c>
      <c r="Y637">
        <v>5990.79</v>
      </c>
      <c r="Z637" t="s">
        <v>34</v>
      </c>
      <c r="AA637" t="s">
        <v>35</v>
      </c>
    </row>
    <row r="638" spans="1:27">
      <c r="A638" t="s">
        <v>3012</v>
      </c>
      <c r="B638" t="s">
        <v>3013</v>
      </c>
      <c r="C638" t="s">
        <v>3014</v>
      </c>
      <c r="D638"/>
      <c r="E638" s="7">
        <f>IF(OR(D638="Invalid",D638&lt;0),"",D638)</f>
        <v>0</v>
      </c>
      <c r="F638" t="s">
        <v>3015</v>
      </c>
      <c r="G638" t="s">
        <v>72</v>
      </c>
      <c r="H638" t="str">
        <f>PROPER(TRIM(G638))</f>
        <v>Ananya Rao</v>
      </c>
      <c r="I638" t="s">
        <v>26</v>
      </c>
      <c r="J638" t="str">
        <f>PROPER(TRIM(I638))</f>
        <v>Consumer</v>
      </c>
      <c r="K638" t="s">
        <v>62</v>
      </c>
      <c r="L638" t="s">
        <v>339</v>
      </c>
      <c r="M638" t="s">
        <v>340</v>
      </c>
      <c r="N638" t="s">
        <v>30</v>
      </c>
      <c r="O638" t="str">
        <f>TRIM(N638)</f>
        <v>Office Supplies</v>
      </c>
      <c r="P638" t="s">
        <v>31</v>
      </c>
      <c r="Q638" t="s">
        <v>3016</v>
      </c>
      <c r="R638" t="s">
        <v>67</v>
      </c>
      <c r="S638" t="s">
        <v>67</v>
      </c>
      <c r="T638">
        <v>8</v>
      </c>
      <c r="U638">
        <v>1910.31</v>
      </c>
      <c r="V638">
        <v>0.15</v>
      </c>
      <c r="W638">
        <v>12990.11</v>
      </c>
      <c r="X638">
        <v>10200.799999999999</v>
      </c>
      <c r="Y638">
        <v>2789.31</v>
      </c>
      <c r="Z638" t="s">
        <v>34</v>
      </c>
      <c r="AA638" t="s">
        <v>35</v>
      </c>
    </row>
    <row r="639" spans="1:27">
      <c r="A639" t="s">
        <v>3017</v>
      </c>
      <c r="B639" t="s">
        <v>3018</v>
      </c>
      <c r="C639" t="s">
        <v>3019</v>
      </c>
      <c r="D639"/>
      <c r="E639" s="7">
        <f>IF(OR(D639="Invalid",D639&lt;0),"",D639)</f>
        <v>0</v>
      </c>
      <c r="F639" t="s">
        <v>3020</v>
      </c>
      <c r="G639" t="s">
        <v>148</v>
      </c>
      <c r="H639" t="str">
        <f>PROPER(TRIM(G639))</f>
        <v>Rahul Verma</v>
      </c>
      <c r="I639" t="s">
        <v>41</v>
      </c>
      <c r="J639" t="str">
        <f>PROPER(TRIM(I639))</f>
        <v>Small Business</v>
      </c>
      <c r="K639" t="s">
        <v>73</v>
      </c>
      <c r="L639" t="s">
        <v>249</v>
      </c>
      <c r="M639" t="s">
        <v>250</v>
      </c>
      <c r="N639" t="s">
        <v>86</v>
      </c>
      <c r="O639" t="str">
        <f>TRIM(N639)</f>
        <v>Technology</v>
      </c>
      <c r="P639" t="s">
        <v>94</v>
      </c>
      <c r="Q639" t="s">
        <v>3021</v>
      </c>
      <c r="R639" t="s">
        <v>56</v>
      </c>
      <c r="S639" t="s">
        <v>56</v>
      </c>
      <c r="T639">
        <v>2</v>
      </c>
      <c r="U639">
        <v>3192.47</v>
      </c>
      <c r="V639">
        <v>0.2</v>
      </c>
      <c r="W639">
        <v>5107.95</v>
      </c>
      <c r="X639">
        <v>3133.08</v>
      </c>
      <c r="Y639">
        <v>1974.87</v>
      </c>
      <c r="Z639" t="s">
        <v>34</v>
      </c>
      <c r="AA639" t="s">
        <v>35</v>
      </c>
    </row>
    <row r="640" spans="1:27">
      <c r="A640" t="s">
        <v>3022</v>
      </c>
      <c r="B640" t="s">
        <v>2870</v>
      </c>
      <c r="C640" t="s">
        <v>3023</v>
      </c>
      <c r="D640"/>
      <c r="E640" s="7">
        <f>IF(OR(D640="Invalid",D640&lt;0),"",D640)</f>
        <v>0</v>
      </c>
      <c r="F640" t="s">
        <v>3024</v>
      </c>
      <c r="G640" t="s">
        <v>25</v>
      </c>
      <c r="H640" t="str">
        <f>PROPER(TRIM(G640))</f>
        <v>Karan Malhotra</v>
      </c>
      <c r="I640" t="s">
        <v>108</v>
      </c>
      <c r="J640" t="str">
        <f>PROPER(TRIM(I640))</f>
        <v>Corporate</v>
      </c>
      <c r="K640" t="s">
        <v>62</v>
      </c>
      <c r="L640" t="s">
        <v>242</v>
      </c>
      <c r="M640" t="s">
        <v>243</v>
      </c>
      <c r="N640" t="s">
        <v>30</v>
      </c>
      <c r="O640" t="str">
        <f>TRIM(N640)</f>
        <v>Office Supplies</v>
      </c>
      <c r="P640" t="s">
        <v>156</v>
      </c>
      <c r="Q640" t="s">
        <v>3025</v>
      </c>
      <c r="R640" t="s">
        <v>33</v>
      </c>
      <c r="S640" t="s">
        <v>33</v>
      </c>
      <c r="T640">
        <v>3</v>
      </c>
      <c r="U640">
        <v>3224.32</v>
      </c>
      <c r="V640">
        <v>0.2</v>
      </c>
      <c r="W640">
        <v>7738.37</v>
      </c>
      <c r="X640">
        <v>4626.8500000000004</v>
      </c>
      <c r="Y640">
        <v>3111.52</v>
      </c>
      <c r="Z640" t="s">
        <v>200</v>
      </c>
      <c r="AA640" t="s">
        <v>125</v>
      </c>
    </row>
    <row r="641" spans="1:27">
      <c r="A641" t="s">
        <v>3026</v>
      </c>
      <c r="B641" t="s">
        <v>3027</v>
      </c>
      <c r="C641" t="s">
        <v>1871</v>
      </c>
      <c r="D641"/>
      <c r="E641" s="7">
        <f>IF(OR(D641="Invalid",D641&lt;0),"",D641)</f>
        <v>0</v>
      </c>
      <c r="F641" t="s">
        <v>3028</v>
      </c>
      <c r="G641" t="s">
        <v>53</v>
      </c>
      <c r="H641" t="str">
        <f>PROPER(TRIM(G641))</f>
        <v>Isha Nair</v>
      </c>
      <c r="I641" t="s">
        <v>41</v>
      </c>
      <c r="J641" t="str">
        <f>PROPER(TRIM(I641))</f>
        <v>Small Business</v>
      </c>
      <c r="K641" t="s">
        <v>42</v>
      </c>
      <c r="L641" t="s">
        <v>43</v>
      </c>
      <c r="M641" t="s">
        <v>44</v>
      </c>
      <c r="N641" t="s">
        <v>45</v>
      </c>
      <c r="O641" t="str">
        <f>TRIM(N641)</f>
        <v>Furniture</v>
      </c>
      <c r="P641" t="s">
        <v>76</v>
      </c>
      <c r="Q641" t="s">
        <v>3029</v>
      </c>
      <c r="R641" t="s">
        <v>33</v>
      </c>
      <c r="S641" t="s">
        <v>33</v>
      </c>
      <c r="T641">
        <v>1</v>
      </c>
      <c r="U641">
        <v>1594.7</v>
      </c>
      <c r="V641">
        <v>0.05</v>
      </c>
      <c r="W641">
        <v>1514.96</v>
      </c>
      <c r="X641">
        <v>1046.17</v>
      </c>
      <c r="Y641">
        <v>468.79</v>
      </c>
      <c r="Z641" t="s">
        <v>34</v>
      </c>
      <c r="AA641" t="s">
        <v>35</v>
      </c>
    </row>
    <row r="642" spans="1:27">
      <c r="A642" t="s">
        <v>3030</v>
      </c>
      <c r="B642" t="s">
        <v>3031</v>
      </c>
      <c r="C642" t="s">
        <v>3032</v>
      </c>
      <c r="D642"/>
      <c r="E642" s="7">
        <f>IF(OR(D642="Invalid",D642&lt;0),"",D642)</f>
        <v>0</v>
      </c>
      <c r="F642" t="s">
        <v>3033</v>
      </c>
      <c r="G642" t="s">
        <v>83</v>
      </c>
      <c r="H642" t="str">
        <f>PROPER(TRIM(G642))</f>
        <v>Vikram Iyer</v>
      </c>
      <c r="I642" t="s">
        <v>26</v>
      </c>
      <c r="J642" t="str">
        <f>PROPER(TRIM(I642))</f>
        <v>Consumer</v>
      </c>
      <c r="K642" t="s">
        <v>73</v>
      </c>
      <c r="L642" t="s">
        <v>249</v>
      </c>
      <c r="M642" t="s">
        <v>250</v>
      </c>
      <c r="N642" t="s">
        <v>30</v>
      </c>
      <c r="O642" t="str">
        <f>TRIM(N642)</f>
        <v>Office Supplies</v>
      </c>
      <c r="P642" t="s">
        <v>156</v>
      </c>
      <c r="Q642" t="s">
        <v>3034</v>
      </c>
      <c r="R642" t="s">
        <v>56</v>
      </c>
      <c r="S642" t="s">
        <v>56</v>
      </c>
      <c r="T642">
        <v>1</v>
      </c>
      <c r="U642">
        <v>1584.12</v>
      </c>
      <c r="V642">
        <v>0.2</v>
      </c>
      <c r="W642">
        <v>1267.3</v>
      </c>
      <c r="X642">
        <v>923.53</v>
      </c>
      <c r="Y642">
        <v>343.77</v>
      </c>
      <c r="Z642" t="s">
        <v>34</v>
      </c>
      <c r="AA642" t="s">
        <v>35</v>
      </c>
    </row>
    <row r="643" spans="1:27">
      <c r="A643" t="s">
        <v>3035</v>
      </c>
      <c r="B643" t="s">
        <v>3036</v>
      </c>
      <c r="C643" t="s">
        <v>1962</v>
      </c>
      <c r="D643"/>
      <c r="E643" s="7">
        <f>IF(OR(D643="Invalid",D643&lt;0),"",D643)</f>
        <v>0</v>
      </c>
      <c r="F643" t="s">
        <v>3037</v>
      </c>
      <c r="G643" t="s">
        <v>25</v>
      </c>
      <c r="H643" t="str">
        <f>PROPER(TRIM(G643))</f>
        <v>Karan Malhotra</v>
      </c>
      <c r="I643" t="s">
        <v>26</v>
      </c>
      <c r="J643" t="str">
        <f>PROPER(TRIM(I643))</f>
        <v>Consumer</v>
      </c>
      <c r="K643" t="s">
        <v>27</v>
      </c>
      <c r="L643" t="s">
        <v>506</v>
      </c>
      <c r="M643" t="s">
        <v>507</v>
      </c>
      <c r="N643" t="s">
        <v>45</v>
      </c>
      <c r="O643" t="str">
        <f>TRIM(N643)</f>
        <v>Furniture</v>
      </c>
      <c r="P643" t="s">
        <v>65</v>
      </c>
      <c r="Q643" t="s">
        <v>3038</v>
      </c>
      <c r="R643" t="s">
        <v>48</v>
      </c>
      <c r="S643" t="s">
        <v>48</v>
      </c>
      <c r="T643">
        <v>2</v>
      </c>
      <c r="U643">
        <v>3202.87</v>
      </c>
      <c r="V643">
        <v>0</v>
      </c>
      <c r="W643">
        <v>6405.74</v>
      </c>
      <c r="X643">
        <v>3561.87</v>
      </c>
      <c r="Y643">
        <v>2843.87</v>
      </c>
      <c r="Z643" t="s">
        <v>34</v>
      </c>
      <c r="AA643" t="s">
        <v>35</v>
      </c>
    </row>
    <row r="644" spans="1:27">
      <c r="A644" t="s">
        <v>3039</v>
      </c>
      <c r="B644" t="s">
        <v>1950</v>
      </c>
      <c r="C644" t="s">
        <v>37</v>
      </c>
      <c r="D644"/>
      <c r="E644" s="7">
        <f>IF(OR(D644="Invalid",D644&lt;0),"",D644)</f>
        <v>0</v>
      </c>
      <c r="F644" t="s">
        <v>3040</v>
      </c>
      <c r="G644" t="s">
        <v>53</v>
      </c>
      <c r="H644" t="str">
        <f>PROPER(TRIM(G644))</f>
        <v>Isha Nair</v>
      </c>
      <c r="I644" t="s">
        <v>115</v>
      </c>
      <c r="J644" t="str">
        <f>PROPER(TRIM(I644))</f>
        <v>Home Office</v>
      </c>
      <c r="K644" t="s">
        <v>42</v>
      </c>
      <c r="L644" t="s">
        <v>216</v>
      </c>
      <c r="M644" t="s">
        <v>217</v>
      </c>
      <c r="N644" t="s">
        <v>30</v>
      </c>
      <c r="O644" t="str">
        <f>TRIM(N644)</f>
        <v>Office Supplies</v>
      </c>
      <c r="P644" t="s">
        <v>3041</v>
      </c>
      <c r="Q644" t="s">
        <v>3042</v>
      </c>
      <c r="R644" t="s">
        <v>33</v>
      </c>
      <c r="S644" t="s">
        <v>33</v>
      </c>
      <c r="T644">
        <v>9</v>
      </c>
      <c r="U644">
        <v>1275.21</v>
      </c>
      <c r="V644">
        <v>0.25</v>
      </c>
      <c r="W644">
        <v>8607.67</v>
      </c>
      <c r="X644">
        <v>5337.64</v>
      </c>
      <c r="Y644">
        <v>3270.03</v>
      </c>
      <c r="Z644" t="s">
        <v>200</v>
      </c>
      <c r="AA644" t="s">
        <v>125</v>
      </c>
    </row>
    <row r="645" spans="1:27">
      <c r="A645" t="s">
        <v>3043</v>
      </c>
      <c r="B645" t="s">
        <v>3044</v>
      </c>
      <c r="C645" t="s">
        <v>3045</v>
      </c>
      <c r="D645"/>
      <c r="E645" s="7">
        <f>IF(OR(D645="Invalid",D645&lt;0),"",D645)</f>
        <v>0</v>
      </c>
      <c r="F645" t="s">
        <v>1096</v>
      </c>
      <c r="G645" t="s">
        <v>162</v>
      </c>
      <c r="H645" t="str">
        <f>PROPER(TRIM(G645))</f>
        <v>Aarav Sharma</v>
      </c>
      <c r="I645" t="s">
        <v>115</v>
      </c>
      <c r="J645" t="str">
        <f>PROPER(TRIM(I645))</f>
        <v>Home Office</v>
      </c>
      <c r="K645" t="s">
        <v>27</v>
      </c>
      <c r="L645" t="s">
        <v>174</v>
      </c>
      <c r="M645" t="s">
        <v>175</v>
      </c>
      <c r="N645" t="s">
        <v>30</v>
      </c>
      <c r="O645" t="str">
        <f>TRIM(N645)</f>
        <v>Office Supplies</v>
      </c>
      <c r="P645" t="s">
        <v>109</v>
      </c>
      <c r="Q645" t="s">
        <v>3046</v>
      </c>
      <c r="R645" t="s">
        <v>67</v>
      </c>
      <c r="S645" t="s">
        <v>67</v>
      </c>
      <c r="T645">
        <v>8</v>
      </c>
      <c r="U645">
        <v>3871.18</v>
      </c>
      <c r="V645">
        <v>0.15</v>
      </c>
      <c r="W645">
        <v>26324.02</v>
      </c>
      <c r="X645">
        <v>16277.96</v>
      </c>
      <c r="Y645">
        <v>10046.06</v>
      </c>
      <c r="Z645" t="s">
        <v>200</v>
      </c>
      <c r="AA645" t="s">
        <v>125</v>
      </c>
    </row>
    <row r="646" spans="1:27">
      <c r="A646" t="s">
        <v>3047</v>
      </c>
      <c r="B646" t="s">
        <v>2591</v>
      </c>
      <c r="C646" t="s">
        <v>3048</v>
      </c>
      <c r="D646"/>
      <c r="E646" s="7">
        <f>IF(OR(D646="Invalid",D646&lt;0),"",D646)</f>
        <v>0</v>
      </c>
      <c r="F646" t="s">
        <v>3049</v>
      </c>
      <c r="G646" t="s">
        <v>83</v>
      </c>
      <c r="H646" t="str">
        <f>PROPER(TRIM(G646))</f>
        <v>Vikram Iyer</v>
      </c>
      <c r="I646" t="s">
        <v>26</v>
      </c>
      <c r="J646" t="str">
        <f>PROPER(TRIM(I646))</f>
        <v>Consumer</v>
      </c>
      <c r="K646" t="s">
        <v>42</v>
      </c>
      <c r="L646" t="s">
        <v>121</v>
      </c>
      <c r="M646" t="s">
        <v>122</v>
      </c>
      <c r="N646" t="s">
        <v>45</v>
      </c>
      <c r="O646" t="str">
        <f>TRIM(N646)</f>
        <v>Furniture</v>
      </c>
      <c r="P646" t="s">
        <v>76</v>
      </c>
      <c r="Q646" t="s">
        <v>3050</v>
      </c>
      <c r="R646" t="s">
        <v>67</v>
      </c>
      <c r="S646" t="s">
        <v>67</v>
      </c>
      <c r="T646">
        <v>4</v>
      </c>
      <c r="U646">
        <v>3750.02</v>
      </c>
      <c r="V646">
        <v>0.05</v>
      </c>
      <c r="W646">
        <v>14250.08</v>
      </c>
      <c r="X646">
        <v>10914.92</v>
      </c>
      <c r="Y646">
        <v>3335.16</v>
      </c>
      <c r="Z646" t="s">
        <v>34</v>
      </c>
      <c r="AA646" t="s">
        <v>35</v>
      </c>
    </row>
    <row r="647" spans="1:27">
      <c r="A647" t="s">
        <v>3051</v>
      </c>
      <c r="B647" t="s">
        <v>3052</v>
      </c>
      <c r="C647" t="s">
        <v>2745</v>
      </c>
      <c r="D647"/>
      <c r="E647" s="7">
        <f>IF(OR(D647="Invalid",D647&lt;0),"",D647)</f>
        <v>0</v>
      </c>
      <c r="F647" t="s">
        <v>3053</v>
      </c>
      <c r="G647" t="s">
        <v>366</v>
      </c>
      <c r="H647" t="str">
        <f>PROPER(TRIM(G647))</f>
        <v>Kabir Singh</v>
      </c>
      <c r="I647" t="s">
        <v>26</v>
      </c>
      <c r="J647" t="str">
        <f>PROPER(TRIM(I647))</f>
        <v>Consumer</v>
      </c>
      <c r="K647" t="s">
        <v>42</v>
      </c>
      <c r="L647" t="s">
        <v>186</v>
      </c>
      <c r="M647" t="s">
        <v>187</v>
      </c>
      <c r="N647" t="s">
        <v>45</v>
      </c>
      <c r="O647" t="str">
        <f>TRIM(N647)</f>
        <v>Furniture</v>
      </c>
      <c r="P647" t="s">
        <v>76</v>
      </c>
      <c r="Q647" t="s">
        <v>3054</v>
      </c>
      <c r="R647" t="s">
        <v>33</v>
      </c>
      <c r="S647" t="s">
        <v>33</v>
      </c>
      <c r="T647">
        <v>6</v>
      </c>
      <c r="U647">
        <v>2423.61</v>
      </c>
      <c r="V647">
        <v>0.1</v>
      </c>
      <c r="W647">
        <v>13087.49</v>
      </c>
      <c r="X647">
        <v>7608.89</v>
      </c>
      <c r="Y647">
        <v>5133.22</v>
      </c>
      <c r="Z647" t="s">
        <v>34</v>
      </c>
      <c r="AA647" t="s">
        <v>35</v>
      </c>
    </row>
    <row r="648" spans="1:27">
      <c r="A648" t="s">
        <v>3055</v>
      </c>
      <c r="B648" t="s">
        <v>3056</v>
      </c>
      <c r="C648" t="s">
        <v>3057</v>
      </c>
      <c r="D648"/>
      <c r="E648" s="7">
        <f>IF(OR(D648="Invalid",D648&lt;0),"",D648)</f>
        <v>0</v>
      </c>
      <c r="F648" t="s">
        <v>3058</v>
      </c>
      <c r="G648" t="s">
        <v>83</v>
      </c>
      <c r="H648" t="str">
        <f>PROPER(TRIM(G648))</f>
        <v>Vikram Iyer</v>
      </c>
      <c r="I648" t="s">
        <v>41</v>
      </c>
      <c r="J648" t="str">
        <f>PROPER(TRIM(I648))</f>
        <v>Small Business</v>
      </c>
      <c r="K648" t="s">
        <v>42</v>
      </c>
      <c r="L648" t="s">
        <v>311</v>
      </c>
      <c r="M648" t="s">
        <v>312</v>
      </c>
      <c r="N648" t="s">
        <v>86</v>
      </c>
      <c r="O648" t="str">
        <f>TRIM(N648)</f>
        <v>Technology</v>
      </c>
      <c r="P648" t="s">
        <v>382</v>
      </c>
      <c r="Q648" t="s">
        <v>3059</v>
      </c>
      <c r="R648" t="s">
        <v>56</v>
      </c>
      <c r="S648" t="s">
        <v>56</v>
      </c>
      <c r="T648">
        <v>3</v>
      </c>
      <c r="U648">
        <v>729.14</v>
      </c>
      <c r="V648">
        <v>0.25</v>
      </c>
      <c r="W648">
        <v>1640.57</v>
      </c>
      <c r="X648">
        <v>1136.98</v>
      </c>
      <c r="Y648">
        <v>503.59</v>
      </c>
      <c r="Z648" t="s">
        <v>34</v>
      </c>
      <c r="AA648" t="s">
        <v>35</v>
      </c>
    </row>
    <row r="649" spans="1:27">
      <c r="A649" t="s">
        <v>3060</v>
      </c>
      <c r="B649" t="s">
        <v>1329</v>
      </c>
      <c r="C649" t="s">
        <v>3061</v>
      </c>
      <c r="D649"/>
      <c r="E649" s="7">
        <f>IF(OR(D649="Invalid",D649&lt;0),"",D649)</f>
        <v>0</v>
      </c>
      <c r="F649" t="s">
        <v>3062</v>
      </c>
      <c r="G649" t="s">
        <v>3063</v>
      </c>
      <c r="H649" t="str">
        <f>PROPER(TRIM(G649))</f>
        <v>Rohan Mehta</v>
      </c>
      <c r="I649" t="s">
        <v>41</v>
      </c>
      <c r="J649" t="str">
        <f>PROPER(TRIM(I649))</f>
        <v>Small Business</v>
      </c>
      <c r="K649" t="s">
        <v>27</v>
      </c>
      <c r="L649" t="s">
        <v>154</v>
      </c>
      <c r="M649" t="s">
        <v>155</v>
      </c>
      <c r="N649" t="s">
        <v>30</v>
      </c>
      <c r="O649" t="str">
        <f>TRIM(N649)</f>
        <v>Office Supplies</v>
      </c>
      <c r="P649" t="s">
        <v>54</v>
      </c>
      <c r="Q649" t="s">
        <v>3064</v>
      </c>
      <c r="R649" t="s">
        <v>56</v>
      </c>
      <c r="S649" t="s">
        <v>56</v>
      </c>
      <c r="T649">
        <v>8</v>
      </c>
      <c r="U649">
        <v>2123.81</v>
      </c>
      <c r="V649">
        <v>0.15</v>
      </c>
      <c r="W649">
        <v>14441.91</v>
      </c>
      <c r="X649">
        <v>10872.89</v>
      </c>
      <c r="Y649">
        <v>3569.02</v>
      </c>
      <c r="Z649" t="s">
        <v>34</v>
      </c>
      <c r="AA649" t="s">
        <v>35</v>
      </c>
    </row>
    <row r="650" spans="1:27">
      <c r="A650" t="s">
        <v>3065</v>
      </c>
      <c r="B650" t="s">
        <v>3066</v>
      </c>
      <c r="C650" t="s">
        <v>358</v>
      </c>
      <c r="D650"/>
      <c r="E650" s="7">
        <f>IF(OR(D650="Invalid",D650&lt;0),"",D650)</f>
        <v>0</v>
      </c>
      <c r="F650" t="s">
        <v>3067</v>
      </c>
      <c r="G650" t="s">
        <v>93</v>
      </c>
      <c r="H650" t="str">
        <f>PROPER(TRIM(G650))</f>
        <v>Neha Gupta</v>
      </c>
      <c r="I650" t="s">
        <v>41</v>
      </c>
      <c r="J650" t="str">
        <f>PROPER(TRIM(I650))</f>
        <v>Small Business</v>
      </c>
      <c r="K650" t="s">
        <v>62</v>
      </c>
      <c r="L650" t="s">
        <v>100</v>
      </c>
      <c r="M650" t="s">
        <v>101</v>
      </c>
      <c r="N650" t="s">
        <v>30</v>
      </c>
      <c r="O650" t="str">
        <f>TRIM(N650)</f>
        <v>Office Supplies</v>
      </c>
      <c r="P650" t="s">
        <v>54</v>
      </c>
      <c r="Q650" t="s">
        <v>3068</v>
      </c>
      <c r="R650" t="s">
        <v>48</v>
      </c>
      <c r="S650" t="s">
        <v>48</v>
      </c>
      <c r="T650">
        <v>9</v>
      </c>
      <c r="U650">
        <v>703.59</v>
      </c>
      <c r="V650">
        <v>0.2</v>
      </c>
      <c r="W650">
        <v>5065.8500000000004</v>
      </c>
      <c r="X650">
        <v>3517.23</v>
      </c>
      <c r="Y650">
        <v>1548.62</v>
      </c>
      <c r="Z650" t="s">
        <v>200</v>
      </c>
      <c r="AA650" t="s">
        <v>125</v>
      </c>
    </row>
    <row r="651" spans="1:27">
      <c r="A651" t="s">
        <v>3069</v>
      </c>
      <c r="B651" t="s">
        <v>3070</v>
      </c>
      <c r="C651" t="s">
        <v>3071</v>
      </c>
      <c r="D651"/>
      <c r="E651" s="7">
        <f>IF(OR(D651="Invalid",D651&lt;0),"",D651)</f>
        <v>0</v>
      </c>
      <c r="F651" t="s">
        <v>3072</v>
      </c>
      <c r="G651" t="s">
        <v>366</v>
      </c>
      <c r="H651" t="str">
        <f>PROPER(TRIM(G651))</f>
        <v>Kabir Singh</v>
      </c>
      <c r="I651" t="s">
        <v>41</v>
      </c>
      <c r="J651" t="str">
        <f>PROPER(TRIM(I651))</f>
        <v>Small Business</v>
      </c>
      <c r="K651" t="s">
        <v>62</v>
      </c>
      <c r="L651" t="s">
        <v>242</v>
      </c>
      <c r="M651" t="s">
        <v>243</v>
      </c>
      <c r="N651" t="s">
        <v>86</v>
      </c>
      <c r="O651" t="str">
        <f>TRIM(N651)</f>
        <v>Technology</v>
      </c>
      <c r="P651" t="s">
        <v>87</v>
      </c>
      <c r="Q651" t="s">
        <v>3073</v>
      </c>
      <c r="R651" t="s">
        <v>67</v>
      </c>
      <c r="S651" t="s">
        <v>67</v>
      </c>
      <c r="T651">
        <v>4</v>
      </c>
      <c r="U651">
        <v>2258.96</v>
      </c>
      <c r="V651">
        <v>0.25</v>
      </c>
      <c r="W651">
        <v>6776.88</v>
      </c>
      <c r="X651">
        <v>3836.24</v>
      </c>
      <c r="Y651">
        <v>2940.64</v>
      </c>
      <c r="Z651" t="s">
        <v>34</v>
      </c>
      <c r="AA651" t="s">
        <v>35</v>
      </c>
    </row>
    <row r="652" spans="1:27">
      <c r="A652" t="s">
        <v>3074</v>
      </c>
      <c r="B652" t="s">
        <v>3075</v>
      </c>
      <c r="C652" t="s">
        <v>3076</v>
      </c>
      <c r="D652"/>
      <c r="E652" s="7">
        <f>IF(OR(D652="Invalid",D652&lt;0),"",D652)</f>
        <v>0</v>
      </c>
      <c r="F652" t="s">
        <v>547</v>
      </c>
      <c r="G652" t="s">
        <v>162</v>
      </c>
      <c r="H652" t="str">
        <f>PROPER(TRIM(G652))</f>
        <v>Aarav Sharma</v>
      </c>
      <c r="I652" t="s">
        <v>115</v>
      </c>
      <c r="J652" t="str">
        <f>PROPER(TRIM(I652))</f>
        <v>Home Office</v>
      </c>
      <c r="K652" t="s">
        <v>42</v>
      </c>
      <c r="L652" t="s">
        <v>186</v>
      </c>
      <c r="M652" t="s">
        <v>187</v>
      </c>
      <c r="N652" t="s">
        <v>86</v>
      </c>
      <c r="O652" t="str">
        <f>TRIM(N652)</f>
        <v>Technology</v>
      </c>
      <c r="P652" t="s">
        <v>87</v>
      </c>
      <c r="Q652" t="s">
        <v>3077</v>
      </c>
      <c r="R652" t="s">
        <v>48</v>
      </c>
      <c r="S652" t="s">
        <v>48</v>
      </c>
      <c r="T652">
        <v>7</v>
      </c>
      <c r="U652">
        <v>2648.76</v>
      </c>
      <c r="V652">
        <v>0.15</v>
      </c>
      <c r="W652">
        <v>15760.12</v>
      </c>
      <c r="X652">
        <v>9931.5300000000007</v>
      </c>
      <c r="Y652">
        <v>5828.59</v>
      </c>
      <c r="Z652" t="s">
        <v>200</v>
      </c>
      <c r="AA652" t="s">
        <v>125</v>
      </c>
    </row>
    <row r="653" spans="1:27">
      <c r="A653" t="s">
        <v>3078</v>
      </c>
      <c r="B653" t="s">
        <v>1371</v>
      </c>
      <c r="C653" t="s">
        <v>3079</v>
      </c>
      <c r="D653"/>
      <c r="E653" s="7">
        <f>IF(OR(D653="Invalid",D653&lt;0),"",D653)</f>
        <v>0</v>
      </c>
      <c r="F653" t="s">
        <v>3080</v>
      </c>
      <c r="G653" t="s">
        <v>40</v>
      </c>
      <c r="H653" t="str">
        <f>PROPER(TRIM(G653))</f>
        <v>Mira Das</v>
      </c>
      <c r="I653" t="s">
        <v>41</v>
      </c>
      <c r="J653" t="str">
        <f>PROPER(TRIM(I653))</f>
        <v>Small Business</v>
      </c>
      <c r="K653" t="s">
        <v>62</v>
      </c>
      <c r="L653" t="s">
        <v>100</v>
      </c>
      <c r="M653" t="s">
        <v>101</v>
      </c>
      <c r="N653" t="s">
        <v>30</v>
      </c>
      <c r="O653" t="str">
        <f>TRIM(N653)</f>
        <v>Office Supplies</v>
      </c>
      <c r="P653" t="s">
        <v>31</v>
      </c>
      <c r="Q653" t="s">
        <v>3081</v>
      </c>
      <c r="R653" t="s">
        <v>33</v>
      </c>
      <c r="S653" t="s">
        <v>33</v>
      </c>
      <c r="T653">
        <v>3</v>
      </c>
      <c r="U653">
        <v>598.54999999999995</v>
      </c>
      <c r="V653">
        <v>0</v>
      </c>
      <c r="W653">
        <v>1795.65</v>
      </c>
      <c r="X653">
        <v>996.72</v>
      </c>
      <c r="Y653">
        <v>798.93</v>
      </c>
      <c r="Z653" t="s">
        <v>34</v>
      </c>
      <c r="AA653" t="s">
        <v>35</v>
      </c>
    </row>
    <row r="654" spans="1:27">
      <c r="A654" t="s">
        <v>3082</v>
      </c>
      <c r="B654" t="s">
        <v>3083</v>
      </c>
      <c r="C654" t="s">
        <v>3084</v>
      </c>
      <c r="D654"/>
      <c r="E654" s="7">
        <f>IF(OR(D654="Invalid",D654&lt;0),"",D654)</f>
        <v>0</v>
      </c>
      <c r="F654" t="s">
        <v>2567</v>
      </c>
      <c r="G654" t="s">
        <v>168</v>
      </c>
      <c r="H654" t="str">
        <f>PROPER(TRIM(G654))</f>
        <v>Sneha Kapoor</v>
      </c>
      <c r="I654" t="s">
        <v>26</v>
      </c>
      <c r="J654" t="str">
        <f>PROPER(TRIM(I654))</f>
        <v>Consumer</v>
      </c>
      <c r="K654" t="s">
        <v>27</v>
      </c>
      <c r="L654" t="s">
        <v>174</v>
      </c>
      <c r="M654" t="s">
        <v>175</v>
      </c>
      <c r="N654" t="s">
        <v>30</v>
      </c>
      <c r="O654" t="str">
        <f>TRIM(N654)</f>
        <v>Office Supplies</v>
      </c>
      <c r="P654" t="s">
        <v>198</v>
      </c>
      <c r="Q654" t="s">
        <v>3085</v>
      </c>
      <c r="R654" t="s">
        <v>67</v>
      </c>
      <c r="S654" t="s">
        <v>67</v>
      </c>
      <c r="T654">
        <v>5</v>
      </c>
      <c r="U654">
        <v>4320.59</v>
      </c>
      <c r="V654">
        <v>0.15</v>
      </c>
      <c r="W654">
        <v>18362.509999999998</v>
      </c>
      <c r="X654">
        <v>11133.97</v>
      </c>
      <c r="Y654">
        <v>7228.54</v>
      </c>
      <c r="Z654" t="s">
        <v>34</v>
      </c>
      <c r="AA654" t="s">
        <v>35</v>
      </c>
    </row>
    <row r="655" spans="1:27">
      <c r="A655" t="s">
        <v>3086</v>
      </c>
      <c r="B655" t="s">
        <v>3087</v>
      </c>
      <c r="C655" t="s">
        <v>3088</v>
      </c>
      <c r="D655"/>
      <c r="E655" s="7">
        <f>IF(OR(D655="Invalid",D655&lt;0),"",D655)</f>
        <v>0</v>
      </c>
      <c r="F655" t="s">
        <v>3089</v>
      </c>
      <c r="G655" t="s">
        <v>142</v>
      </c>
      <c r="H655" t="str">
        <f>PROPER(TRIM(G655))</f>
        <v>Priya Menon</v>
      </c>
      <c r="I655" t="s">
        <v>41</v>
      </c>
      <c r="J655" t="str">
        <f>PROPER(TRIM(I655))</f>
        <v>Small Business</v>
      </c>
      <c r="K655" t="s">
        <v>62</v>
      </c>
      <c r="L655" t="s">
        <v>339</v>
      </c>
      <c r="M655" t="s">
        <v>340</v>
      </c>
      <c r="N655" t="s">
        <v>86</v>
      </c>
      <c r="O655" t="str">
        <f>TRIM(N655)</f>
        <v>Technology</v>
      </c>
      <c r="P655" t="s">
        <v>94</v>
      </c>
      <c r="Q655" t="s">
        <v>3090</v>
      </c>
      <c r="R655" t="s">
        <v>33</v>
      </c>
      <c r="S655" t="s">
        <v>33</v>
      </c>
      <c r="T655">
        <v>7</v>
      </c>
      <c r="U655">
        <v>4457.93</v>
      </c>
      <c r="V655">
        <v>0.15</v>
      </c>
      <c r="W655">
        <v>26524.68</v>
      </c>
      <c r="X655">
        <v>20574.3</v>
      </c>
      <c r="Y655">
        <v>5950.38</v>
      </c>
      <c r="Z655" t="s">
        <v>34</v>
      </c>
      <c r="AA655" t="s">
        <v>35</v>
      </c>
    </row>
    <row r="656" spans="1:27">
      <c r="A656" t="s">
        <v>3091</v>
      </c>
      <c r="B656" t="s">
        <v>3092</v>
      </c>
      <c r="C656" t="s">
        <v>140</v>
      </c>
      <c r="D656"/>
      <c r="E656" s="7">
        <f>IF(OR(D656="Invalid",D656&lt;0),"",D656)</f>
        <v>0</v>
      </c>
      <c r="F656" t="s">
        <v>1416</v>
      </c>
      <c r="G656" t="s">
        <v>210</v>
      </c>
      <c r="H656" t="str">
        <f>PROPER(TRIM(G656))</f>
        <v>Diya Patel</v>
      </c>
      <c r="I656" t="s">
        <v>108</v>
      </c>
      <c r="J656" t="str">
        <f>PROPER(TRIM(I656))</f>
        <v>Corporate</v>
      </c>
      <c r="K656" t="s">
        <v>42</v>
      </c>
      <c r="L656" t="s">
        <v>186</v>
      </c>
      <c r="M656" t="s">
        <v>187</v>
      </c>
      <c r="N656" t="s">
        <v>86</v>
      </c>
      <c r="O656" t="str">
        <f>TRIM(N656)</f>
        <v>Technology</v>
      </c>
      <c r="P656" t="s">
        <v>382</v>
      </c>
      <c r="Q656" t="s">
        <v>3093</v>
      </c>
      <c r="R656" t="s">
        <v>48</v>
      </c>
      <c r="S656" t="s">
        <v>48</v>
      </c>
      <c r="T656">
        <v>1</v>
      </c>
      <c r="U656">
        <v>2570.06</v>
      </c>
      <c r="V656">
        <v>0.2</v>
      </c>
      <c r="W656">
        <v>2056.0500000000002</v>
      </c>
      <c r="X656">
        <v>1662.39</v>
      </c>
      <c r="Y656">
        <v>393.66</v>
      </c>
      <c r="Z656" t="s">
        <v>34</v>
      </c>
      <c r="AA656" t="s">
        <v>35</v>
      </c>
    </row>
    <row r="657" spans="1:27">
      <c r="A657" t="s">
        <v>3094</v>
      </c>
      <c r="B657" t="s">
        <v>699</v>
      </c>
      <c r="C657" t="s">
        <v>699</v>
      </c>
      <c r="D657"/>
      <c r="E657" s="7">
        <f>IF(OR(D657="Invalid",D657&lt;0),"",D657)</f>
        <v>0</v>
      </c>
      <c r="F657" t="s">
        <v>3095</v>
      </c>
      <c r="G657" t="s">
        <v>93</v>
      </c>
      <c r="H657" t="str">
        <f>PROPER(TRIM(G657))</f>
        <v>Neha Gupta</v>
      </c>
      <c r="I657" t="s">
        <v>115</v>
      </c>
      <c r="J657" t="str">
        <f>PROPER(TRIM(I657))</f>
        <v>Home Office</v>
      </c>
      <c r="K657" t="s">
        <v>42</v>
      </c>
      <c r="L657" t="s">
        <v>121</v>
      </c>
      <c r="M657" t="s">
        <v>122</v>
      </c>
      <c r="N657" t="s">
        <v>45</v>
      </c>
      <c r="O657" t="str">
        <f>TRIM(N657)</f>
        <v>Furniture</v>
      </c>
      <c r="P657" t="s">
        <v>65</v>
      </c>
      <c r="Q657" t="s">
        <v>3096</v>
      </c>
      <c r="R657" t="s">
        <v>67</v>
      </c>
      <c r="S657" t="s">
        <v>67</v>
      </c>
      <c r="T657">
        <v>4</v>
      </c>
      <c r="U657">
        <v>2151.8200000000002</v>
      </c>
      <c r="V657">
        <v>0</v>
      </c>
      <c r="W657">
        <v>8607.2800000000007</v>
      </c>
      <c r="X657">
        <v>5124.01</v>
      </c>
      <c r="Y657">
        <v>3483.27</v>
      </c>
      <c r="Z657" t="s">
        <v>34</v>
      </c>
      <c r="AA657" t="s">
        <v>35</v>
      </c>
    </row>
    <row r="658" spans="1:27">
      <c r="A658" t="s">
        <v>3097</v>
      </c>
      <c r="B658" t="s">
        <v>3098</v>
      </c>
      <c r="C658" t="s">
        <v>2329</v>
      </c>
      <c r="D658"/>
      <c r="E658" s="7">
        <f>IF(OR(D658="Invalid",D658&lt;0),"",D658)</f>
        <v>0</v>
      </c>
      <c r="F658" t="s">
        <v>3099</v>
      </c>
      <c r="G658" t="s">
        <v>93</v>
      </c>
      <c r="H658" t="str">
        <f>PROPER(TRIM(G658))</f>
        <v>Neha Gupta</v>
      </c>
      <c r="I658" t="s">
        <v>41</v>
      </c>
      <c r="J658" t="str">
        <f>PROPER(TRIM(I658))</f>
        <v>Small Business</v>
      </c>
      <c r="K658" t="s">
        <v>27</v>
      </c>
      <c r="L658" t="s">
        <v>323</v>
      </c>
      <c r="M658" t="s">
        <v>324</v>
      </c>
      <c r="N658" t="s">
        <v>86</v>
      </c>
      <c r="O658" t="str">
        <f>TRIM(N658)</f>
        <v>Technology</v>
      </c>
      <c r="P658" t="s">
        <v>382</v>
      </c>
      <c r="Q658" t="s">
        <v>3100</v>
      </c>
      <c r="R658" t="s">
        <v>48</v>
      </c>
      <c r="S658" t="s">
        <v>48</v>
      </c>
      <c r="T658">
        <v>4</v>
      </c>
      <c r="U658">
        <v>2751.1</v>
      </c>
      <c r="V658">
        <v>-0.05</v>
      </c>
      <c r="W658">
        <v>9903.9599999999991</v>
      </c>
      <c r="X658">
        <v>7696.28</v>
      </c>
      <c r="Y658">
        <v>2207.6799999999998</v>
      </c>
      <c r="Z658" t="s">
        <v>34</v>
      </c>
      <c r="AA658" t="s">
        <v>35</v>
      </c>
    </row>
    <row r="659" spans="1:27">
      <c r="A659" t="s">
        <v>3101</v>
      </c>
      <c r="B659" t="s">
        <v>3102</v>
      </c>
      <c r="C659" t="s">
        <v>3103</v>
      </c>
      <c r="D659"/>
      <c r="E659" s="7">
        <f>IF(OR(D659="Invalid",D659&lt;0),"",D659)</f>
        <v>0</v>
      </c>
      <c r="F659" t="s">
        <v>3104</v>
      </c>
      <c r="G659" t="s">
        <v>107</v>
      </c>
      <c r="H659" t="str">
        <f>PROPER(TRIM(G659))</f>
        <v>Aditi Sen</v>
      </c>
      <c r="I659" t="s">
        <v>115</v>
      </c>
      <c r="J659" t="str">
        <f>PROPER(TRIM(I659))</f>
        <v>Home Office</v>
      </c>
      <c r="K659" t="s">
        <v>42</v>
      </c>
      <c r="L659" t="s">
        <v>186</v>
      </c>
      <c r="M659" t="s">
        <v>187</v>
      </c>
      <c r="N659" t="s">
        <v>30</v>
      </c>
      <c r="O659" t="str">
        <f>TRIM(N659)</f>
        <v>Office Supplies</v>
      </c>
      <c r="P659" t="s">
        <v>156</v>
      </c>
      <c r="Q659" t="s">
        <v>3105</v>
      </c>
      <c r="R659" t="s">
        <v>33</v>
      </c>
      <c r="S659" t="s">
        <v>33</v>
      </c>
      <c r="T659">
        <v>1</v>
      </c>
      <c r="U659">
        <v>2541.25</v>
      </c>
      <c r="V659">
        <v>0.2</v>
      </c>
      <c r="W659">
        <v>2033</v>
      </c>
      <c r="X659">
        <v>1291.4100000000001</v>
      </c>
      <c r="Y659">
        <v>741.59</v>
      </c>
      <c r="Z659" t="s">
        <v>34</v>
      </c>
      <c r="AA659" t="s">
        <v>35</v>
      </c>
    </row>
    <row r="660" spans="1:27">
      <c r="A660" t="s">
        <v>3106</v>
      </c>
      <c r="B660" s="4" t="s">
        <v>3107</v>
      </c>
      <c r="C660" s="4" t="s">
        <v>2213</v>
      </c>
      <c r="D660" s="4" t="str">
        <f>IF(C548&lt;B548,"Invalid","OK")</f>
        <v>OK</v>
      </c>
      <c r="E660" s="7" t="str">
        <f>IF(OR(D660="Invalid",D660&lt;0),"",D660)</f>
        <v>OK</v>
      </c>
      <c r="F660" t="s">
        <v>3108</v>
      </c>
      <c r="G660" t="s">
        <v>168</v>
      </c>
      <c r="H660" t="str">
        <f>PROPER(TRIM(G660))</f>
        <v>Sneha Kapoor</v>
      </c>
      <c r="I660" t="s">
        <v>26</v>
      </c>
      <c r="J660" t="str">
        <f>PROPER(TRIM(I660))</f>
        <v>Consumer</v>
      </c>
      <c r="K660" t="s">
        <v>42</v>
      </c>
      <c r="L660" t="s">
        <v>186</v>
      </c>
      <c r="M660" t="s">
        <v>187</v>
      </c>
      <c r="N660" t="s">
        <v>30</v>
      </c>
      <c r="O660" t="str">
        <f>TRIM(N660)</f>
        <v>Office Supplies</v>
      </c>
      <c r="P660" t="s">
        <v>54</v>
      </c>
      <c r="Q660" t="s">
        <v>3109</v>
      </c>
      <c r="R660" t="s">
        <v>56</v>
      </c>
      <c r="S660" t="s">
        <v>56</v>
      </c>
      <c r="T660">
        <v>7</v>
      </c>
      <c r="U660">
        <v>2852.42</v>
      </c>
      <c r="V660">
        <v>0</v>
      </c>
      <c r="W660">
        <v>19966.939999999999</v>
      </c>
      <c r="X660">
        <v>12690.83</v>
      </c>
      <c r="Y660">
        <v>7276.11</v>
      </c>
      <c r="Z660" t="s">
        <v>124</v>
      </c>
      <c r="AA660" t="s">
        <v>78</v>
      </c>
    </row>
    <row r="661" spans="1:27">
      <c r="A661" t="s">
        <v>3110</v>
      </c>
      <c r="B661" t="s">
        <v>183</v>
      </c>
      <c r="C661" t="s">
        <v>1837</v>
      </c>
      <c r="D661"/>
      <c r="E661" s="7">
        <f>IF(OR(D661="Invalid",D661&lt;0),"",D661)</f>
        <v>0</v>
      </c>
      <c r="F661" t="s">
        <v>3111</v>
      </c>
      <c r="G661" t="s">
        <v>210</v>
      </c>
      <c r="H661" t="str">
        <f>PROPER(TRIM(G661))</f>
        <v>Diya Patel</v>
      </c>
      <c r="I661" t="s">
        <v>108</v>
      </c>
      <c r="J661" t="str">
        <f>PROPER(TRIM(I661))</f>
        <v>Corporate</v>
      </c>
      <c r="K661" t="s">
        <v>62</v>
      </c>
      <c r="L661" t="s">
        <v>229</v>
      </c>
      <c r="M661" t="s">
        <v>230</v>
      </c>
      <c r="N661" t="s">
        <v>86</v>
      </c>
      <c r="O661" t="str">
        <f>TRIM(N661)</f>
        <v>Technology</v>
      </c>
      <c r="P661" t="s">
        <v>223</v>
      </c>
      <c r="Q661" t="s">
        <v>3112</v>
      </c>
      <c r="R661" t="s">
        <v>33</v>
      </c>
      <c r="S661" t="s">
        <v>33</v>
      </c>
      <c r="T661">
        <v>2</v>
      </c>
      <c r="U661">
        <v>444.31</v>
      </c>
      <c r="V661">
        <v>0.2</v>
      </c>
      <c r="W661">
        <v>710.9</v>
      </c>
      <c r="X661">
        <v>513.88</v>
      </c>
      <c r="Y661">
        <v>197.02</v>
      </c>
      <c r="Z661" t="s">
        <v>124</v>
      </c>
      <c r="AA661" t="s">
        <v>78</v>
      </c>
    </row>
    <row r="662" spans="1:27">
      <c r="A662" t="s">
        <v>3113</v>
      </c>
      <c r="B662" t="s">
        <v>171</v>
      </c>
      <c r="C662" t="s">
        <v>3114</v>
      </c>
      <c r="D662"/>
      <c r="E662" s="7">
        <f>IF(OR(D662="Invalid",D662&lt;0),"",D662)</f>
        <v>0</v>
      </c>
      <c r="F662" t="s">
        <v>3115</v>
      </c>
      <c r="G662" t="s">
        <v>61</v>
      </c>
      <c r="H662" t="str">
        <f>PROPER(TRIM(G662))</f>
        <v>Arjun Bose</v>
      </c>
      <c r="I662" t="s">
        <v>41</v>
      </c>
      <c r="J662" t="str">
        <f>PROPER(TRIM(I662))</f>
        <v>Small Business</v>
      </c>
      <c r="K662" t="s">
        <v>42</v>
      </c>
      <c r="L662" t="s">
        <v>311</v>
      </c>
      <c r="M662" t="s">
        <v>312</v>
      </c>
      <c r="N662" t="s">
        <v>86</v>
      </c>
      <c r="O662" t="str">
        <f>TRIM(N662)</f>
        <v>Technology</v>
      </c>
      <c r="P662" t="s">
        <v>223</v>
      </c>
      <c r="Q662" t="s">
        <v>3116</v>
      </c>
      <c r="R662" t="s">
        <v>48</v>
      </c>
      <c r="S662" t="s">
        <v>48</v>
      </c>
      <c r="T662">
        <v>4</v>
      </c>
      <c r="U662">
        <v>4442.91</v>
      </c>
      <c r="V662">
        <v>0.1</v>
      </c>
      <c r="W662">
        <v>15994.48</v>
      </c>
      <c r="X662">
        <v>9224.2800000000007</v>
      </c>
      <c r="Y662">
        <v>6770.2</v>
      </c>
      <c r="Z662" t="s">
        <v>34</v>
      </c>
      <c r="AA662" t="s">
        <v>35</v>
      </c>
    </row>
    <row r="663" spans="1:27">
      <c r="A663" t="s">
        <v>3117</v>
      </c>
      <c r="B663" t="s">
        <v>3118</v>
      </c>
      <c r="C663" t="s">
        <v>3119</v>
      </c>
      <c r="D663"/>
      <c r="E663" s="7">
        <f>IF(OR(D663="Invalid",D663&lt;0),"",D663)</f>
        <v>0</v>
      </c>
      <c r="F663" t="s">
        <v>3120</v>
      </c>
      <c r="G663" t="s">
        <v>168</v>
      </c>
      <c r="H663" t="str">
        <f>PROPER(TRIM(G663))</f>
        <v>Sneha Kapoor</v>
      </c>
      <c r="I663" t="s">
        <v>26</v>
      </c>
      <c r="J663" t="str">
        <f>PROPER(TRIM(I663))</f>
        <v>Consumer</v>
      </c>
      <c r="K663" t="s">
        <v>62</v>
      </c>
      <c r="L663" t="s">
        <v>100</v>
      </c>
      <c r="M663" t="s">
        <v>101</v>
      </c>
      <c r="N663" t="s">
        <v>86</v>
      </c>
      <c r="O663" t="str">
        <f>TRIM(N663)</f>
        <v>Technology</v>
      </c>
      <c r="P663" t="s">
        <v>382</v>
      </c>
      <c r="Q663" t="s">
        <v>3121</v>
      </c>
      <c r="R663" t="s">
        <v>33</v>
      </c>
      <c r="S663" t="s">
        <v>33</v>
      </c>
      <c r="T663">
        <v>7</v>
      </c>
      <c r="U663">
        <v>232.5</v>
      </c>
      <c r="V663">
        <v>0</v>
      </c>
      <c r="W663">
        <v>1627.5</v>
      </c>
      <c r="X663">
        <v>939.9</v>
      </c>
      <c r="Y663">
        <v>687.6</v>
      </c>
      <c r="Z663" t="s">
        <v>34</v>
      </c>
      <c r="AA663" t="s">
        <v>35</v>
      </c>
    </row>
    <row r="664" spans="1:27">
      <c r="A664" t="s">
        <v>3122</v>
      </c>
      <c r="B664" t="s">
        <v>3123</v>
      </c>
      <c r="C664" t="s">
        <v>3124</v>
      </c>
      <c r="D664"/>
      <c r="E664" s="7">
        <f>IF(OR(D664="Invalid",D664&lt;0),"",D664)</f>
        <v>0</v>
      </c>
      <c r="F664" t="s">
        <v>3125</v>
      </c>
      <c r="G664" t="s">
        <v>40</v>
      </c>
      <c r="H664" t="str">
        <f>PROPER(TRIM(G664))</f>
        <v>Mira Das</v>
      </c>
      <c r="I664" t="s">
        <v>115</v>
      </c>
      <c r="J664" t="str">
        <f>PROPER(TRIM(I664))</f>
        <v>Home Office</v>
      </c>
      <c r="K664" t="s">
        <v>73</v>
      </c>
      <c r="L664" t="s">
        <v>28</v>
      </c>
      <c r="M664" t="s">
        <v>135</v>
      </c>
      <c r="N664" t="s">
        <v>86</v>
      </c>
      <c r="O664" t="str">
        <f>TRIM(N664)</f>
        <v>Technology</v>
      </c>
      <c r="P664" t="s">
        <v>382</v>
      </c>
      <c r="Q664" t="s">
        <v>3126</v>
      </c>
      <c r="R664" t="s">
        <v>48</v>
      </c>
      <c r="S664" t="s">
        <v>48</v>
      </c>
      <c r="T664">
        <v>6</v>
      </c>
      <c r="U664">
        <v>1784.8</v>
      </c>
      <c r="V664">
        <v>0.1</v>
      </c>
      <c r="W664">
        <v>9637.92</v>
      </c>
      <c r="X664">
        <v>7329.29</v>
      </c>
      <c r="Y664">
        <v>2308.63</v>
      </c>
      <c r="Z664" t="s">
        <v>34</v>
      </c>
      <c r="AA664" t="s">
        <v>35</v>
      </c>
    </row>
    <row r="665" spans="1:27">
      <c r="A665" t="s">
        <v>3127</v>
      </c>
      <c r="B665" t="s">
        <v>1225</v>
      </c>
      <c r="C665" t="s">
        <v>2682</v>
      </c>
      <c r="D665"/>
      <c r="E665" s="7">
        <f>IF(OR(D665="Invalid",D665&lt;0),"",D665)</f>
        <v>0</v>
      </c>
      <c r="F665" t="s">
        <v>3128</v>
      </c>
      <c r="G665" t="s">
        <v>148</v>
      </c>
      <c r="H665" t="str">
        <f>PROPER(TRIM(G665))</f>
        <v>Rahul Verma</v>
      </c>
      <c r="I665" t="s">
        <v>115</v>
      </c>
      <c r="J665" t="str">
        <f>PROPER(TRIM(I665))</f>
        <v>Home Office</v>
      </c>
      <c r="K665" t="s">
        <v>42</v>
      </c>
      <c r="L665" t="s">
        <v>311</v>
      </c>
      <c r="M665" t="s">
        <v>312</v>
      </c>
      <c r="N665" t="s">
        <v>86</v>
      </c>
      <c r="O665" t="str">
        <f>TRIM(N665)</f>
        <v>Technology</v>
      </c>
      <c r="P665" t="s">
        <v>94</v>
      </c>
      <c r="Q665" t="s">
        <v>3129</v>
      </c>
      <c r="R665" t="s">
        <v>33</v>
      </c>
      <c r="S665" t="s">
        <v>33</v>
      </c>
      <c r="T665">
        <v>2</v>
      </c>
      <c r="U665">
        <v>3185.01</v>
      </c>
      <c r="V665">
        <v>-0.24</v>
      </c>
      <c r="W665">
        <v>4777.5200000000004</v>
      </c>
      <c r="X665">
        <v>3152.98</v>
      </c>
      <c r="Y665">
        <v>1624.54</v>
      </c>
      <c r="Z665" t="s">
        <v>34</v>
      </c>
      <c r="AA665" t="s">
        <v>35</v>
      </c>
    </row>
    <row r="666" spans="1:27">
      <c r="A666" t="s">
        <v>3130</v>
      </c>
      <c r="B666" t="s">
        <v>3131</v>
      </c>
      <c r="C666" t="s">
        <v>3132</v>
      </c>
      <c r="D666"/>
      <c r="E666" s="7">
        <f>IF(OR(D666="Invalid",D666&lt;0),"",D666)</f>
        <v>0</v>
      </c>
      <c r="F666" t="s">
        <v>3133</v>
      </c>
      <c r="G666" t="s">
        <v>40</v>
      </c>
      <c r="H666" t="str">
        <f>PROPER(TRIM(G666))</f>
        <v>Mira Das</v>
      </c>
      <c r="I666" t="s">
        <v>115</v>
      </c>
      <c r="J666" t="str">
        <f>PROPER(TRIM(I666))</f>
        <v>Home Office</v>
      </c>
      <c r="K666" t="s">
        <v>62</v>
      </c>
      <c r="L666" t="s">
        <v>63</v>
      </c>
      <c r="M666" t="s">
        <v>64</v>
      </c>
      <c r="N666" t="s">
        <v>86</v>
      </c>
      <c r="O666" t="str">
        <f>TRIM(N666)</f>
        <v>Technology</v>
      </c>
      <c r="P666" t="s">
        <v>87</v>
      </c>
      <c r="Q666" t="s">
        <v>3134</v>
      </c>
      <c r="R666" t="s">
        <v>67</v>
      </c>
      <c r="S666" t="s">
        <v>67</v>
      </c>
      <c r="T666">
        <v>1</v>
      </c>
      <c r="U666">
        <v>1908.83</v>
      </c>
      <c r="V666">
        <v>0.2</v>
      </c>
      <c r="W666">
        <v>1527.06</v>
      </c>
      <c r="X666">
        <v>1055.8900000000001</v>
      </c>
      <c r="Y666">
        <v>471.17</v>
      </c>
      <c r="Z666" t="s">
        <v>34</v>
      </c>
      <c r="AA666" t="s">
        <v>35</v>
      </c>
    </row>
    <row r="667" spans="1:27">
      <c r="A667" t="s">
        <v>3135</v>
      </c>
      <c r="B667" t="s">
        <v>3136</v>
      </c>
      <c r="C667" t="s">
        <v>3137</v>
      </c>
      <c r="D667"/>
      <c r="E667" s="7">
        <f>IF(OR(D667="Invalid",D667&lt;0),"",D667)</f>
        <v>0</v>
      </c>
      <c r="F667" t="s">
        <v>3138</v>
      </c>
      <c r="G667" t="s">
        <v>148</v>
      </c>
      <c r="H667" t="str">
        <f>PROPER(TRIM(G667))</f>
        <v>Rahul Verma</v>
      </c>
      <c r="I667" t="s">
        <v>115</v>
      </c>
      <c r="J667" t="str">
        <f>PROPER(TRIM(I667))</f>
        <v>Home Office</v>
      </c>
      <c r="K667" t="s">
        <v>73</v>
      </c>
      <c r="L667" t="s">
        <v>235</v>
      </c>
      <c r="M667" t="s">
        <v>236</v>
      </c>
      <c r="N667" t="s">
        <v>30</v>
      </c>
      <c r="O667" t="str">
        <f>TRIM(N667)</f>
        <v>Office Supplies</v>
      </c>
      <c r="P667" t="s">
        <v>54</v>
      </c>
      <c r="Q667" t="s">
        <v>3139</v>
      </c>
      <c r="R667" t="s">
        <v>67</v>
      </c>
      <c r="S667" t="s">
        <v>67</v>
      </c>
      <c r="T667">
        <v>3</v>
      </c>
      <c r="U667">
        <v>2110.52</v>
      </c>
      <c r="V667">
        <v>0.1</v>
      </c>
      <c r="W667">
        <v>5698.4</v>
      </c>
      <c r="X667">
        <v>3640.89</v>
      </c>
      <c r="Y667">
        <v>2057.5100000000002</v>
      </c>
      <c r="Z667" t="s">
        <v>200</v>
      </c>
      <c r="AA667" t="s">
        <v>78</v>
      </c>
    </row>
    <row r="668" spans="1:27">
      <c r="A668" t="s">
        <v>3140</v>
      </c>
      <c r="B668" t="s">
        <v>2152</v>
      </c>
      <c r="C668" t="s">
        <v>2094</v>
      </c>
      <c r="D668"/>
      <c r="E668" s="7">
        <f>IF(OR(D668="Invalid",D668&lt;0),"",D668)</f>
        <v>0</v>
      </c>
      <c r="F668" t="s">
        <v>3141</v>
      </c>
      <c r="G668" t="s">
        <v>180</v>
      </c>
      <c r="H668" t="str">
        <f>PROPER(TRIM(G668))</f>
        <v>Rohan Mehta</v>
      </c>
      <c r="I668" t="s">
        <v>41</v>
      </c>
      <c r="J668" t="str">
        <f>PROPER(TRIM(I668))</f>
        <v>Small Business</v>
      </c>
      <c r="K668" t="s">
        <v>27</v>
      </c>
      <c r="L668" t="s">
        <v>154</v>
      </c>
      <c r="M668" t="s">
        <v>155</v>
      </c>
      <c r="N668" t="s">
        <v>86</v>
      </c>
      <c r="O668" t="str">
        <f>TRIM(N668)</f>
        <v>Technology</v>
      </c>
      <c r="P668" t="s">
        <v>94</v>
      </c>
      <c r="Q668" t="s">
        <v>3142</v>
      </c>
      <c r="R668" t="s">
        <v>48</v>
      </c>
      <c r="S668" t="s">
        <v>48</v>
      </c>
      <c r="T668">
        <v>1</v>
      </c>
      <c r="U668">
        <v>279.83</v>
      </c>
      <c r="V668">
        <v>0.05</v>
      </c>
      <c r="W668">
        <v>265.83999999999997</v>
      </c>
      <c r="X668">
        <v>223.49</v>
      </c>
      <c r="Y668">
        <v>42.35</v>
      </c>
      <c r="Z668" t="s">
        <v>34</v>
      </c>
      <c r="AA668" t="s">
        <v>35</v>
      </c>
    </row>
    <row r="669" spans="1:27">
      <c r="A669" t="s">
        <v>3143</v>
      </c>
      <c r="B669" t="s">
        <v>3144</v>
      </c>
      <c r="C669" t="s">
        <v>3145</v>
      </c>
      <c r="D669"/>
      <c r="E669" s="7">
        <f>IF(OR(D669="Invalid",D669&lt;0),"",D669)</f>
        <v>0</v>
      </c>
      <c r="F669" t="s">
        <v>3146</v>
      </c>
      <c r="G669" t="s">
        <v>210</v>
      </c>
      <c r="H669" t="str">
        <f>PROPER(TRIM(G669))</f>
        <v>Diya Patel</v>
      </c>
      <c r="I669" t="s">
        <v>41</v>
      </c>
      <c r="J669" t="str">
        <f>PROPER(TRIM(I669))</f>
        <v>Small Business</v>
      </c>
      <c r="K669" t="s">
        <v>42</v>
      </c>
      <c r="L669" t="s">
        <v>186</v>
      </c>
      <c r="M669" t="s">
        <v>187</v>
      </c>
      <c r="N669" t="s">
        <v>86</v>
      </c>
      <c r="O669" t="str">
        <f>TRIM(N669)</f>
        <v>Technology</v>
      </c>
      <c r="P669" t="s">
        <v>382</v>
      </c>
      <c r="Q669" t="s">
        <v>3147</v>
      </c>
      <c r="R669" t="s">
        <v>67</v>
      </c>
      <c r="S669" t="s">
        <v>67</v>
      </c>
      <c r="T669">
        <v>1</v>
      </c>
      <c r="U669">
        <v>3959.14</v>
      </c>
      <c r="V669">
        <v>0</v>
      </c>
      <c r="W669">
        <v>3959.14</v>
      </c>
      <c r="X669">
        <v>3239.53</v>
      </c>
      <c r="Y669">
        <v>719.61</v>
      </c>
      <c r="Z669" t="s">
        <v>137</v>
      </c>
      <c r="AA669" t="s">
        <v>125</v>
      </c>
    </row>
    <row r="670" spans="1:27">
      <c r="A670" t="s">
        <v>3148</v>
      </c>
      <c r="B670" t="s">
        <v>3149</v>
      </c>
      <c r="C670" t="s">
        <v>221</v>
      </c>
      <c r="D670"/>
      <c r="E670" s="7">
        <f>IF(OR(D670="Invalid",D670&lt;0),"",D670)</f>
        <v>0</v>
      </c>
      <c r="F670" t="s">
        <v>3150</v>
      </c>
      <c r="G670" t="s">
        <v>40</v>
      </c>
      <c r="H670" t="str">
        <f>PROPER(TRIM(G670))</f>
        <v>Mira Das</v>
      </c>
      <c r="I670" t="s">
        <v>108</v>
      </c>
      <c r="J670" t="str">
        <f>PROPER(TRIM(I670))</f>
        <v>Corporate</v>
      </c>
      <c r="K670" t="s">
        <v>73</v>
      </c>
      <c r="L670" t="s">
        <v>235</v>
      </c>
      <c r="M670" t="s">
        <v>236</v>
      </c>
      <c r="N670" t="s">
        <v>30</v>
      </c>
      <c r="O670" t="str">
        <f>TRIM(N670)</f>
        <v>Office Supplies</v>
      </c>
      <c r="P670" t="s">
        <v>31</v>
      </c>
      <c r="Q670" t="s">
        <v>3151</v>
      </c>
      <c r="R670" t="s">
        <v>33</v>
      </c>
      <c r="S670" t="s">
        <v>33</v>
      </c>
      <c r="T670">
        <v>5</v>
      </c>
      <c r="U670">
        <v>600.46</v>
      </c>
      <c r="V670">
        <v>0.2</v>
      </c>
      <c r="W670">
        <v>2401.84</v>
      </c>
      <c r="X670">
        <v>1873.11</v>
      </c>
      <c r="Y670">
        <v>528.73</v>
      </c>
      <c r="Z670" t="s">
        <v>34</v>
      </c>
      <c r="AA670" t="s">
        <v>35</v>
      </c>
    </row>
    <row r="671" spans="1:27">
      <c r="A671" t="s">
        <v>3152</v>
      </c>
      <c r="B671" t="s">
        <v>3153</v>
      </c>
      <c r="C671" t="s">
        <v>3154</v>
      </c>
      <c r="D671"/>
      <c r="E671" s="7">
        <f>IF(OR(D671="Invalid",D671&lt;0),"",D671)</f>
        <v>0</v>
      </c>
      <c r="F671" t="s">
        <v>3155</v>
      </c>
      <c r="G671" t="s">
        <v>72</v>
      </c>
      <c r="H671" t="str">
        <f>PROPER(TRIM(G671))</f>
        <v>Ananya Rao</v>
      </c>
      <c r="I671" t="s">
        <v>115</v>
      </c>
      <c r="J671" t="str">
        <f>PROPER(TRIM(I671))</f>
        <v>Home Office</v>
      </c>
      <c r="K671" t="s">
        <v>73</v>
      </c>
      <c r="L671" t="s">
        <v>74</v>
      </c>
      <c r="M671" t="s">
        <v>75</v>
      </c>
      <c r="N671" t="s">
        <v>45</v>
      </c>
      <c r="O671" t="str">
        <f>TRIM(N671)</f>
        <v>Furniture</v>
      </c>
      <c r="P671" t="s">
        <v>46</v>
      </c>
      <c r="Q671" t="s">
        <v>3156</v>
      </c>
      <c r="R671" t="s">
        <v>33</v>
      </c>
      <c r="S671" t="s">
        <v>33</v>
      </c>
      <c r="T671">
        <v>4</v>
      </c>
      <c r="U671">
        <v>1700.72</v>
      </c>
      <c r="V671">
        <v>0.25</v>
      </c>
      <c r="W671">
        <v>5102.16</v>
      </c>
      <c r="X671">
        <v>3226.45</v>
      </c>
      <c r="Y671">
        <v>1875.71</v>
      </c>
      <c r="Z671" t="s">
        <v>34</v>
      </c>
      <c r="AA671" t="s">
        <v>35</v>
      </c>
    </row>
    <row r="672" spans="1:27">
      <c r="A672" t="s">
        <v>3157</v>
      </c>
      <c r="B672" t="s">
        <v>3158</v>
      </c>
      <c r="C672" t="s">
        <v>2956</v>
      </c>
      <c r="D672"/>
      <c r="E672" s="7">
        <f>IF(OR(D672="Invalid",D672&lt;0),"",D672)</f>
        <v>0</v>
      </c>
      <c r="F672" t="s">
        <v>2431</v>
      </c>
      <c r="G672" t="s">
        <v>168</v>
      </c>
      <c r="H672" t="str">
        <f>PROPER(TRIM(G672))</f>
        <v>Sneha Kapoor</v>
      </c>
      <c r="I672" t="s">
        <v>108</v>
      </c>
      <c r="J672" t="str">
        <f>PROPER(TRIM(I672))</f>
        <v>Corporate</v>
      </c>
      <c r="K672" t="s">
        <v>27</v>
      </c>
      <c r="L672" t="s">
        <v>174</v>
      </c>
      <c r="M672" t="s">
        <v>175</v>
      </c>
      <c r="N672" t="s">
        <v>45</v>
      </c>
      <c r="O672" t="str">
        <f>TRIM(N672)</f>
        <v>Furniture</v>
      </c>
      <c r="P672" t="s">
        <v>46</v>
      </c>
      <c r="Q672" t="s">
        <v>3159</v>
      </c>
      <c r="R672" t="s">
        <v>67</v>
      </c>
      <c r="S672" t="s">
        <v>67</v>
      </c>
      <c r="T672">
        <v>8</v>
      </c>
      <c r="U672">
        <v>857.86</v>
      </c>
      <c r="V672">
        <v>0.1</v>
      </c>
      <c r="W672">
        <v>6176.59</v>
      </c>
      <c r="X672">
        <v>3560.96</v>
      </c>
      <c r="Y672">
        <v>2615.63</v>
      </c>
      <c r="Z672" t="s">
        <v>34</v>
      </c>
      <c r="AA672" t="s">
        <v>35</v>
      </c>
    </row>
    <row r="673" spans="1:27">
      <c r="A673" t="s">
        <v>3160</v>
      </c>
      <c r="B673" t="s">
        <v>3161</v>
      </c>
      <c r="C673" t="s">
        <v>3162</v>
      </c>
      <c r="D673"/>
      <c r="E673" s="7">
        <f>IF(OR(D673="Invalid",D673&lt;0),"",D673)</f>
        <v>0</v>
      </c>
      <c r="F673" t="s">
        <v>3163</v>
      </c>
      <c r="G673" t="s">
        <v>107</v>
      </c>
      <c r="H673" t="str">
        <f>PROPER(TRIM(G673))</f>
        <v>Aditi Sen</v>
      </c>
      <c r="I673" t="s">
        <v>115</v>
      </c>
      <c r="J673" t="str">
        <f>PROPER(TRIM(I673))</f>
        <v>Home Office</v>
      </c>
      <c r="K673" t="s">
        <v>73</v>
      </c>
      <c r="L673" t="s">
        <v>249</v>
      </c>
      <c r="M673" t="s">
        <v>250</v>
      </c>
      <c r="N673" t="s">
        <v>86</v>
      </c>
      <c r="O673" t="str">
        <f>TRIM(N673)</f>
        <v>Technology</v>
      </c>
      <c r="P673" t="s">
        <v>3164</v>
      </c>
      <c r="Q673" t="s">
        <v>3165</v>
      </c>
      <c r="R673" t="s">
        <v>33</v>
      </c>
      <c r="S673" t="s">
        <v>33</v>
      </c>
      <c r="T673">
        <v>9</v>
      </c>
      <c r="U673">
        <v>3649.51</v>
      </c>
      <c r="V673">
        <v>0.05</v>
      </c>
      <c r="W673">
        <v>31203.31</v>
      </c>
      <c r="X673">
        <v>17738.13</v>
      </c>
      <c r="Y673">
        <v>13465.18</v>
      </c>
      <c r="Z673" t="s">
        <v>34</v>
      </c>
      <c r="AA673" t="s">
        <v>35</v>
      </c>
    </row>
    <row r="674" spans="1:27">
      <c r="A674" t="s">
        <v>3166</v>
      </c>
      <c r="B674" t="s">
        <v>3167</v>
      </c>
      <c r="C674" t="s">
        <v>3168</v>
      </c>
      <c r="D674"/>
      <c r="E674" s="7">
        <f>IF(OR(D674="Invalid",D674&lt;0),"",D674)</f>
        <v>0</v>
      </c>
      <c r="F674" t="s">
        <v>3169</v>
      </c>
      <c r="G674" t="s">
        <v>107</v>
      </c>
      <c r="H674" t="str">
        <f>PROPER(TRIM(G674))</f>
        <v>Aditi Sen</v>
      </c>
      <c r="I674" t="s">
        <v>108</v>
      </c>
      <c r="J674" t="str">
        <f>PROPER(TRIM(I674))</f>
        <v>Corporate</v>
      </c>
      <c r="K674" t="s">
        <v>73</v>
      </c>
      <c r="L674" t="s">
        <v>84</v>
      </c>
      <c r="M674" t="s">
        <v>85</v>
      </c>
      <c r="N674" t="s">
        <v>45</v>
      </c>
      <c r="O674" t="str">
        <f>TRIM(N674)</f>
        <v>Furniture</v>
      </c>
      <c r="P674" t="s">
        <v>76</v>
      </c>
      <c r="Q674" t="s">
        <v>3170</v>
      </c>
      <c r="R674" t="s">
        <v>67</v>
      </c>
      <c r="S674" t="s">
        <v>67</v>
      </c>
      <c r="T674">
        <v>5</v>
      </c>
      <c r="U674">
        <v>2528.5300000000002</v>
      </c>
      <c r="V674">
        <v>0.05</v>
      </c>
      <c r="W674">
        <v>12010.52</v>
      </c>
      <c r="X674">
        <v>7864.61</v>
      </c>
      <c r="Y674">
        <v>4145.91</v>
      </c>
      <c r="Z674" t="s">
        <v>34</v>
      </c>
      <c r="AA674" t="s">
        <v>125</v>
      </c>
    </row>
    <row r="675" spans="1:27">
      <c r="A675" t="s">
        <v>3171</v>
      </c>
      <c r="B675" t="s">
        <v>2401</v>
      </c>
      <c r="C675" t="s">
        <v>3172</v>
      </c>
      <c r="D675"/>
      <c r="E675" s="7">
        <f>IF(OR(D675="Invalid",D675&lt;0),"",D675)</f>
        <v>0</v>
      </c>
      <c r="F675" t="s">
        <v>3173</v>
      </c>
      <c r="G675" t="s">
        <v>61</v>
      </c>
      <c r="H675" t="str">
        <f>PROPER(TRIM(G675))</f>
        <v>Arjun Bose</v>
      </c>
      <c r="I675" t="s">
        <v>41</v>
      </c>
      <c r="J675" t="str">
        <f>PROPER(TRIM(I675))</f>
        <v>Small Business</v>
      </c>
      <c r="K675" t="s">
        <v>73</v>
      </c>
      <c r="L675" t="s">
        <v>28</v>
      </c>
      <c r="M675" t="s">
        <v>135</v>
      </c>
      <c r="N675" t="s">
        <v>45</v>
      </c>
      <c r="O675" t="str">
        <f>TRIM(N675)</f>
        <v>Furniture</v>
      </c>
      <c r="P675" t="s">
        <v>204</v>
      </c>
      <c r="Q675" t="s">
        <v>3174</v>
      </c>
      <c r="R675" t="s">
        <v>33</v>
      </c>
      <c r="S675" t="s">
        <v>33</v>
      </c>
      <c r="T675">
        <v>4</v>
      </c>
      <c r="U675">
        <v>4072.9</v>
      </c>
      <c r="V675">
        <v>0.15</v>
      </c>
      <c r="W675">
        <v>13847.86</v>
      </c>
      <c r="X675">
        <v>8471.7800000000007</v>
      </c>
      <c r="Y675">
        <v>5376.08</v>
      </c>
      <c r="Z675" t="s">
        <v>34</v>
      </c>
      <c r="AA675" t="s">
        <v>35</v>
      </c>
    </row>
    <row r="676" spans="1:27">
      <c r="A676" t="s">
        <v>3175</v>
      </c>
      <c r="B676" t="s">
        <v>3176</v>
      </c>
      <c r="C676" t="s">
        <v>3177</v>
      </c>
      <c r="D676"/>
      <c r="E676" s="7">
        <f>IF(OR(D676="Invalid",D676&lt;0),"",D676)</f>
        <v>0</v>
      </c>
      <c r="F676" t="s">
        <v>3178</v>
      </c>
      <c r="G676" t="s">
        <v>83</v>
      </c>
      <c r="H676" t="str">
        <f>PROPER(TRIM(G676))</f>
        <v>Vikram Iyer</v>
      </c>
      <c r="I676" t="s">
        <v>108</v>
      </c>
      <c r="J676" t="str">
        <f>PROPER(TRIM(I676))</f>
        <v>Corporate</v>
      </c>
      <c r="K676" t="s">
        <v>42</v>
      </c>
      <c r="L676" t="s">
        <v>311</v>
      </c>
      <c r="M676" t="s">
        <v>312</v>
      </c>
      <c r="N676" t="s">
        <v>86</v>
      </c>
      <c r="O676" t="str">
        <f>TRIM(N676)</f>
        <v>Technology</v>
      </c>
      <c r="P676" t="s">
        <v>87</v>
      </c>
      <c r="Q676" t="s">
        <v>3179</v>
      </c>
      <c r="R676" t="s">
        <v>33</v>
      </c>
      <c r="S676" t="s">
        <v>33</v>
      </c>
      <c r="T676">
        <v>1</v>
      </c>
      <c r="U676">
        <v>1033.71</v>
      </c>
      <c r="V676">
        <v>0</v>
      </c>
      <c r="W676">
        <v>1033.71</v>
      </c>
      <c r="X676">
        <v>630.82000000000005</v>
      </c>
      <c r="Y676">
        <v>402.89</v>
      </c>
      <c r="Z676" t="s">
        <v>137</v>
      </c>
      <c r="AA676" t="s">
        <v>125</v>
      </c>
    </row>
    <row r="677" spans="1:27">
      <c r="A677" t="s">
        <v>3180</v>
      </c>
      <c r="B677" t="s">
        <v>3181</v>
      </c>
      <c r="C677" t="s">
        <v>3182</v>
      </c>
      <c r="D677"/>
      <c r="E677" s="7">
        <f>IF(OR(D677="Invalid",D677&lt;0),"",D677)</f>
        <v>0</v>
      </c>
      <c r="F677" t="s">
        <v>3033</v>
      </c>
      <c r="G677" t="s">
        <v>162</v>
      </c>
      <c r="H677" t="str">
        <f>PROPER(TRIM(G677))</f>
        <v>Aarav Sharma</v>
      </c>
      <c r="I677" t="s">
        <v>26</v>
      </c>
      <c r="J677" t="str">
        <f>PROPER(TRIM(I677))</f>
        <v>Consumer</v>
      </c>
      <c r="K677" t="s">
        <v>27</v>
      </c>
      <c r="L677" t="s">
        <v>28</v>
      </c>
      <c r="M677" t="s">
        <v>29</v>
      </c>
      <c r="N677" t="s">
        <v>45</v>
      </c>
      <c r="O677" t="str">
        <f>TRIM(N677)</f>
        <v>Furniture</v>
      </c>
      <c r="P677" t="s">
        <v>65</v>
      </c>
      <c r="Q677" t="s">
        <v>3183</v>
      </c>
      <c r="R677" t="s">
        <v>48</v>
      </c>
      <c r="S677" t="s">
        <v>48</v>
      </c>
      <c r="T677">
        <v>3</v>
      </c>
      <c r="U677">
        <v>963.26</v>
      </c>
      <c r="V677">
        <v>0</v>
      </c>
      <c r="W677">
        <v>2889.78</v>
      </c>
      <c r="X677">
        <v>1811.23</v>
      </c>
      <c r="Y677">
        <v>1078.55</v>
      </c>
      <c r="Z677" t="s">
        <v>34</v>
      </c>
      <c r="AA677" t="s">
        <v>35</v>
      </c>
    </row>
    <row r="678" spans="1:27">
      <c r="A678" t="s">
        <v>3184</v>
      </c>
      <c r="B678" t="s">
        <v>3185</v>
      </c>
      <c r="C678" t="s">
        <v>3186</v>
      </c>
      <c r="D678"/>
      <c r="E678" s="7">
        <f>IF(OR(D678="Invalid",D678&lt;0),"",D678)</f>
        <v>0</v>
      </c>
      <c r="F678" t="s">
        <v>3187</v>
      </c>
      <c r="G678" t="s">
        <v>148</v>
      </c>
      <c r="H678" t="str">
        <f>PROPER(TRIM(G678))</f>
        <v>Rahul Verma</v>
      </c>
      <c r="I678" t="s">
        <v>41</v>
      </c>
      <c r="J678" t="str">
        <f>PROPER(TRIM(I678))</f>
        <v>Small Business</v>
      </c>
      <c r="K678" t="s">
        <v>27</v>
      </c>
      <c r="L678" t="s">
        <v>506</v>
      </c>
      <c r="M678" t="s">
        <v>507</v>
      </c>
      <c r="N678" t="s">
        <v>86</v>
      </c>
      <c r="O678" t="str">
        <f>TRIM(N678)</f>
        <v>Technology</v>
      </c>
      <c r="P678" t="s">
        <v>223</v>
      </c>
      <c r="Q678" t="s">
        <v>3188</v>
      </c>
      <c r="R678" t="s">
        <v>48</v>
      </c>
      <c r="S678" t="s">
        <v>48</v>
      </c>
      <c r="T678">
        <v>7</v>
      </c>
      <c r="U678">
        <v>3411.21</v>
      </c>
      <c r="V678">
        <v>0.15</v>
      </c>
      <c r="W678">
        <v>20296.7</v>
      </c>
      <c r="X678">
        <v>14920.87</v>
      </c>
      <c r="Y678">
        <v>5375.83</v>
      </c>
      <c r="Z678" t="s">
        <v>34</v>
      </c>
      <c r="AA678" t="s">
        <v>35</v>
      </c>
    </row>
    <row r="679" spans="1:27">
      <c r="A679" t="s">
        <v>3189</v>
      </c>
      <c r="B679" t="s">
        <v>3190</v>
      </c>
      <c r="C679" t="s">
        <v>3191</v>
      </c>
      <c r="D679"/>
      <c r="E679" s="7">
        <f>IF(OR(D679="Invalid",D679&lt;0),"",D679)</f>
        <v>0</v>
      </c>
      <c r="F679" t="s">
        <v>24</v>
      </c>
      <c r="G679" t="s">
        <v>53</v>
      </c>
      <c r="H679" t="str">
        <f>PROPER(TRIM(G679))</f>
        <v>Isha Nair</v>
      </c>
      <c r="I679" t="s">
        <v>115</v>
      </c>
      <c r="J679" t="str">
        <f>PROPER(TRIM(I679))</f>
        <v>Home Office</v>
      </c>
      <c r="K679" t="s">
        <v>62</v>
      </c>
      <c r="L679" t="s">
        <v>229</v>
      </c>
      <c r="M679" t="s">
        <v>230</v>
      </c>
      <c r="N679" t="s">
        <v>45</v>
      </c>
      <c r="O679" t="str">
        <f>TRIM(N679)</f>
        <v>Furniture</v>
      </c>
      <c r="P679" t="s">
        <v>76</v>
      </c>
      <c r="Q679" t="s">
        <v>3192</v>
      </c>
      <c r="R679" t="s">
        <v>48</v>
      </c>
      <c r="S679" t="s">
        <v>48</v>
      </c>
      <c r="T679">
        <v>7</v>
      </c>
      <c r="U679">
        <v>2623.48</v>
      </c>
      <c r="V679">
        <v>0</v>
      </c>
      <c r="W679">
        <v>18364.36</v>
      </c>
      <c r="X679">
        <v>15445.81</v>
      </c>
      <c r="Y679">
        <v>2918.55</v>
      </c>
      <c r="Z679" t="s">
        <v>34</v>
      </c>
      <c r="AA679" t="s">
        <v>35</v>
      </c>
    </row>
    <row r="680" spans="1:27">
      <c r="A680" t="s">
        <v>3193</v>
      </c>
      <c r="B680" t="s">
        <v>3194</v>
      </c>
      <c r="C680" t="s">
        <v>3195</v>
      </c>
      <c r="D680"/>
      <c r="E680" s="7">
        <f>IF(OR(D680="Invalid",D680&lt;0),"",D680)</f>
        <v>0</v>
      </c>
      <c r="F680" t="s">
        <v>3196</v>
      </c>
      <c r="G680" t="s">
        <v>366</v>
      </c>
      <c r="H680" t="str">
        <f>PROPER(TRIM(G680))</f>
        <v>Kabir Singh</v>
      </c>
      <c r="I680" t="s">
        <v>108</v>
      </c>
      <c r="J680" t="str">
        <f>PROPER(TRIM(I680))</f>
        <v>Corporate</v>
      </c>
      <c r="K680" t="s">
        <v>62</v>
      </c>
      <c r="L680" t="s">
        <v>229</v>
      </c>
      <c r="M680" t="s">
        <v>230</v>
      </c>
      <c r="N680" t="s">
        <v>45</v>
      </c>
      <c r="O680" t="str">
        <f>TRIM(N680)</f>
        <v>Furniture</v>
      </c>
      <c r="P680" t="s">
        <v>46</v>
      </c>
      <c r="Q680" t="s">
        <v>3197</v>
      </c>
      <c r="R680" t="s">
        <v>33</v>
      </c>
      <c r="S680" t="s">
        <v>33</v>
      </c>
      <c r="T680">
        <v>9</v>
      </c>
      <c r="U680">
        <v>2763.61</v>
      </c>
      <c r="V680">
        <v>0.15</v>
      </c>
      <c r="W680">
        <v>21141.62</v>
      </c>
      <c r="X680">
        <v>11676.33</v>
      </c>
      <c r="Y680">
        <v>9465.2900000000009</v>
      </c>
      <c r="Z680" t="s">
        <v>34</v>
      </c>
      <c r="AA680" t="s">
        <v>35</v>
      </c>
    </row>
    <row r="681" spans="1:27">
      <c r="A681" t="s">
        <v>3198</v>
      </c>
      <c r="B681" t="s">
        <v>3199</v>
      </c>
      <c r="C681" t="s">
        <v>640</v>
      </c>
      <c r="D681"/>
      <c r="E681" s="7">
        <f>IF(OR(D681="Invalid",D681&lt;0),"",D681)</f>
        <v>0</v>
      </c>
      <c r="F681" t="s">
        <v>3200</v>
      </c>
      <c r="G681" t="s">
        <v>180</v>
      </c>
      <c r="H681" t="str">
        <f>PROPER(TRIM(G681))</f>
        <v>Rohan Mehta</v>
      </c>
      <c r="I681" t="s">
        <v>108</v>
      </c>
      <c r="J681" t="str">
        <f>PROPER(TRIM(I681))</f>
        <v>Corporate</v>
      </c>
      <c r="K681" t="s">
        <v>27</v>
      </c>
      <c r="L681" t="s">
        <v>154</v>
      </c>
      <c r="M681" t="s">
        <v>155</v>
      </c>
      <c r="N681" t="s">
        <v>86</v>
      </c>
      <c r="O681" t="str">
        <f>TRIM(N681)</f>
        <v>Technology</v>
      </c>
      <c r="P681" t="s">
        <v>94</v>
      </c>
      <c r="Q681" t="s">
        <v>3201</v>
      </c>
      <c r="R681" t="s">
        <v>48</v>
      </c>
      <c r="S681" t="s">
        <v>48</v>
      </c>
      <c r="T681">
        <v>4</v>
      </c>
      <c r="U681">
        <v>1410.57</v>
      </c>
      <c r="V681" t="s">
        <v>681</v>
      </c>
      <c r="W681">
        <v>5360.17</v>
      </c>
      <c r="X681">
        <v>3881.51</v>
      </c>
      <c r="Y681">
        <v>1478.66</v>
      </c>
      <c r="Z681" t="s">
        <v>124</v>
      </c>
      <c r="AA681" t="s">
        <v>78</v>
      </c>
    </row>
    <row r="682" spans="1:27">
      <c r="A682" t="s">
        <v>3202</v>
      </c>
      <c r="B682" t="s">
        <v>274</v>
      </c>
      <c r="C682" t="s">
        <v>577</v>
      </c>
      <c r="D682"/>
      <c r="E682" s="7">
        <f>IF(OR(D682="Invalid",D682&lt;0),"",D682)</f>
        <v>0</v>
      </c>
      <c r="F682" t="s">
        <v>3203</v>
      </c>
      <c r="G682" t="s">
        <v>366</v>
      </c>
      <c r="H682" t="str">
        <f>PROPER(TRIM(G682))</f>
        <v>Kabir Singh</v>
      </c>
      <c r="I682" t="s">
        <v>108</v>
      </c>
      <c r="J682" t="str">
        <f>PROPER(TRIM(I682))</f>
        <v>Corporate</v>
      </c>
      <c r="K682" t="s">
        <v>62</v>
      </c>
      <c r="L682" t="s">
        <v>339</v>
      </c>
      <c r="M682" t="s">
        <v>340</v>
      </c>
      <c r="N682" t="s">
        <v>86</v>
      </c>
      <c r="O682" t="str">
        <f>TRIM(N682)</f>
        <v>Technology</v>
      </c>
      <c r="P682" t="s">
        <v>87</v>
      </c>
      <c r="Q682" t="s">
        <v>3204</v>
      </c>
      <c r="R682" t="s">
        <v>56</v>
      </c>
      <c r="S682" t="s">
        <v>56</v>
      </c>
      <c r="T682">
        <v>4</v>
      </c>
      <c r="U682">
        <v>3700.24</v>
      </c>
      <c r="V682">
        <v>0</v>
      </c>
      <c r="W682">
        <v>14800.96</v>
      </c>
      <c r="X682">
        <v>12048.39</v>
      </c>
      <c r="Y682">
        <v>2752.57</v>
      </c>
      <c r="Z682" t="s">
        <v>34</v>
      </c>
      <c r="AA682" t="s">
        <v>35</v>
      </c>
    </row>
    <row r="683" spans="1:27">
      <c r="A683" t="s">
        <v>3205</v>
      </c>
      <c r="B683" t="s">
        <v>3206</v>
      </c>
      <c r="C683" t="s">
        <v>3207</v>
      </c>
      <c r="D683"/>
      <c r="E683" s="7">
        <f>IF(OR(D683="Invalid",D683&lt;0),"",D683)</f>
        <v>0</v>
      </c>
      <c r="F683" t="s">
        <v>3208</v>
      </c>
      <c r="G683" t="s">
        <v>83</v>
      </c>
      <c r="H683" t="str">
        <f>PROPER(TRIM(G683))</f>
        <v>Vikram Iyer</v>
      </c>
      <c r="I683" t="s">
        <v>108</v>
      </c>
      <c r="J683" t="str">
        <f>PROPER(TRIM(I683))</f>
        <v>Corporate</v>
      </c>
      <c r="K683" t="s">
        <v>27</v>
      </c>
      <c r="L683" t="s">
        <v>506</v>
      </c>
      <c r="M683" t="s">
        <v>507</v>
      </c>
      <c r="N683" t="s">
        <v>45</v>
      </c>
      <c r="O683" t="str">
        <f>TRIM(N683)</f>
        <v>Furniture</v>
      </c>
      <c r="P683" t="s">
        <v>46</v>
      </c>
      <c r="Q683" t="s">
        <v>3209</v>
      </c>
      <c r="R683" t="s">
        <v>33</v>
      </c>
      <c r="S683" t="s">
        <v>33</v>
      </c>
      <c r="T683">
        <v>5</v>
      </c>
      <c r="U683">
        <v>1200.27</v>
      </c>
      <c r="V683">
        <v>0</v>
      </c>
      <c r="W683">
        <v>6001.35</v>
      </c>
      <c r="X683">
        <v>4182.99</v>
      </c>
      <c r="Y683">
        <v>1818.36</v>
      </c>
      <c r="Z683" t="s">
        <v>34</v>
      </c>
      <c r="AA683" t="s">
        <v>78</v>
      </c>
    </row>
    <row r="684" spans="1:27">
      <c r="A684" t="s">
        <v>3210</v>
      </c>
      <c r="B684" t="s">
        <v>344</v>
      </c>
      <c r="C684" t="s">
        <v>2883</v>
      </c>
      <c r="D684"/>
      <c r="E684" s="7">
        <f>IF(OR(D684="Invalid",D684&lt;0),"",D684)</f>
        <v>0</v>
      </c>
      <c r="F684" t="s">
        <v>3211</v>
      </c>
      <c r="G684" t="s">
        <v>3212</v>
      </c>
      <c r="H684" t="str">
        <f>PROPER(TRIM(G684))</f>
        <v>Ananya Rao</v>
      </c>
      <c r="I684" t="s">
        <v>108</v>
      </c>
      <c r="J684" t="str">
        <f>PROPER(TRIM(I684))</f>
        <v>Corporate</v>
      </c>
      <c r="K684" t="s">
        <v>27</v>
      </c>
      <c r="L684" t="s">
        <v>323</v>
      </c>
      <c r="M684" t="s">
        <v>324</v>
      </c>
      <c r="N684" t="s">
        <v>30</v>
      </c>
      <c r="O684" t="str">
        <f>TRIM(N684)</f>
        <v>Office Supplies</v>
      </c>
      <c r="P684" t="s">
        <v>156</v>
      </c>
      <c r="Q684" t="s">
        <v>3213</v>
      </c>
      <c r="R684" t="s">
        <v>48</v>
      </c>
      <c r="S684" t="s">
        <v>48</v>
      </c>
      <c r="T684">
        <v>3</v>
      </c>
      <c r="U684">
        <v>2590.7800000000002</v>
      </c>
      <c r="W684">
        <v>7383.72</v>
      </c>
      <c r="X684">
        <v>4113.66</v>
      </c>
      <c r="Y684">
        <v>3270.06</v>
      </c>
      <c r="Z684" t="s">
        <v>34</v>
      </c>
      <c r="AA684" t="s">
        <v>35</v>
      </c>
    </row>
    <row r="685" spans="1:27">
      <c r="A685" t="s">
        <v>3214</v>
      </c>
      <c r="B685" t="s">
        <v>3215</v>
      </c>
      <c r="C685" t="s">
        <v>1729</v>
      </c>
      <c r="D685"/>
      <c r="E685" s="7">
        <f>IF(OR(D685="Invalid",D685&lt;0),"",D685)</f>
        <v>0</v>
      </c>
      <c r="F685" t="s">
        <v>3216</v>
      </c>
      <c r="G685" t="s">
        <v>61</v>
      </c>
      <c r="H685" t="str">
        <f>PROPER(TRIM(G685))</f>
        <v>Arjun Bose</v>
      </c>
      <c r="I685" t="s">
        <v>41</v>
      </c>
      <c r="J685" t="str">
        <f>PROPER(TRIM(I685))</f>
        <v>Small Business</v>
      </c>
      <c r="K685" t="s">
        <v>62</v>
      </c>
      <c r="L685" t="s">
        <v>63</v>
      </c>
      <c r="M685" t="s">
        <v>64</v>
      </c>
      <c r="N685" t="s">
        <v>45</v>
      </c>
      <c r="O685" t="str">
        <f>TRIM(N685)</f>
        <v>Furniture</v>
      </c>
      <c r="P685" t="s">
        <v>65</v>
      </c>
      <c r="Q685" t="s">
        <v>3217</v>
      </c>
      <c r="R685" t="s">
        <v>33</v>
      </c>
      <c r="S685" t="s">
        <v>33</v>
      </c>
      <c r="T685">
        <v>6</v>
      </c>
      <c r="U685">
        <v>1646.45</v>
      </c>
      <c r="V685">
        <v>0.2</v>
      </c>
      <c r="W685">
        <v>7902.96</v>
      </c>
      <c r="X685">
        <v>5512.03</v>
      </c>
      <c r="Y685">
        <v>2390.9299999999998</v>
      </c>
      <c r="Z685" t="s">
        <v>124</v>
      </c>
      <c r="AA685" t="s">
        <v>78</v>
      </c>
    </row>
    <row r="686" spans="1:27">
      <c r="A686" t="s">
        <v>3218</v>
      </c>
      <c r="B686" t="s">
        <v>3219</v>
      </c>
      <c r="C686" t="s">
        <v>494</v>
      </c>
      <c r="D686"/>
      <c r="E686" s="7">
        <f>IF(OR(D686="Invalid",D686&lt;0),"",D686)</f>
        <v>0</v>
      </c>
      <c r="F686" t="s">
        <v>3220</v>
      </c>
      <c r="G686" t="s">
        <v>53</v>
      </c>
      <c r="H686" t="str">
        <f>PROPER(TRIM(G686))</f>
        <v>Isha Nair</v>
      </c>
      <c r="I686" t="s">
        <v>115</v>
      </c>
      <c r="J686" t="str">
        <f>PROPER(TRIM(I686))</f>
        <v>Home Office</v>
      </c>
      <c r="K686" t="s">
        <v>62</v>
      </c>
      <c r="L686" t="s">
        <v>339</v>
      </c>
      <c r="M686" t="s">
        <v>340</v>
      </c>
      <c r="N686" t="s">
        <v>45</v>
      </c>
      <c r="O686" t="str">
        <f>TRIM(N686)</f>
        <v>Furniture</v>
      </c>
      <c r="P686" t="s">
        <v>204</v>
      </c>
      <c r="Q686" t="s">
        <v>3221</v>
      </c>
      <c r="R686" t="s">
        <v>56</v>
      </c>
      <c r="S686" t="s">
        <v>56</v>
      </c>
      <c r="T686">
        <v>7</v>
      </c>
      <c r="U686">
        <v>4396.6499999999996</v>
      </c>
      <c r="V686">
        <v>0.2</v>
      </c>
      <c r="W686">
        <v>24621.24</v>
      </c>
      <c r="X686">
        <v>17155.48</v>
      </c>
      <c r="Y686">
        <v>7465.76</v>
      </c>
      <c r="Z686" t="s">
        <v>124</v>
      </c>
      <c r="AA686" t="s">
        <v>78</v>
      </c>
    </row>
    <row r="687" spans="1:27">
      <c r="A687" t="s">
        <v>3222</v>
      </c>
      <c r="B687" t="s">
        <v>3223</v>
      </c>
      <c r="C687" t="s">
        <v>499</v>
      </c>
      <c r="D687"/>
      <c r="E687" s="7">
        <f>IF(OR(D687="Invalid",D687&lt;0),"",D687)</f>
        <v>0</v>
      </c>
      <c r="F687" t="s">
        <v>2734</v>
      </c>
      <c r="G687" t="s">
        <v>93</v>
      </c>
      <c r="H687" t="str">
        <f>PROPER(TRIM(G687))</f>
        <v>Neha Gupta</v>
      </c>
      <c r="I687" t="s">
        <v>108</v>
      </c>
      <c r="J687" t="str">
        <f>PROPER(TRIM(I687))</f>
        <v>Corporate</v>
      </c>
      <c r="K687" t="s">
        <v>73</v>
      </c>
      <c r="L687" t="s">
        <v>249</v>
      </c>
      <c r="M687" t="s">
        <v>250</v>
      </c>
      <c r="N687" t="s">
        <v>30</v>
      </c>
      <c r="O687" t="str">
        <f>TRIM(N687)</f>
        <v>Office Supplies</v>
      </c>
      <c r="P687" t="s">
        <v>54</v>
      </c>
      <c r="Q687" t="s">
        <v>3224</v>
      </c>
      <c r="R687" t="s">
        <v>67</v>
      </c>
      <c r="S687" t="s">
        <v>67</v>
      </c>
      <c r="T687">
        <v>9</v>
      </c>
      <c r="U687">
        <v>818.15</v>
      </c>
      <c r="V687">
        <v>0.55000000000000004</v>
      </c>
      <c r="W687">
        <v>6627.01</v>
      </c>
      <c r="X687">
        <v>5606.79</v>
      </c>
      <c r="Y687">
        <v>1020.22</v>
      </c>
      <c r="Z687" t="s">
        <v>200</v>
      </c>
      <c r="AA687" t="s">
        <v>78</v>
      </c>
    </row>
    <row r="688" spans="1:27">
      <c r="A688" t="s">
        <v>3225</v>
      </c>
      <c r="B688" t="s">
        <v>3226</v>
      </c>
      <c r="C688" t="s">
        <v>2170</v>
      </c>
      <c r="D688"/>
      <c r="E688" s="7">
        <f>IF(OR(D688="Invalid",D688&lt;0),"",D688)</f>
        <v>0</v>
      </c>
      <c r="F688" t="s">
        <v>3227</v>
      </c>
      <c r="G688" t="s">
        <v>168</v>
      </c>
      <c r="H688" t="str">
        <f>PROPER(TRIM(G688))</f>
        <v>Sneha Kapoor</v>
      </c>
      <c r="I688" t="s">
        <v>115</v>
      </c>
      <c r="J688" t="str">
        <f>PROPER(TRIM(I688))</f>
        <v>Home Office</v>
      </c>
      <c r="K688" t="s">
        <v>62</v>
      </c>
      <c r="L688" t="s">
        <v>339</v>
      </c>
      <c r="M688" t="s">
        <v>340</v>
      </c>
      <c r="N688" t="s">
        <v>86</v>
      </c>
      <c r="O688" t="str">
        <f>TRIM(N688)</f>
        <v>Technology</v>
      </c>
      <c r="P688" t="s">
        <v>94</v>
      </c>
      <c r="Q688" t="s">
        <v>3228</v>
      </c>
      <c r="R688" t="s">
        <v>67</v>
      </c>
      <c r="S688" t="s">
        <v>67</v>
      </c>
      <c r="T688">
        <v>2</v>
      </c>
      <c r="U688">
        <v>2349.13</v>
      </c>
      <c r="V688">
        <v>0</v>
      </c>
      <c r="W688">
        <v>4698.26</v>
      </c>
      <c r="X688">
        <v>2654.92</v>
      </c>
      <c r="Y688">
        <v>2043.34</v>
      </c>
      <c r="Z688" t="s">
        <v>34</v>
      </c>
      <c r="AA688" t="s">
        <v>35</v>
      </c>
    </row>
    <row r="689" spans="1:27">
      <c r="A689" t="s">
        <v>3229</v>
      </c>
      <c r="B689" t="s">
        <v>1191</v>
      </c>
      <c r="C689" t="s">
        <v>3230</v>
      </c>
      <c r="D689"/>
      <c r="E689" s="7">
        <f>IF(OR(D689="Invalid",D689&lt;0),"",D689)</f>
        <v>0</v>
      </c>
      <c r="F689" t="s">
        <v>3231</v>
      </c>
      <c r="G689" t="s">
        <v>40</v>
      </c>
      <c r="H689" t="str">
        <f>PROPER(TRIM(G689))</f>
        <v>Mira Das</v>
      </c>
      <c r="I689" t="s">
        <v>115</v>
      </c>
      <c r="J689" t="str">
        <f>PROPER(TRIM(I689))</f>
        <v>Home Office</v>
      </c>
      <c r="K689" t="s">
        <v>27</v>
      </c>
      <c r="L689" t="s">
        <v>154</v>
      </c>
      <c r="M689" t="s">
        <v>155</v>
      </c>
      <c r="N689" t="s">
        <v>45</v>
      </c>
      <c r="O689" t="str">
        <f>TRIM(N689)</f>
        <v>Furniture</v>
      </c>
      <c r="P689" t="s">
        <v>46</v>
      </c>
      <c r="Q689" t="s">
        <v>3232</v>
      </c>
      <c r="R689" t="s">
        <v>56</v>
      </c>
      <c r="S689" t="s">
        <v>56</v>
      </c>
      <c r="T689">
        <v>4</v>
      </c>
      <c r="U689">
        <v>172.05</v>
      </c>
      <c r="V689">
        <v>0</v>
      </c>
      <c r="W689">
        <v>688.2</v>
      </c>
      <c r="X689">
        <v>497.68</v>
      </c>
      <c r="Y689">
        <v>190.52</v>
      </c>
      <c r="Z689" t="s">
        <v>200</v>
      </c>
      <c r="AA689" t="s">
        <v>78</v>
      </c>
    </row>
    <row r="690" spans="1:27">
      <c r="A690" t="s">
        <v>3233</v>
      </c>
      <c r="B690" t="s">
        <v>1162</v>
      </c>
      <c r="C690" t="s">
        <v>3234</v>
      </c>
      <c r="D690"/>
      <c r="E690" s="7">
        <f>IF(OR(D690="Invalid",D690&lt;0),"",D690)</f>
        <v>0</v>
      </c>
      <c r="F690" t="s">
        <v>3235</v>
      </c>
      <c r="G690" t="s">
        <v>93</v>
      </c>
      <c r="H690" t="str">
        <f>PROPER(TRIM(G690))</f>
        <v>Neha Gupta</v>
      </c>
      <c r="I690" t="s">
        <v>115</v>
      </c>
      <c r="J690" t="str">
        <f>PROPER(TRIM(I690))</f>
        <v>Home Office</v>
      </c>
      <c r="K690" t="s">
        <v>27</v>
      </c>
      <c r="L690" t="s">
        <v>323</v>
      </c>
      <c r="M690" t="s">
        <v>324</v>
      </c>
      <c r="N690" t="s">
        <v>30</v>
      </c>
      <c r="O690" t="str">
        <f>TRIM(N690)</f>
        <v>Office Supplies</v>
      </c>
      <c r="P690" t="s">
        <v>54</v>
      </c>
      <c r="Q690" t="s">
        <v>3236</v>
      </c>
      <c r="R690" t="s">
        <v>33</v>
      </c>
      <c r="S690" t="s">
        <v>33</v>
      </c>
      <c r="T690">
        <v>6</v>
      </c>
      <c r="U690">
        <v>3037.66</v>
      </c>
      <c r="V690">
        <v>0.15</v>
      </c>
      <c r="W690">
        <v>15492.07</v>
      </c>
      <c r="X690">
        <v>12581.23</v>
      </c>
      <c r="Y690">
        <v>2910.84</v>
      </c>
      <c r="Z690" t="s">
        <v>34</v>
      </c>
      <c r="AA690" t="s">
        <v>35</v>
      </c>
    </row>
    <row r="691" spans="1:27">
      <c r="A691" t="s">
        <v>3237</v>
      </c>
      <c r="B691" t="s">
        <v>3238</v>
      </c>
      <c r="C691" t="s">
        <v>3239</v>
      </c>
      <c r="D691"/>
      <c r="E691" s="7">
        <f>IF(OR(D691="Invalid",D691&lt;0),"",D691)</f>
        <v>0</v>
      </c>
      <c r="F691" t="s">
        <v>3240</v>
      </c>
      <c r="G691" t="s">
        <v>180</v>
      </c>
      <c r="H691" t="str">
        <f>PROPER(TRIM(G691))</f>
        <v>Rohan Mehta</v>
      </c>
      <c r="I691" t="s">
        <v>41</v>
      </c>
      <c r="J691" t="str">
        <f>PROPER(TRIM(I691))</f>
        <v>Small Business</v>
      </c>
      <c r="K691" t="s">
        <v>27</v>
      </c>
      <c r="L691" t="s">
        <v>154</v>
      </c>
      <c r="M691" t="s">
        <v>155</v>
      </c>
      <c r="N691" t="s">
        <v>45</v>
      </c>
      <c r="O691" t="str">
        <f>TRIM(N691)</f>
        <v>Furniture</v>
      </c>
      <c r="P691" t="s">
        <v>46</v>
      </c>
      <c r="Q691" t="s">
        <v>3241</v>
      </c>
      <c r="R691" t="s">
        <v>67</v>
      </c>
      <c r="S691" t="s">
        <v>67</v>
      </c>
      <c r="T691">
        <v>9</v>
      </c>
      <c r="U691">
        <v>489.58</v>
      </c>
      <c r="V691">
        <v>0.15</v>
      </c>
      <c r="W691">
        <v>3745.29</v>
      </c>
      <c r="X691">
        <v>2302.65</v>
      </c>
      <c r="Y691">
        <v>1442.64</v>
      </c>
      <c r="Z691" t="s">
        <v>200</v>
      </c>
      <c r="AA691" t="s">
        <v>78</v>
      </c>
    </row>
    <row r="692" spans="1:27">
      <c r="A692" t="s">
        <v>3242</v>
      </c>
      <c r="B692" t="s">
        <v>877</v>
      </c>
      <c r="C692" t="s">
        <v>3243</v>
      </c>
      <c r="D692"/>
      <c r="E692" s="7">
        <f>IF(OR(D692="Invalid",D692&lt;0),"",D692)</f>
        <v>0</v>
      </c>
      <c r="F692" t="s">
        <v>3244</v>
      </c>
      <c r="G692" t="s">
        <v>168</v>
      </c>
      <c r="H692" t="str">
        <f>PROPER(TRIM(G692))</f>
        <v>Sneha Kapoor</v>
      </c>
      <c r="I692" t="s">
        <v>108</v>
      </c>
      <c r="J692" t="str">
        <f>PROPER(TRIM(I692))</f>
        <v>Corporate</v>
      </c>
      <c r="K692" t="s">
        <v>62</v>
      </c>
      <c r="L692" t="s">
        <v>339</v>
      </c>
      <c r="M692" t="s">
        <v>340</v>
      </c>
      <c r="N692" t="s">
        <v>30</v>
      </c>
      <c r="O692" t="str">
        <f>TRIM(N692)</f>
        <v>Office Supplies</v>
      </c>
      <c r="P692" t="s">
        <v>54</v>
      </c>
      <c r="Q692" t="s">
        <v>3245</v>
      </c>
      <c r="R692" t="s">
        <v>67</v>
      </c>
      <c r="S692" t="s">
        <v>67</v>
      </c>
      <c r="T692">
        <v>4</v>
      </c>
      <c r="U692">
        <v>865.63</v>
      </c>
      <c r="V692">
        <v>0</v>
      </c>
      <c r="W692">
        <v>3462.52</v>
      </c>
      <c r="X692">
        <v>2797.29</v>
      </c>
      <c r="Y692">
        <v>665.23</v>
      </c>
      <c r="Z692" t="s">
        <v>200</v>
      </c>
      <c r="AA692" t="s">
        <v>125</v>
      </c>
    </row>
    <row r="693" spans="1:27">
      <c r="A693" t="s">
        <v>3246</v>
      </c>
      <c r="B693" t="s">
        <v>2461</v>
      </c>
      <c r="C693" t="s">
        <v>3247</v>
      </c>
      <c r="D693"/>
      <c r="E693" s="7">
        <f>IF(OR(D693="Invalid",D693&lt;0),"",D693)</f>
        <v>0</v>
      </c>
      <c r="F693" t="s">
        <v>3248</v>
      </c>
      <c r="G693" t="s">
        <v>180</v>
      </c>
      <c r="H693" t="str">
        <f>PROPER(TRIM(G693))</f>
        <v>Rohan Mehta</v>
      </c>
      <c r="I693" t="s">
        <v>26</v>
      </c>
      <c r="J693" t="str">
        <f>PROPER(TRIM(I693))</f>
        <v>Consumer</v>
      </c>
      <c r="K693" t="s">
        <v>42</v>
      </c>
      <c r="L693" t="s">
        <v>43</v>
      </c>
      <c r="M693" t="s">
        <v>44</v>
      </c>
      <c r="N693" t="s">
        <v>86</v>
      </c>
      <c r="O693" t="str">
        <f>TRIM(N693)</f>
        <v>Technology</v>
      </c>
      <c r="P693" t="s">
        <v>94</v>
      </c>
      <c r="Q693" t="s">
        <v>3249</v>
      </c>
      <c r="R693" t="s">
        <v>33</v>
      </c>
      <c r="S693" t="s">
        <v>33</v>
      </c>
      <c r="T693">
        <v>6</v>
      </c>
      <c r="U693">
        <v>1538.1</v>
      </c>
      <c r="V693">
        <v>0.05</v>
      </c>
      <c r="W693">
        <v>8767.17</v>
      </c>
      <c r="X693">
        <v>5098.2</v>
      </c>
      <c r="Y693">
        <v>3668.97</v>
      </c>
      <c r="Z693" t="s">
        <v>34</v>
      </c>
      <c r="AA693" t="s">
        <v>35</v>
      </c>
    </row>
    <row r="694" spans="1:27">
      <c r="A694" t="s">
        <v>3250</v>
      </c>
      <c r="B694" t="s">
        <v>227</v>
      </c>
      <c r="C694" t="s">
        <v>3251</v>
      </c>
      <c r="D694"/>
      <c r="E694" s="7">
        <f>IF(OR(D694="Invalid",D694&lt;0),"",D694)</f>
        <v>0</v>
      </c>
      <c r="F694" t="s">
        <v>3252</v>
      </c>
      <c r="G694" t="s">
        <v>53</v>
      </c>
      <c r="H694" t="str">
        <f>PROPER(TRIM(G694))</f>
        <v>Isha Nair</v>
      </c>
      <c r="I694" t="s">
        <v>1781</v>
      </c>
      <c r="J694" t="str">
        <f>PROPER(TRIM(I694))</f>
        <v>Corporate</v>
      </c>
      <c r="K694" t="s">
        <v>62</v>
      </c>
      <c r="L694" t="s">
        <v>229</v>
      </c>
      <c r="M694" t="s">
        <v>230</v>
      </c>
      <c r="N694" t="s">
        <v>45</v>
      </c>
      <c r="O694" t="str">
        <f>TRIM(N694)</f>
        <v>Furniture</v>
      </c>
      <c r="P694" t="s">
        <v>65</v>
      </c>
      <c r="Q694" t="s">
        <v>3253</v>
      </c>
      <c r="R694" t="s">
        <v>33</v>
      </c>
      <c r="S694" t="s">
        <v>33</v>
      </c>
      <c r="T694">
        <v>4</v>
      </c>
      <c r="U694">
        <v>2365.6799999999998</v>
      </c>
      <c r="V694">
        <v>0.1</v>
      </c>
      <c r="W694">
        <v>8516.4500000000007</v>
      </c>
      <c r="X694">
        <v>5903.81</v>
      </c>
      <c r="Y694">
        <v>2612.64</v>
      </c>
      <c r="Z694" t="s">
        <v>34</v>
      </c>
      <c r="AA694" t="s">
        <v>35</v>
      </c>
    </row>
    <row r="695" spans="1:27">
      <c r="A695" t="s">
        <v>3254</v>
      </c>
      <c r="B695" t="s">
        <v>3255</v>
      </c>
      <c r="C695" t="s">
        <v>2498</v>
      </c>
      <c r="D695"/>
      <c r="E695" s="7">
        <f>IF(OR(D695="Invalid",D695&lt;0),"",D695)</f>
        <v>0</v>
      </c>
      <c r="F695" t="s">
        <v>3256</v>
      </c>
      <c r="G695" t="s">
        <v>61</v>
      </c>
      <c r="H695" t="str">
        <f>PROPER(TRIM(G695))</f>
        <v>Arjun Bose</v>
      </c>
      <c r="I695" t="s">
        <v>26</v>
      </c>
      <c r="J695" t="str">
        <f>PROPER(TRIM(I695))</f>
        <v>Consumer</v>
      </c>
      <c r="K695" t="s">
        <v>62</v>
      </c>
      <c r="L695" t="s">
        <v>339</v>
      </c>
      <c r="M695" t="s">
        <v>340</v>
      </c>
      <c r="N695" t="s">
        <v>45</v>
      </c>
      <c r="O695" t="str">
        <f>TRIM(N695)</f>
        <v>Furniture</v>
      </c>
      <c r="P695" t="s">
        <v>204</v>
      </c>
      <c r="Q695" t="s">
        <v>3257</v>
      </c>
      <c r="R695" t="s">
        <v>33</v>
      </c>
      <c r="S695" t="s">
        <v>33</v>
      </c>
      <c r="T695">
        <v>3</v>
      </c>
      <c r="U695">
        <v>4149.7700000000004</v>
      </c>
      <c r="V695">
        <v>0.05</v>
      </c>
      <c r="W695">
        <v>11826.84</v>
      </c>
      <c r="X695">
        <v>8035.96</v>
      </c>
      <c r="Y695">
        <v>3790.88</v>
      </c>
      <c r="Z695" t="s">
        <v>34</v>
      </c>
      <c r="AA695" t="s">
        <v>35</v>
      </c>
    </row>
    <row r="696" spans="1:27">
      <c r="A696" t="s">
        <v>3258</v>
      </c>
      <c r="B696" t="s">
        <v>1730</v>
      </c>
      <c r="C696" t="s">
        <v>3079</v>
      </c>
      <c r="D696"/>
      <c r="E696" s="7">
        <f>IF(OR(D696="Invalid",D696&lt;0),"",D696)</f>
        <v>0</v>
      </c>
      <c r="F696" t="s">
        <v>1738</v>
      </c>
      <c r="G696" t="s">
        <v>53</v>
      </c>
      <c r="H696" t="str">
        <f>PROPER(TRIM(G696))</f>
        <v>Isha Nair</v>
      </c>
      <c r="I696" t="s">
        <v>26</v>
      </c>
      <c r="J696" t="str">
        <f>PROPER(TRIM(I696))</f>
        <v>Consumer</v>
      </c>
      <c r="K696" t="s">
        <v>62</v>
      </c>
      <c r="L696" t="s">
        <v>100</v>
      </c>
      <c r="M696" t="s">
        <v>101</v>
      </c>
      <c r="N696" t="s">
        <v>30</v>
      </c>
      <c r="O696" t="str">
        <f>TRIM(N696)</f>
        <v>Office Supplies</v>
      </c>
      <c r="P696" t="s">
        <v>156</v>
      </c>
      <c r="Q696" t="s">
        <v>3259</v>
      </c>
      <c r="R696" t="s">
        <v>56</v>
      </c>
      <c r="S696" t="s">
        <v>56</v>
      </c>
      <c r="T696">
        <v>5</v>
      </c>
      <c r="U696">
        <v>2736.24</v>
      </c>
      <c r="V696">
        <v>0.15</v>
      </c>
      <c r="W696">
        <v>11629.02</v>
      </c>
      <c r="X696">
        <v>9627.2099999999991</v>
      </c>
      <c r="Y696">
        <v>2001.81</v>
      </c>
      <c r="Z696" t="s">
        <v>34</v>
      </c>
      <c r="AA696" t="s">
        <v>35</v>
      </c>
    </row>
    <row r="697" spans="1:27">
      <c r="A697" t="s">
        <v>3260</v>
      </c>
      <c r="B697" t="s">
        <v>3261</v>
      </c>
      <c r="C697" t="s">
        <v>2105</v>
      </c>
      <c r="D697"/>
      <c r="E697" s="7">
        <f>IF(OR(D697="Invalid",D697&lt;0),"",D697)</f>
        <v>0</v>
      </c>
      <c r="F697" t="s">
        <v>3262</v>
      </c>
      <c r="G697" t="s">
        <v>162</v>
      </c>
      <c r="H697" t="str">
        <f>PROPER(TRIM(G697))</f>
        <v>Aarav Sharma</v>
      </c>
      <c r="I697" t="s">
        <v>26</v>
      </c>
      <c r="J697" t="str">
        <f>PROPER(TRIM(I697))</f>
        <v>Consumer</v>
      </c>
      <c r="K697" t="s">
        <v>73</v>
      </c>
      <c r="L697" t="s">
        <v>84</v>
      </c>
      <c r="M697" t="s">
        <v>85</v>
      </c>
      <c r="N697" t="s">
        <v>86</v>
      </c>
      <c r="O697" t="str">
        <f>TRIM(N697)</f>
        <v>Technology</v>
      </c>
      <c r="P697" t="s">
        <v>382</v>
      </c>
      <c r="Q697" t="s">
        <v>3263</v>
      </c>
      <c r="R697" t="s">
        <v>67</v>
      </c>
      <c r="S697" t="s">
        <v>67</v>
      </c>
      <c r="T697">
        <v>4</v>
      </c>
      <c r="U697">
        <v>257.39</v>
      </c>
      <c r="V697">
        <v>0</v>
      </c>
      <c r="W697">
        <v>1029.56</v>
      </c>
      <c r="X697">
        <v>626.33000000000004</v>
      </c>
      <c r="Y697">
        <v>403.23</v>
      </c>
      <c r="Z697" t="s">
        <v>34</v>
      </c>
      <c r="AA697" t="s">
        <v>35</v>
      </c>
    </row>
    <row r="698" spans="1:27">
      <c r="A698" t="s">
        <v>3264</v>
      </c>
      <c r="B698" t="s">
        <v>3265</v>
      </c>
      <c r="C698" t="s">
        <v>3266</v>
      </c>
      <c r="D698"/>
      <c r="E698" s="7">
        <f>IF(OR(D698="Invalid",D698&lt;0),"",D698)</f>
        <v>0</v>
      </c>
      <c r="F698" t="s">
        <v>3267</v>
      </c>
      <c r="G698" t="s">
        <v>53</v>
      </c>
      <c r="H698" t="str">
        <f>PROPER(TRIM(G698))</f>
        <v>Isha Nair</v>
      </c>
      <c r="I698" t="s">
        <v>41</v>
      </c>
      <c r="J698" t="str">
        <f>PROPER(TRIM(I698))</f>
        <v>Small Business</v>
      </c>
      <c r="K698" t="s">
        <v>62</v>
      </c>
      <c r="L698" t="s">
        <v>242</v>
      </c>
      <c r="M698" t="s">
        <v>243</v>
      </c>
      <c r="N698" t="s">
        <v>86</v>
      </c>
      <c r="O698" t="str">
        <f>TRIM(N698)</f>
        <v>Technology</v>
      </c>
      <c r="P698" t="s">
        <v>223</v>
      </c>
      <c r="Q698" t="s">
        <v>3268</v>
      </c>
      <c r="R698" t="s">
        <v>4124</v>
      </c>
      <c r="S698" t="s">
        <v>4111</v>
      </c>
      <c r="T698">
        <v>4</v>
      </c>
      <c r="U698">
        <v>1178.8399999999999</v>
      </c>
      <c r="V698">
        <v>0.25</v>
      </c>
      <c r="W698">
        <v>3536.52</v>
      </c>
      <c r="X698">
        <v>2102.41</v>
      </c>
      <c r="Y698">
        <v>1363.28</v>
      </c>
      <c r="Z698" t="s">
        <v>34</v>
      </c>
      <c r="AA698" t="s">
        <v>35</v>
      </c>
    </row>
    <row r="699" spans="1:27">
      <c r="A699" t="s">
        <v>3269</v>
      </c>
      <c r="B699" t="s">
        <v>2323</v>
      </c>
      <c r="C699" t="s">
        <v>787</v>
      </c>
      <c r="D699"/>
      <c r="E699" s="7">
        <f>IF(OR(D699="Invalid",D699&lt;0),"",D699)</f>
        <v>0</v>
      </c>
      <c r="F699" t="s">
        <v>3270</v>
      </c>
      <c r="G699" t="s">
        <v>61</v>
      </c>
      <c r="H699" t="str">
        <f>PROPER(TRIM(G699))</f>
        <v>Arjun Bose</v>
      </c>
      <c r="I699" t="s">
        <v>108</v>
      </c>
      <c r="J699" t="str">
        <f>PROPER(TRIM(I699))</f>
        <v>Corporate</v>
      </c>
      <c r="K699" t="s">
        <v>62</v>
      </c>
      <c r="L699" t="s">
        <v>100</v>
      </c>
      <c r="M699" t="s">
        <v>101</v>
      </c>
      <c r="N699" t="s">
        <v>30</v>
      </c>
      <c r="O699" t="str">
        <f>TRIM(N699)</f>
        <v>Office Supplies</v>
      </c>
      <c r="P699" t="s">
        <v>109</v>
      </c>
      <c r="Q699" t="s">
        <v>3271</v>
      </c>
      <c r="R699" t="s">
        <v>56</v>
      </c>
      <c r="S699" t="s">
        <v>56</v>
      </c>
      <c r="T699">
        <v>7</v>
      </c>
      <c r="U699">
        <v>567.15</v>
      </c>
      <c r="W699">
        <v>2977.54</v>
      </c>
      <c r="X699">
        <v>1849.3</v>
      </c>
      <c r="Y699">
        <v>1128.24</v>
      </c>
      <c r="Z699" t="s">
        <v>124</v>
      </c>
      <c r="AA699" t="s">
        <v>125</v>
      </c>
    </row>
    <row r="700" spans="1:27">
      <c r="A700" t="s">
        <v>3272</v>
      </c>
      <c r="B700" t="s">
        <v>3273</v>
      </c>
      <c r="C700" t="s">
        <v>1741</v>
      </c>
      <c r="D700"/>
      <c r="E700" s="7">
        <f>IF(OR(D700="Invalid",D700&lt;0),"",D700)</f>
        <v>0</v>
      </c>
      <c r="F700" t="s">
        <v>3274</v>
      </c>
      <c r="G700" t="s">
        <v>40</v>
      </c>
      <c r="H700" t="str">
        <f>PROPER(TRIM(G700))</f>
        <v>Mira Das</v>
      </c>
      <c r="I700" t="s">
        <v>108</v>
      </c>
      <c r="J700" t="str">
        <f>PROPER(TRIM(I700))</f>
        <v>Corporate</v>
      </c>
      <c r="K700" t="s">
        <v>27</v>
      </c>
      <c r="L700" t="s">
        <v>28</v>
      </c>
      <c r="M700" t="s">
        <v>29</v>
      </c>
      <c r="N700" t="s">
        <v>86</v>
      </c>
      <c r="O700" t="str">
        <f>TRIM(N700)</f>
        <v>Technology</v>
      </c>
      <c r="P700" t="s">
        <v>382</v>
      </c>
      <c r="Q700" t="s">
        <v>3275</v>
      </c>
      <c r="R700" t="s">
        <v>67</v>
      </c>
      <c r="S700" t="s">
        <v>67</v>
      </c>
      <c r="T700">
        <v>8</v>
      </c>
      <c r="U700">
        <v>4081.66</v>
      </c>
      <c r="V700">
        <v>0.15</v>
      </c>
      <c r="W700">
        <v>28208.1</v>
      </c>
      <c r="X700">
        <v>23751.91</v>
      </c>
      <c r="Y700">
        <v>4003.38</v>
      </c>
      <c r="Z700" t="s">
        <v>34</v>
      </c>
      <c r="AA700" t="s">
        <v>125</v>
      </c>
    </row>
    <row r="701" spans="1:27">
      <c r="A701" t="s">
        <v>3276</v>
      </c>
      <c r="B701" t="s">
        <v>3277</v>
      </c>
      <c r="C701" t="s">
        <v>3278</v>
      </c>
      <c r="D701"/>
      <c r="E701" s="7">
        <f>IF(OR(D701="Invalid",D701&lt;0),"",D701)</f>
        <v>0</v>
      </c>
      <c r="F701" t="s">
        <v>3279</v>
      </c>
      <c r="G701" t="s">
        <v>61</v>
      </c>
      <c r="H701" t="str">
        <f>PROPER(TRIM(G701))</f>
        <v>Arjun Bose</v>
      </c>
      <c r="I701" t="s">
        <v>41</v>
      </c>
      <c r="J701" t="str">
        <f>PROPER(TRIM(I701))</f>
        <v>Small Business</v>
      </c>
      <c r="K701" t="s">
        <v>62</v>
      </c>
      <c r="L701" t="s">
        <v>229</v>
      </c>
      <c r="M701" t="s">
        <v>230</v>
      </c>
      <c r="N701" t="s">
        <v>45</v>
      </c>
      <c r="O701" t="str">
        <f>TRIM(N701)</f>
        <v>Furniture</v>
      </c>
      <c r="P701" t="s">
        <v>204</v>
      </c>
      <c r="Q701" t="s">
        <v>3280</v>
      </c>
      <c r="R701" t="s">
        <v>67</v>
      </c>
      <c r="S701" t="s">
        <v>67</v>
      </c>
      <c r="T701">
        <v>9</v>
      </c>
      <c r="U701">
        <v>1400.11</v>
      </c>
      <c r="V701">
        <v>0.25</v>
      </c>
      <c r="W701">
        <v>9450.74</v>
      </c>
      <c r="X701">
        <v>7798.56</v>
      </c>
      <c r="Y701">
        <v>1652.18</v>
      </c>
      <c r="Z701" t="s">
        <v>34</v>
      </c>
      <c r="AA701" t="s">
        <v>35</v>
      </c>
    </row>
    <row r="702" spans="1:27">
      <c r="A702" t="s">
        <v>3281</v>
      </c>
      <c r="B702" t="s">
        <v>3282</v>
      </c>
      <c r="C702" t="s">
        <v>1134</v>
      </c>
      <c r="D702"/>
      <c r="E702" s="7">
        <f>IF(OR(D702="Invalid",D702&lt;0),"",D702)</f>
        <v>0</v>
      </c>
      <c r="F702" t="s">
        <v>3283</v>
      </c>
      <c r="G702" t="s">
        <v>93</v>
      </c>
      <c r="H702" t="str">
        <f>PROPER(TRIM(G702))</f>
        <v>Neha Gupta</v>
      </c>
      <c r="I702" t="s">
        <v>108</v>
      </c>
      <c r="J702" t="str">
        <f>PROPER(TRIM(I702))</f>
        <v>Corporate</v>
      </c>
      <c r="K702" t="s">
        <v>42</v>
      </c>
      <c r="L702" t="s">
        <v>121</v>
      </c>
      <c r="M702" t="s">
        <v>122</v>
      </c>
      <c r="N702" t="s">
        <v>86</v>
      </c>
      <c r="O702" t="str">
        <f>TRIM(N702)</f>
        <v>Technology</v>
      </c>
      <c r="P702" t="s">
        <v>382</v>
      </c>
      <c r="Q702" t="s">
        <v>3284</v>
      </c>
      <c r="R702" t="s">
        <v>67</v>
      </c>
      <c r="S702" t="s">
        <v>67</v>
      </c>
      <c r="T702">
        <v>3</v>
      </c>
      <c r="U702">
        <v>3055.9</v>
      </c>
      <c r="V702">
        <v>0.15</v>
      </c>
      <c r="W702">
        <v>7792.55</v>
      </c>
      <c r="X702">
        <v>4691.7299999999996</v>
      </c>
      <c r="Y702">
        <v>3100.82</v>
      </c>
      <c r="Z702" t="s">
        <v>34</v>
      </c>
      <c r="AA702" t="s">
        <v>35</v>
      </c>
    </row>
    <row r="703" spans="1:27">
      <c r="A703" t="s">
        <v>3285</v>
      </c>
      <c r="B703" t="s">
        <v>1622</v>
      </c>
      <c r="C703" t="s">
        <v>1293</v>
      </c>
      <c r="D703"/>
      <c r="E703" s="7">
        <f>IF(OR(D703="Invalid",D703&lt;0),"",D703)</f>
        <v>0</v>
      </c>
      <c r="F703" t="s">
        <v>3286</v>
      </c>
      <c r="G703" t="s">
        <v>180</v>
      </c>
      <c r="H703" t="str">
        <f>PROPER(TRIM(G703))</f>
        <v>Rohan Mehta</v>
      </c>
      <c r="I703" t="s">
        <v>41</v>
      </c>
      <c r="J703" t="str">
        <f>PROPER(TRIM(I703))</f>
        <v>Small Business</v>
      </c>
      <c r="K703" t="s">
        <v>73</v>
      </c>
      <c r="L703" t="s">
        <v>235</v>
      </c>
      <c r="M703" t="s">
        <v>236</v>
      </c>
      <c r="N703" t="s">
        <v>30</v>
      </c>
      <c r="O703" t="str">
        <f>TRIM(N703)</f>
        <v>Office Supplies</v>
      </c>
      <c r="P703" t="s">
        <v>54</v>
      </c>
      <c r="Q703" t="s">
        <v>3287</v>
      </c>
      <c r="R703" t="s">
        <v>48</v>
      </c>
      <c r="S703" t="s">
        <v>48</v>
      </c>
      <c r="T703">
        <v>7</v>
      </c>
      <c r="U703">
        <v>1224.94</v>
      </c>
      <c r="V703">
        <v>0</v>
      </c>
      <c r="W703">
        <v>8574.58</v>
      </c>
      <c r="X703">
        <v>6685.81</v>
      </c>
      <c r="Y703">
        <v>1888.77</v>
      </c>
      <c r="Z703" t="s">
        <v>34</v>
      </c>
      <c r="AA703" t="s">
        <v>125</v>
      </c>
    </row>
    <row r="704" spans="1:27">
      <c r="A704" t="s">
        <v>3288</v>
      </c>
      <c r="B704" t="s">
        <v>3289</v>
      </c>
      <c r="C704" t="s">
        <v>2884</v>
      </c>
      <c r="D704"/>
      <c r="E704" s="7">
        <f>IF(OR(D704="Invalid",D704&lt;0),"",D704)</f>
        <v>0</v>
      </c>
      <c r="F704" t="s">
        <v>3290</v>
      </c>
      <c r="G704" t="s">
        <v>25</v>
      </c>
      <c r="H704" t="str">
        <f>PROPER(TRIM(G704))</f>
        <v>Karan Malhotra</v>
      </c>
      <c r="I704" t="s">
        <v>41</v>
      </c>
      <c r="J704" t="str">
        <f>PROPER(TRIM(I704))</f>
        <v>Small Business</v>
      </c>
      <c r="K704" t="s">
        <v>73</v>
      </c>
      <c r="L704" t="s">
        <v>28</v>
      </c>
      <c r="M704" t="s">
        <v>135</v>
      </c>
      <c r="N704" t="s">
        <v>45</v>
      </c>
      <c r="O704" t="str">
        <f>TRIM(N704)</f>
        <v>Furniture</v>
      </c>
      <c r="P704" t="s">
        <v>46</v>
      </c>
      <c r="Q704" t="s">
        <v>3291</v>
      </c>
      <c r="R704" t="s">
        <v>33</v>
      </c>
      <c r="S704" t="s">
        <v>33</v>
      </c>
      <c r="T704">
        <v>3</v>
      </c>
      <c r="U704">
        <v>997.34</v>
      </c>
      <c r="V704">
        <v>0.1</v>
      </c>
      <c r="W704">
        <v>2692.82</v>
      </c>
      <c r="X704">
        <v>1820.08</v>
      </c>
      <c r="Y704">
        <v>872.74</v>
      </c>
      <c r="Z704" t="s">
        <v>34</v>
      </c>
      <c r="AA704" t="s">
        <v>35</v>
      </c>
    </row>
    <row r="705" spans="1:27">
      <c r="A705" t="s">
        <v>3292</v>
      </c>
      <c r="B705" t="s">
        <v>3293</v>
      </c>
      <c r="C705" t="s">
        <v>2380</v>
      </c>
      <c r="D705"/>
      <c r="E705" s="7">
        <f>IF(OR(D705="Invalid",D705&lt;0),"",D705)</f>
        <v>0</v>
      </c>
      <c r="F705" t="s">
        <v>3294</v>
      </c>
      <c r="G705" t="s">
        <v>107</v>
      </c>
      <c r="H705" t="str">
        <f>PROPER(TRIM(G705))</f>
        <v>Aditi Sen</v>
      </c>
      <c r="I705" t="s">
        <v>108</v>
      </c>
      <c r="J705" t="str">
        <f>PROPER(TRIM(I705))</f>
        <v>Corporate</v>
      </c>
      <c r="K705" t="s">
        <v>27</v>
      </c>
      <c r="L705" t="s">
        <v>28</v>
      </c>
      <c r="M705" t="s">
        <v>29</v>
      </c>
      <c r="N705" t="s">
        <v>45</v>
      </c>
      <c r="O705" t="str">
        <f>TRIM(N705)</f>
        <v>Furniture</v>
      </c>
      <c r="P705" t="s">
        <v>46</v>
      </c>
      <c r="Q705" t="s">
        <v>3295</v>
      </c>
      <c r="R705" t="s">
        <v>56</v>
      </c>
      <c r="S705" t="s">
        <v>56</v>
      </c>
      <c r="T705">
        <v>1</v>
      </c>
      <c r="U705">
        <v>1150.03</v>
      </c>
      <c r="V705">
        <v>0.1</v>
      </c>
      <c r="W705">
        <v>1035.03</v>
      </c>
      <c r="X705">
        <v>854.35</v>
      </c>
      <c r="Y705">
        <v>180.68</v>
      </c>
      <c r="Z705" t="s">
        <v>34</v>
      </c>
      <c r="AA705" t="s">
        <v>35</v>
      </c>
    </row>
    <row r="706" spans="1:27">
      <c r="A706" t="s">
        <v>3296</v>
      </c>
      <c r="B706" t="s">
        <v>1558</v>
      </c>
      <c r="C706" t="s">
        <v>3297</v>
      </c>
      <c r="D706"/>
      <c r="E706" s="7">
        <f>IF(OR(D706="Invalid",D706&lt;0),"",D706)</f>
        <v>0</v>
      </c>
      <c r="F706" t="s">
        <v>3298</v>
      </c>
      <c r="G706" t="s">
        <v>142</v>
      </c>
      <c r="H706" t="str">
        <f>PROPER(TRIM(G706))</f>
        <v>Priya Menon</v>
      </c>
      <c r="I706" t="s">
        <v>115</v>
      </c>
      <c r="J706" t="str">
        <f>PROPER(TRIM(I706))</f>
        <v>Home Office</v>
      </c>
      <c r="K706" t="s">
        <v>62</v>
      </c>
      <c r="L706" t="s">
        <v>339</v>
      </c>
      <c r="M706" t="s">
        <v>340</v>
      </c>
      <c r="N706" t="s">
        <v>45</v>
      </c>
      <c r="O706" t="str">
        <f>TRIM(N706)</f>
        <v>Furniture</v>
      </c>
      <c r="P706" t="s">
        <v>204</v>
      </c>
      <c r="Q706" t="s">
        <v>3299</v>
      </c>
      <c r="R706" t="s">
        <v>4124</v>
      </c>
      <c r="S706" t="s">
        <v>4111</v>
      </c>
      <c r="T706">
        <v>1</v>
      </c>
      <c r="U706">
        <v>2825.63</v>
      </c>
      <c r="V706">
        <v>0.15</v>
      </c>
      <c r="W706">
        <v>2401.79</v>
      </c>
      <c r="X706">
        <v>1820.34</v>
      </c>
      <c r="Y706">
        <v>581.45000000000005</v>
      </c>
      <c r="Z706" t="s">
        <v>34</v>
      </c>
      <c r="AA706" t="s">
        <v>35</v>
      </c>
    </row>
    <row r="707" spans="1:27">
      <c r="A707" t="s">
        <v>3300</v>
      </c>
      <c r="B707" t="s">
        <v>3301</v>
      </c>
      <c r="C707" t="s">
        <v>3302</v>
      </c>
      <c r="D707"/>
      <c r="E707" s="7">
        <f>IF(OR(D707="Invalid",D707&lt;0),"",D707)</f>
        <v>0</v>
      </c>
      <c r="F707" t="s">
        <v>3303</v>
      </c>
      <c r="G707" t="s">
        <v>180</v>
      </c>
      <c r="H707" t="str">
        <f>PROPER(TRIM(G707))</f>
        <v>Rohan Mehta</v>
      </c>
      <c r="I707" t="s">
        <v>26</v>
      </c>
      <c r="J707" t="str">
        <f>PROPER(TRIM(I707))</f>
        <v>Consumer</v>
      </c>
      <c r="K707" t="s">
        <v>27</v>
      </c>
      <c r="L707" t="s">
        <v>28</v>
      </c>
      <c r="M707" t="s">
        <v>29</v>
      </c>
      <c r="N707" t="s">
        <v>30</v>
      </c>
      <c r="O707" t="str">
        <f>TRIM(N707)</f>
        <v>Office Supplies</v>
      </c>
      <c r="P707" t="s">
        <v>198</v>
      </c>
      <c r="Q707" t="s">
        <v>3304</v>
      </c>
      <c r="R707" t="s">
        <v>67</v>
      </c>
      <c r="S707" t="s">
        <v>67</v>
      </c>
      <c r="T707">
        <v>5</v>
      </c>
      <c r="U707">
        <v>3371.75</v>
      </c>
      <c r="V707">
        <v>0.05</v>
      </c>
      <c r="W707">
        <v>16015.81</v>
      </c>
      <c r="X707">
        <v>11352.38</v>
      </c>
      <c r="Y707">
        <v>4663.43</v>
      </c>
      <c r="Z707" t="s">
        <v>34</v>
      </c>
      <c r="AA707" t="s">
        <v>35</v>
      </c>
    </row>
    <row r="708" spans="1:27">
      <c r="A708" t="s">
        <v>3305</v>
      </c>
      <c r="B708" t="s">
        <v>3306</v>
      </c>
      <c r="C708" t="s">
        <v>1043</v>
      </c>
      <c r="D708"/>
      <c r="E708" s="7">
        <f>IF(OR(D708="Invalid",D708&lt;0),"",D708)</f>
        <v>0</v>
      </c>
      <c r="F708" t="s">
        <v>3307</v>
      </c>
      <c r="G708" t="s">
        <v>53</v>
      </c>
      <c r="H708" t="str">
        <f>PROPER(TRIM(G708))</f>
        <v>Isha Nair</v>
      </c>
      <c r="I708" t="s">
        <v>41</v>
      </c>
      <c r="J708" t="str">
        <f>PROPER(TRIM(I708))</f>
        <v>Small Business</v>
      </c>
      <c r="K708" t="s">
        <v>42</v>
      </c>
      <c r="L708" t="s">
        <v>43</v>
      </c>
      <c r="M708" t="s">
        <v>44</v>
      </c>
      <c r="N708" t="s">
        <v>30</v>
      </c>
      <c r="O708" t="str">
        <f>TRIM(N708)</f>
        <v>Office Supplies</v>
      </c>
      <c r="P708" t="s">
        <v>31</v>
      </c>
      <c r="Q708" t="s">
        <v>3308</v>
      </c>
      <c r="R708" t="s">
        <v>48</v>
      </c>
      <c r="S708" t="s">
        <v>48</v>
      </c>
      <c r="T708">
        <v>1</v>
      </c>
      <c r="U708">
        <v>2112.75</v>
      </c>
      <c r="V708">
        <v>0.1</v>
      </c>
      <c r="W708">
        <v>1901.48</v>
      </c>
      <c r="X708">
        <v>1354.28</v>
      </c>
      <c r="Y708">
        <v>547.20000000000005</v>
      </c>
      <c r="Z708" t="s">
        <v>34</v>
      </c>
      <c r="AA708" t="s">
        <v>35</v>
      </c>
    </row>
    <row r="709" spans="1:27">
      <c r="A709" t="s">
        <v>3309</v>
      </c>
      <c r="B709" t="s">
        <v>3310</v>
      </c>
      <c r="C709" t="s">
        <v>2371</v>
      </c>
      <c r="D709"/>
      <c r="E709" s="7">
        <f>IF(OR(D709="Invalid",D709&lt;0),"",D709)</f>
        <v>0</v>
      </c>
      <c r="F709" t="s">
        <v>3311</v>
      </c>
      <c r="G709" t="s">
        <v>83</v>
      </c>
      <c r="H709" t="str">
        <f>PROPER(TRIM(G709))</f>
        <v>Vikram Iyer</v>
      </c>
      <c r="I709" t="s">
        <v>26</v>
      </c>
      <c r="J709" t="str">
        <f>PROPER(TRIM(I709))</f>
        <v>Consumer</v>
      </c>
      <c r="K709" t="s">
        <v>27</v>
      </c>
      <c r="L709" t="s">
        <v>28</v>
      </c>
      <c r="M709" t="s">
        <v>29</v>
      </c>
      <c r="N709" t="s">
        <v>86</v>
      </c>
      <c r="O709" t="str">
        <f>TRIM(N709)</f>
        <v>Technology</v>
      </c>
      <c r="P709" t="s">
        <v>87</v>
      </c>
      <c r="Q709" t="s">
        <v>3312</v>
      </c>
      <c r="R709" t="s">
        <v>48</v>
      </c>
      <c r="S709" t="s">
        <v>48</v>
      </c>
      <c r="T709">
        <v>5</v>
      </c>
      <c r="U709">
        <v>3722.66</v>
      </c>
      <c r="V709">
        <v>0.55000000000000004</v>
      </c>
      <c r="W709">
        <v>16751.97</v>
      </c>
      <c r="X709">
        <v>11678.32</v>
      </c>
      <c r="Y709">
        <v>5073.6499999999996</v>
      </c>
      <c r="Z709" t="s">
        <v>34</v>
      </c>
      <c r="AA709" t="s">
        <v>35</v>
      </c>
    </row>
    <row r="710" spans="1:27">
      <c r="A710" t="s">
        <v>3313</v>
      </c>
      <c r="B710" t="s">
        <v>3314</v>
      </c>
      <c r="C710" t="s">
        <v>3315</v>
      </c>
      <c r="D710"/>
      <c r="E710" s="7">
        <f>IF(OR(D710="Invalid",D710&lt;0),"",D710)</f>
        <v>0</v>
      </c>
      <c r="F710" t="s">
        <v>3316</v>
      </c>
      <c r="G710" t="s">
        <v>168</v>
      </c>
      <c r="H710" t="str">
        <f>PROPER(TRIM(G710))</f>
        <v>Sneha Kapoor</v>
      </c>
      <c r="I710" t="s">
        <v>26</v>
      </c>
      <c r="J710" t="str">
        <f>PROPER(TRIM(I710))</f>
        <v>Consumer</v>
      </c>
      <c r="K710" t="s">
        <v>42</v>
      </c>
      <c r="L710" t="s">
        <v>216</v>
      </c>
      <c r="M710" t="s">
        <v>217</v>
      </c>
      <c r="N710" t="s">
        <v>45</v>
      </c>
      <c r="O710" t="str">
        <f>TRIM(N710)</f>
        <v>Furniture</v>
      </c>
      <c r="P710" t="s">
        <v>204</v>
      </c>
      <c r="Q710" t="s">
        <v>3317</v>
      </c>
      <c r="R710" t="s">
        <v>56</v>
      </c>
      <c r="S710" t="s">
        <v>56</v>
      </c>
      <c r="T710">
        <v>4</v>
      </c>
      <c r="U710">
        <v>4357.66</v>
      </c>
      <c r="V710">
        <v>0.05</v>
      </c>
      <c r="W710">
        <v>16559.11</v>
      </c>
      <c r="X710">
        <v>13233.79</v>
      </c>
      <c r="Y710">
        <v>3325.32</v>
      </c>
      <c r="Z710" t="s">
        <v>34</v>
      </c>
      <c r="AA710" t="s">
        <v>35</v>
      </c>
    </row>
    <row r="711" spans="1:27">
      <c r="A711" t="s">
        <v>3318</v>
      </c>
      <c r="B711" t="s">
        <v>195</v>
      </c>
      <c r="C711" t="s">
        <v>184</v>
      </c>
      <c r="D711"/>
      <c r="E711" s="7">
        <f>IF(OR(D711="Invalid",D711&lt;0),"",D711)</f>
        <v>0</v>
      </c>
      <c r="F711" t="s">
        <v>3319</v>
      </c>
      <c r="G711" t="s">
        <v>366</v>
      </c>
      <c r="H711" t="str">
        <f>PROPER(TRIM(G711))</f>
        <v>Kabir Singh</v>
      </c>
      <c r="I711" t="s">
        <v>115</v>
      </c>
      <c r="J711" t="str">
        <f>PROPER(TRIM(I711))</f>
        <v>Home Office</v>
      </c>
      <c r="K711" t="s">
        <v>27</v>
      </c>
      <c r="L711" t="s">
        <v>154</v>
      </c>
      <c r="M711" t="s">
        <v>155</v>
      </c>
      <c r="N711" t="s">
        <v>86</v>
      </c>
      <c r="O711" t="str">
        <f>TRIM(N711)</f>
        <v>Technology</v>
      </c>
      <c r="P711" t="s">
        <v>223</v>
      </c>
      <c r="Q711" t="s">
        <v>3320</v>
      </c>
      <c r="R711" t="s">
        <v>48</v>
      </c>
      <c r="S711" t="s">
        <v>48</v>
      </c>
      <c r="T711">
        <v>7</v>
      </c>
      <c r="U711">
        <v>1363.04</v>
      </c>
      <c r="V711">
        <v>0.15</v>
      </c>
      <c r="W711">
        <v>8110.09</v>
      </c>
      <c r="X711">
        <v>6417.32</v>
      </c>
      <c r="Y711">
        <v>1692.77</v>
      </c>
      <c r="Z711" t="s">
        <v>34</v>
      </c>
      <c r="AA711" t="s">
        <v>78</v>
      </c>
    </row>
    <row r="712" spans="1:27">
      <c r="A712" t="s">
        <v>3321</v>
      </c>
      <c r="B712" t="s">
        <v>3322</v>
      </c>
      <c r="C712" t="s">
        <v>3323</v>
      </c>
      <c r="D712"/>
      <c r="E712" s="7">
        <f>IF(OR(D712="Invalid",D712&lt;0),"",D712)</f>
        <v>0</v>
      </c>
      <c r="F712" t="s">
        <v>3324</v>
      </c>
      <c r="G712" t="s">
        <v>83</v>
      </c>
      <c r="H712" t="str">
        <f>PROPER(TRIM(G712))</f>
        <v>Vikram Iyer</v>
      </c>
      <c r="I712" t="s">
        <v>108</v>
      </c>
      <c r="J712" t="str">
        <f>PROPER(TRIM(I712))</f>
        <v>Corporate</v>
      </c>
      <c r="K712" t="s">
        <v>27</v>
      </c>
      <c r="L712" t="s">
        <v>154</v>
      </c>
      <c r="M712" t="s">
        <v>155</v>
      </c>
      <c r="N712" t="s">
        <v>30</v>
      </c>
      <c r="O712" t="str">
        <f>TRIM(N712)</f>
        <v>Office Supplies</v>
      </c>
      <c r="P712" t="s">
        <v>54</v>
      </c>
      <c r="Q712" t="s">
        <v>3325</v>
      </c>
      <c r="R712" t="s">
        <v>33</v>
      </c>
      <c r="S712" t="s">
        <v>33</v>
      </c>
      <c r="T712">
        <v>5</v>
      </c>
      <c r="U712">
        <v>1559.16</v>
      </c>
      <c r="V712">
        <v>0.05</v>
      </c>
      <c r="W712">
        <v>7406.01</v>
      </c>
      <c r="X712">
        <v>5941.74</v>
      </c>
      <c r="Y712">
        <v>1464.27</v>
      </c>
      <c r="Z712" t="s">
        <v>34</v>
      </c>
      <c r="AA712" t="s">
        <v>35</v>
      </c>
    </row>
    <row r="713" spans="1:27">
      <c r="A713" t="s">
        <v>3326</v>
      </c>
      <c r="B713" t="s">
        <v>3327</v>
      </c>
      <c r="C713" t="s">
        <v>3289</v>
      </c>
      <c r="D713"/>
      <c r="E713" s="7">
        <f>IF(OR(D713="Invalid",D713&lt;0),"",D713)</f>
        <v>0</v>
      </c>
      <c r="F713" t="s">
        <v>3328</v>
      </c>
      <c r="G713" t="s">
        <v>366</v>
      </c>
      <c r="H713" t="str">
        <f>PROPER(TRIM(G713))</f>
        <v>Kabir Singh</v>
      </c>
      <c r="I713" t="s">
        <v>108</v>
      </c>
      <c r="J713" t="str">
        <f>PROPER(TRIM(I713))</f>
        <v>Corporate</v>
      </c>
      <c r="K713" t="s">
        <v>42</v>
      </c>
      <c r="L713" t="s">
        <v>121</v>
      </c>
      <c r="M713" t="s">
        <v>122</v>
      </c>
      <c r="N713" t="s">
        <v>86</v>
      </c>
      <c r="O713" t="str">
        <f>TRIM(N713)</f>
        <v>Technology</v>
      </c>
      <c r="P713" t="s">
        <v>382</v>
      </c>
      <c r="Q713" t="s">
        <v>3329</v>
      </c>
      <c r="R713" t="s">
        <v>56</v>
      </c>
      <c r="S713" t="s">
        <v>56</v>
      </c>
      <c r="T713">
        <v>1</v>
      </c>
      <c r="U713">
        <v>4326.75</v>
      </c>
      <c r="V713">
        <v>0.05</v>
      </c>
      <c r="W713">
        <v>4110.41</v>
      </c>
      <c r="X713">
        <v>2394.14</v>
      </c>
      <c r="Y713">
        <v>1716.27</v>
      </c>
      <c r="Z713" t="s">
        <v>137</v>
      </c>
      <c r="AA713" t="s">
        <v>125</v>
      </c>
    </row>
    <row r="714" spans="1:27">
      <c r="A714" t="s">
        <v>3330</v>
      </c>
      <c r="B714" t="s">
        <v>2129</v>
      </c>
      <c r="C714" t="s">
        <v>3331</v>
      </c>
      <c r="D714"/>
      <c r="E714" s="7">
        <f>IF(OR(D714="Invalid",D714&lt;0),"",D714)</f>
        <v>0</v>
      </c>
      <c r="F714" t="s">
        <v>3332</v>
      </c>
      <c r="G714" t="s">
        <v>53</v>
      </c>
      <c r="H714" t="str">
        <f>PROPER(TRIM(G714))</f>
        <v>Isha Nair</v>
      </c>
      <c r="I714" t="s">
        <v>115</v>
      </c>
      <c r="J714" t="str">
        <f>PROPER(TRIM(I714))</f>
        <v>Home Office</v>
      </c>
      <c r="K714" t="s">
        <v>73</v>
      </c>
      <c r="L714" t="s">
        <v>84</v>
      </c>
      <c r="M714" t="s">
        <v>85</v>
      </c>
      <c r="N714" t="s">
        <v>45</v>
      </c>
      <c r="O714" t="str">
        <f>TRIM(N714)</f>
        <v>Furniture</v>
      </c>
      <c r="P714" t="s">
        <v>76</v>
      </c>
      <c r="Q714" t="s">
        <v>3333</v>
      </c>
      <c r="R714" t="s">
        <v>56</v>
      </c>
      <c r="S714" t="s">
        <v>56</v>
      </c>
      <c r="T714">
        <v>7</v>
      </c>
      <c r="U714">
        <v>1382.86</v>
      </c>
      <c r="V714">
        <v>0</v>
      </c>
      <c r="W714">
        <v>9680.02</v>
      </c>
      <c r="X714">
        <v>6876.66</v>
      </c>
      <c r="Y714">
        <v>2803.36</v>
      </c>
      <c r="Z714" t="s">
        <v>34</v>
      </c>
      <c r="AA714" t="s">
        <v>35</v>
      </c>
    </row>
    <row r="715" spans="1:27">
      <c r="A715" t="s">
        <v>3334</v>
      </c>
      <c r="B715" t="s">
        <v>3335</v>
      </c>
      <c r="C715" t="s">
        <v>3182</v>
      </c>
      <c r="D715"/>
      <c r="E715" s="7">
        <f>IF(OR(D715="Invalid",D715&lt;0),"",D715)</f>
        <v>0</v>
      </c>
      <c r="F715" t="s">
        <v>903</v>
      </c>
      <c r="G715" t="s">
        <v>40</v>
      </c>
      <c r="H715" t="str">
        <f>PROPER(TRIM(G715))</f>
        <v>Mira Das</v>
      </c>
      <c r="I715" t="s">
        <v>26</v>
      </c>
      <c r="J715" t="str">
        <f>PROPER(TRIM(I715))</f>
        <v>Consumer</v>
      </c>
      <c r="K715" t="s">
        <v>73</v>
      </c>
      <c r="L715" t="s">
        <v>28</v>
      </c>
      <c r="M715" t="s">
        <v>135</v>
      </c>
      <c r="N715" t="s">
        <v>86</v>
      </c>
      <c r="O715" t="str">
        <f>TRIM(N715)</f>
        <v>Technology</v>
      </c>
      <c r="P715" t="s">
        <v>382</v>
      </c>
      <c r="Q715" t="s">
        <v>3336</v>
      </c>
      <c r="R715" t="s">
        <v>33</v>
      </c>
      <c r="S715" t="s">
        <v>33</v>
      </c>
      <c r="T715">
        <v>1</v>
      </c>
      <c r="U715">
        <v>289.97000000000003</v>
      </c>
      <c r="V715">
        <v>0.25</v>
      </c>
      <c r="W715">
        <v>217.48</v>
      </c>
      <c r="X715">
        <v>132.13</v>
      </c>
      <c r="Y715">
        <v>85.35</v>
      </c>
      <c r="Z715" t="s">
        <v>34</v>
      </c>
      <c r="AA715" t="s">
        <v>35</v>
      </c>
    </row>
    <row r="716" spans="1:27">
      <c r="A716" t="s">
        <v>3337</v>
      </c>
      <c r="B716" t="s">
        <v>2115</v>
      </c>
      <c r="C716" t="s">
        <v>2231</v>
      </c>
      <c r="D716"/>
      <c r="E716" s="7">
        <f>IF(OR(D716="Invalid",D716&lt;0),"",D716)</f>
        <v>0</v>
      </c>
      <c r="F716" t="s">
        <v>3338</v>
      </c>
      <c r="G716" t="s">
        <v>25</v>
      </c>
      <c r="H716" t="str">
        <f>PROPER(TRIM(G716))</f>
        <v>Karan Malhotra</v>
      </c>
      <c r="I716" t="s">
        <v>115</v>
      </c>
      <c r="J716" t="str">
        <f>PROPER(TRIM(I716))</f>
        <v>Home Office</v>
      </c>
      <c r="K716" t="s">
        <v>27</v>
      </c>
      <c r="L716" t="s">
        <v>506</v>
      </c>
      <c r="M716" t="s">
        <v>507</v>
      </c>
      <c r="N716" t="s">
        <v>86</v>
      </c>
      <c r="O716" t="str">
        <f>TRIM(N716)</f>
        <v>Technology</v>
      </c>
      <c r="P716" t="s">
        <v>94</v>
      </c>
      <c r="Q716" t="s">
        <v>3339</v>
      </c>
      <c r="R716" t="s">
        <v>67</v>
      </c>
      <c r="S716" t="s">
        <v>67</v>
      </c>
      <c r="T716">
        <v>9</v>
      </c>
      <c r="U716">
        <v>2075.02</v>
      </c>
      <c r="V716">
        <v>0</v>
      </c>
      <c r="W716">
        <v>18675.18</v>
      </c>
      <c r="X716">
        <v>13974.7</v>
      </c>
      <c r="Y716">
        <v>4700.4799999999996</v>
      </c>
      <c r="Z716" t="s">
        <v>34</v>
      </c>
      <c r="AA716" t="s">
        <v>35</v>
      </c>
    </row>
    <row r="717" spans="1:27">
      <c r="A717" t="s">
        <v>3340</v>
      </c>
      <c r="B717" t="s">
        <v>454</v>
      </c>
      <c r="C717" t="s">
        <v>455</v>
      </c>
      <c r="D717"/>
      <c r="E717" s="7">
        <f>IF(OR(D717="Invalid",D717&lt;0),"",D717)</f>
        <v>0</v>
      </c>
      <c r="F717" t="s">
        <v>3341</v>
      </c>
      <c r="G717" t="s">
        <v>142</v>
      </c>
      <c r="H717" t="str">
        <f>PROPER(TRIM(G717))</f>
        <v>Priya Menon</v>
      </c>
      <c r="I717" t="s">
        <v>26</v>
      </c>
      <c r="J717" t="str">
        <f>PROPER(TRIM(I717))</f>
        <v>Consumer</v>
      </c>
      <c r="K717" t="s">
        <v>27</v>
      </c>
      <c r="L717" t="s">
        <v>323</v>
      </c>
      <c r="M717" t="s">
        <v>324</v>
      </c>
      <c r="N717" t="s">
        <v>45</v>
      </c>
      <c r="O717" t="str">
        <f>TRIM(N717)</f>
        <v>Furniture</v>
      </c>
      <c r="P717" t="s">
        <v>76</v>
      </c>
      <c r="Q717" t="s">
        <v>3342</v>
      </c>
      <c r="R717" t="s">
        <v>33</v>
      </c>
      <c r="S717" t="s">
        <v>33</v>
      </c>
      <c r="T717">
        <v>7</v>
      </c>
      <c r="U717">
        <v>2843.09</v>
      </c>
      <c r="V717">
        <v>0</v>
      </c>
      <c r="W717">
        <v>19901.63</v>
      </c>
      <c r="X717">
        <v>15492.03</v>
      </c>
      <c r="Y717">
        <v>4409.6000000000004</v>
      </c>
      <c r="Z717" t="s">
        <v>124</v>
      </c>
      <c r="AA717" t="s">
        <v>78</v>
      </c>
    </row>
    <row r="718" spans="1:27">
      <c r="A718" t="s">
        <v>3343</v>
      </c>
      <c r="B718" t="s">
        <v>3344</v>
      </c>
      <c r="C718" t="s">
        <v>202</v>
      </c>
      <c r="D718"/>
      <c r="E718" s="7">
        <f>IF(OR(D718="Invalid",D718&lt;0),"",D718)</f>
        <v>0</v>
      </c>
      <c r="F718" t="s">
        <v>3345</v>
      </c>
      <c r="G718" t="s">
        <v>210</v>
      </c>
      <c r="H718" t="str">
        <f>PROPER(TRIM(G718))</f>
        <v>Diya Patel</v>
      </c>
      <c r="I718" t="s">
        <v>41</v>
      </c>
      <c r="J718" t="str">
        <f>PROPER(TRIM(I718))</f>
        <v>Small Business</v>
      </c>
      <c r="K718" t="s">
        <v>27</v>
      </c>
      <c r="L718" t="s">
        <v>323</v>
      </c>
      <c r="M718" t="s">
        <v>324</v>
      </c>
      <c r="N718" t="s">
        <v>86</v>
      </c>
      <c r="O718" t="str">
        <f>TRIM(N718)</f>
        <v>Technology</v>
      </c>
      <c r="P718" t="s">
        <v>223</v>
      </c>
      <c r="Q718" t="s">
        <v>3346</v>
      </c>
      <c r="R718" t="s">
        <v>56</v>
      </c>
      <c r="S718" t="s">
        <v>56</v>
      </c>
      <c r="T718">
        <v>1</v>
      </c>
      <c r="U718">
        <v>3388.02</v>
      </c>
      <c r="V718">
        <v>0.15</v>
      </c>
      <c r="W718">
        <v>2879.82</v>
      </c>
      <c r="X718">
        <v>1824.88</v>
      </c>
      <c r="Y718">
        <v>1054.94</v>
      </c>
      <c r="Z718" t="s">
        <v>34</v>
      </c>
      <c r="AA718" t="s">
        <v>35</v>
      </c>
    </row>
    <row r="719" spans="1:27">
      <c r="A719" t="s">
        <v>3347</v>
      </c>
      <c r="B719" t="s">
        <v>3348</v>
      </c>
      <c r="C719" t="s">
        <v>309</v>
      </c>
      <c r="D719"/>
      <c r="E719" s="7">
        <f>IF(OR(D719="Invalid",D719&lt;0),"",D719)</f>
        <v>0</v>
      </c>
      <c r="F719" t="s">
        <v>3349</v>
      </c>
      <c r="G719" t="s">
        <v>366</v>
      </c>
      <c r="H719" t="str">
        <f>PROPER(TRIM(G719))</f>
        <v>Kabir Singh</v>
      </c>
      <c r="I719" t="s">
        <v>41</v>
      </c>
      <c r="J719" t="str">
        <f>PROPER(TRIM(I719))</f>
        <v>Small Business</v>
      </c>
      <c r="K719" t="s">
        <v>27</v>
      </c>
      <c r="L719" t="s">
        <v>323</v>
      </c>
      <c r="M719" t="s">
        <v>324</v>
      </c>
      <c r="N719" t="s">
        <v>86</v>
      </c>
      <c r="O719" t="str">
        <f>TRIM(N719)</f>
        <v>Technology</v>
      </c>
      <c r="P719" t="s">
        <v>382</v>
      </c>
      <c r="Q719" t="s">
        <v>3350</v>
      </c>
      <c r="R719" t="s">
        <v>67</v>
      </c>
      <c r="S719" t="s">
        <v>67</v>
      </c>
      <c r="T719">
        <v>9</v>
      </c>
      <c r="U719">
        <v>2598.92</v>
      </c>
      <c r="V719">
        <v>0.2</v>
      </c>
      <c r="W719">
        <v>18712.22</v>
      </c>
      <c r="X719">
        <v>11852.22</v>
      </c>
      <c r="Y719">
        <v>6860</v>
      </c>
      <c r="Z719" t="s">
        <v>137</v>
      </c>
      <c r="AA719" t="s">
        <v>78</v>
      </c>
    </row>
    <row r="720" spans="1:27">
      <c r="A720" t="s">
        <v>3351</v>
      </c>
      <c r="B720" t="s">
        <v>3352</v>
      </c>
      <c r="C720" t="s">
        <v>876</v>
      </c>
      <c r="D720"/>
      <c r="E720" s="7">
        <f>IF(OR(D720="Invalid",D720&lt;0),"",D720)</f>
        <v>0</v>
      </c>
      <c r="F720" t="s">
        <v>3353</v>
      </c>
      <c r="G720" t="s">
        <v>40</v>
      </c>
      <c r="H720" t="str">
        <f>PROPER(TRIM(G720))</f>
        <v>Mira Das</v>
      </c>
      <c r="I720" t="s">
        <v>26</v>
      </c>
      <c r="J720" t="str">
        <f>PROPER(TRIM(I720))</f>
        <v>Consumer</v>
      </c>
      <c r="K720" t="s">
        <v>73</v>
      </c>
      <c r="L720" t="s">
        <v>74</v>
      </c>
      <c r="M720" t="s">
        <v>75</v>
      </c>
      <c r="N720" t="s">
        <v>30</v>
      </c>
      <c r="O720" t="str">
        <f>TRIM(N720)</f>
        <v>Office Supplies</v>
      </c>
      <c r="P720" t="s">
        <v>54</v>
      </c>
      <c r="Q720" t="s">
        <v>3354</v>
      </c>
      <c r="R720" t="s">
        <v>48</v>
      </c>
      <c r="S720" t="s">
        <v>48</v>
      </c>
      <c r="T720">
        <v>3</v>
      </c>
      <c r="U720">
        <v>1972.27</v>
      </c>
      <c r="V720">
        <v>0.2</v>
      </c>
      <c r="W720">
        <v>4733.45</v>
      </c>
      <c r="X720">
        <v>3672.32</v>
      </c>
      <c r="Y720">
        <v>1061.1300000000001</v>
      </c>
      <c r="Z720" t="s">
        <v>34</v>
      </c>
      <c r="AA720" t="s">
        <v>35</v>
      </c>
    </row>
    <row r="721" spans="1:27">
      <c r="A721" t="s">
        <v>3355</v>
      </c>
      <c r="B721" t="s">
        <v>1724</v>
      </c>
      <c r="C721" t="s">
        <v>1725</v>
      </c>
      <c r="D721"/>
      <c r="E721" s="7">
        <f>IF(OR(D721="Invalid",D721&lt;0),"",D721)</f>
        <v>0</v>
      </c>
      <c r="F721" t="s">
        <v>185</v>
      </c>
      <c r="G721" t="s">
        <v>366</v>
      </c>
      <c r="H721" t="str">
        <f>PROPER(TRIM(G721))</f>
        <v>Kabir Singh</v>
      </c>
      <c r="I721" t="s">
        <v>108</v>
      </c>
      <c r="J721" t="str">
        <f>PROPER(TRIM(I721))</f>
        <v>Corporate</v>
      </c>
      <c r="K721" t="s">
        <v>73</v>
      </c>
      <c r="L721" t="s">
        <v>235</v>
      </c>
      <c r="M721" t="s">
        <v>236</v>
      </c>
      <c r="N721" t="s">
        <v>30</v>
      </c>
      <c r="O721" t="str">
        <f>TRIM(N721)</f>
        <v>Office Supplies</v>
      </c>
      <c r="P721" t="s">
        <v>54</v>
      </c>
      <c r="Q721" t="s">
        <v>3356</v>
      </c>
      <c r="R721" t="s">
        <v>48</v>
      </c>
      <c r="S721" t="s">
        <v>48</v>
      </c>
      <c r="T721">
        <v>2</v>
      </c>
      <c r="U721">
        <v>2372.41</v>
      </c>
      <c r="V721">
        <v>0.2</v>
      </c>
      <c r="W721">
        <v>3795.86</v>
      </c>
      <c r="X721">
        <v>2264.92</v>
      </c>
      <c r="Y721">
        <v>1530.94</v>
      </c>
      <c r="Z721" t="s">
        <v>34</v>
      </c>
      <c r="AA721" t="s">
        <v>35</v>
      </c>
    </row>
    <row r="722" spans="1:27">
      <c r="A722" t="s">
        <v>3357</v>
      </c>
      <c r="B722" t="s">
        <v>1109</v>
      </c>
      <c r="C722" t="s">
        <v>3358</v>
      </c>
      <c r="D722"/>
      <c r="E722" s="7">
        <f>IF(OR(D722="Invalid",D722&lt;0),"",D722)</f>
        <v>0</v>
      </c>
      <c r="F722" t="s">
        <v>3359</v>
      </c>
      <c r="G722" t="s">
        <v>107</v>
      </c>
      <c r="H722" t="str">
        <f>PROPER(TRIM(G722))</f>
        <v>Aditi Sen</v>
      </c>
      <c r="I722" t="s">
        <v>115</v>
      </c>
      <c r="J722" t="str">
        <f>PROPER(TRIM(I722))</f>
        <v>Home Office</v>
      </c>
      <c r="K722" t="s">
        <v>73</v>
      </c>
      <c r="L722" t="s">
        <v>84</v>
      </c>
      <c r="M722" t="s">
        <v>85</v>
      </c>
      <c r="N722" t="s">
        <v>86</v>
      </c>
      <c r="O722" t="str">
        <f>TRIM(N722)</f>
        <v>Technology</v>
      </c>
      <c r="P722" t="s">
        <v>94</v>
      </c>
      <c r="Q722" t="s">
        <v>3360</v>
      </c>
      <c r="R722" t="s">
        <v>48</v>
      </c>
      <c r="S722" t="s">
        <v>48</v>
      </c>
      <c r="T722">
        <v>4</v>
      </c>
      <c r="U722">
        <v>4479.92</v>
      </c>
      <c r="V722">
        <v>0.15</v>
      </c>
      <c r="W722">
        <v>15231.73</v>
      </c>
      <c r="X722">
        <v>12451.46</v>
      </c>
      <c r="Y722">
        <v>2780.27</v>
      </c>
      <c r="Z722" t="s">
        <v>34</v>
      </c>
      <c r="AA722" t="s">
        <v>35</v>
      </c>
    </row>
    <row r="723" spans="1:27">
      <c r="A723" t="s">
        <v>3361</v>
      </c>
      <c r="B723" t="s">
        <v>254</v>
      </c>
      <c r="C723" t="s">
        <v>3362</v>
      </c>
      <c r="D723"/>
      <c r="E723" s="7">
        <f>IF(OR(D723="Invalid",D723&lt;0),"",D723)</f>
        <v>0</v>
      </c>
      <c r="F723" t="s">
        <v>3363</v>
      </c>
      <c r="G723" t="s">
        <v>168</v>
      </c>
      <c r="H723" t="str">
        <f>PROPER(TRIM(G723))</f>
        <v>Sneha Kapoor</v>
      </c>
      <c r="I723" t="s">
        <v>26</v>
      </c>
      <c r="J723" t="str">
        <f>PROPER(TRIM(I723))</f>
        <v>Consumer</v>
      </c>
      <c r="K723" t="s">
        <v>62</v>
      </c>
      <c r="L723" t="s">
        <v>229</v>
      </c>
      <c r="M723" t="s">
        <v>230</v>
      </c>
      <c r="N723" t="s">
        <v>86</v>
      </c>
      <c r="O723" t="str">
        <f>TRIM(N723)</f>
        <v>Technology</v>
      </c>
      <c r="P723" t="s">
        <v>94</v>
      </c>
      <c r="Q723" t="s">
        <v>3364</v>
      </c>
      <c r="R723" t="s">
        <v>56</v>
      </c>
      <c r="S723" t="s">
        <v>56</v>
      </c>
      <c r="T723">
        <v>5</v>
      </c>
      <c r="U723">
        <v>2729.95</v>
      </c>
      <c r="V723">
        <v>0</v>
      </c>
      <c r="W723">
        <v>13649.75</v>
      </c>
      <c r="X723">
        <v>10288.030000000001</v>
      </c>
      <c r="Y723">
        <v>3361.72</v>
      </c>
      <c r="Z723" t="s">
        <v>34</v>
      </c>
      <c r="AA723" t="s">
        <v>35</v>
      </c>
    </row>
    <row r="724" spans="1:27">
      <c r="A724" t="s">
        <v>3365</v>
      </c>
      <c r="B724" t="s">
        <v>2557</v>
      </c>
      <c r="C724" t="s">
        <v>3366</v>
      </c>
      <c r="D724"/>
      <c r="E724" s="7">
        <f>IF(OR(D724="Invalid",D724&lt;0),"",D724)</f>
        <v>0</v>
      </c>
      <c r="F724" t="s">
        <v>3367</v>
      </c>
      <c r="G724" t="s">
        <v>83</v>
      </c>
      <c r="H724" t="str">
        <f>PROPER(TRIM(G724))</f>
        <v>Vikram Iyer</v>
      </c>
      <c r="I724" t="s">
        <v>26</v>
      </c>
      <c r="J724" t="str">
        <f>PROPER(TRIM(I724))</f>
        <v>Consumer</v>
      </c>
      <c r="K724" t="s">
        <v>42</v>
      </c>
      <c r="L724" t="s">
        <v>121</v>
      </c>
      <c r="M724" t="s">
        <v>122</v>
      </c>
      <c r="N724" t="s">
        <v>45</v>
      </c>
      <c r="O724" t="str">
        <f>TRIM(N724)</f>
        <v>Furniture</v>
      </c>
      <c r="P724" t="s">
        <v>76</v>
      </c>
      <c r="Q724" t="s">
        <v>3368</v>
      </c>
      <c r="R724" t="s">
        <v>33</v>
      </c>
      <c r="S724" t="s">
        <v>33</v>
      </c>
      <c r="T724">
        <v>9</v>
      </c>
      <c r="U724">
        <v>481.51</v>
      </c>
      <c r="W724">
        <v>4333.59</v>
      </c>
      <c r="X724">
        <v>2533.59</v>
      </c>
      <c r="Y724">
        <v>1800</v>
      </c>
      <c r="Z724" t="s">
        <v>124</v>
      </c>
      <c r="AA724" t="s">
        <v>78</v>
      </c>
    </row>
    <row r="725" spans="1:27">
      <c r="A725" t="s">
        <v>3369</v>
      </c>
      <c r="B725" t="s">
        <v>887</v>
      </c>
      <c r="C725" t="s">
        <v>3370</v>
      </c>
      <c r="D725"/>
      <c r="E725" s="7">
        <f>IF(OR(D725="Invalid",D725&lt;0),"",D725)</f>
        <v>0</v>
      </c>
      <c r="F725" t="s">
        <v>3371</v>
      </c>
      <c r="G725" t="s">
        <v>366</v>
      </c>
      <c r="H725" t="str">
        <f>PROPER(TRIM(G725))</f>
        <v>Kabir Singh</v>
      </c>
      <c r="I725" t="s">
        <v>115</v>
      </c>
      <c r="J725" t="str">
        <f>PROPER(TRIM(I725))</f>
        <v>Home Office</v>
      </c>
      <c r="K725" t="s">
        <v>42</v>
      </c>
      <c r="L725" t="s">
        <v>311</v>
      </c>
      <c r="M725" t="s">
        <v>312</v>
      </c>
      <c r="N725" t="s">
        <v>86</v>
      </c>
      <c r="O725" t="str">
        <f>TRIM(N725)</f>
        <v>Technology</v>
      </c>
      <c r="P725" t="s">
        <v>87</v>
      </c>
      <c r="Q725" t="s">
        <v>3372</v>
      </c>
      <c r="R725" t="s">
        <v>67</v>
      </c>
      <c r="S725" t="s">
        <v>67</v>
      </c>
      <c r="T725">
        <v>6</v>
      </c>
      <c r="U725">
        <v>2391.9299999999998</v>
      </c>
      <c r="V725">
        <v>0.05</v>
      </c>
      <c r="W725">
        <v>13634</v>
      </c>
      <c r="X725">
        <v>9589.81</v>
      </c>
      <c r="Y725">
        <v>4044.19</v>
      </c>
      <c r="Z725" t="s">
        <v>200</v>
      </c>
      <c r="AA725" t="s">
        <v>125</v>
      </c>
    </row>
    <row r="726" spans="1:27">
      <c r="A726" t="s">
        <v>3373</v>
      </c>
      <c r="B726" t="s">
        <v>3374</v>
      </c>
      <c r="C726" t="s">
        <v>1611</v>
      </c>
      <c r="D726"/>
      <c r="E726" s="7">
        <f>IF(OR(D726="Invalid",D726&lt;0),"",D726)</f>
        <v>0</v>
      </c>
      <c r="F726" t="s">
        <v>3375</v>
      </c>
      <c r="G726" t="s">
        <v>25</v>
      </c>
      <c r="H726" t="str">
        <f>PROPER(TRIM(G726))</f>
        <v>Karan Malhotra</v>
      </c>
      <c r="I726" t="s">
        <v>26</v>
      </c>
      <c r="J726" t="str">
        <f>PROPER(TRIM(I726))</f>
        <v>Consumer</v>
      </c>
      <c r="K726" t="s">
        <v>73</v>
      </c>
      <c r="L726" t="s">
        <v>249</v>
      </c>
      <c r="M726" t="s">
        <v>250</v>
      </c>
      <c r="N726" t="s">
        <v>45</v>
      </c>
      <c r="O726" t="str">
        <f>TRIM(N726)</f>
        <v>Furniture</v>
      </c>
      <c r="P726" t="s">
        <v>65</v>
      </c>
      <c r="Q726" t="s">
        <v>3376</v>
      </c>
      <c r="R726" t="s">
        <v>33</v>
      </c>
      <c r="S726" t="s">
        <v>33</v>
      </c>
      <c r="T726">
        <v>3</v>
      </c>
      <c r="U726">
        <v>253.43</v>
      </c>
      <c r="V726">
        <v>0</v>
      </c>
      <c r="W726">
        <v>760.29</v>
      </c>
      <c r="X726">
        <v>497.77</v>
      </c>
      <c r="Y726">
        <v>262.52</v>
      </c>
      <c r="Z726" t="s">
        <v>34</v>
      </c>
      <c r="AA726" t="s">
        <v>35</v>
      </c>
    </row>
    <row r="727" spans="1:27">
      <c r="A727" t="s">
        <v>3377</v>
      </c>
      <c r="B727" t="s">
        <v>3378</v>
      </c>
      <c r="C727" t="s">
        <v>139</v>
      </c>
      <c r="D727"/>
      <c r="E727" s="7">
        <f>IF(OR(D727="Invalid",D727&lt;0),"",D727)</f>
        <v>0</v>
      </c>
      <c r="F727" t="s">
        <v>3379</v>
      </c>
      <c r="G727" t="s">
        <v>142</v>
      </c>
      <c r="H727" t="str">
        <f>PROPER(TRIM(G727))</f>
        <v>Priya Menon</v>
      </c>
      <c r="I727" t="s">
        <v>108</v>
      </c>
      <c r="J727" t="str">
        <f>PROPER(TRIM(I727))</f>
        <v>Corporate</v>
      </c>
      <c r="K727" t="s">
        <v>62</v>
      </c>
      <c r="L727" t="s">
        <v>229</v>
      </c>
      <c r="M727" t="s">
        <v>230</v>
      </c>
      <c r="N727" t="s">
        <v>45</v>
      </c>
      <c r="O727" t="str">
        <f>TRIM(N727)</f>
        <v>Furniture</v>
      </c>
      <c r="P727" t="s">
        <v>46</v>
      </c>
      <c r="Q727" t="s">
        <v>3380</v>
      </c>
      <c r="R727" t="s">
        <v>33</v>
      </c>
      <c r="S727" t="s">
        <v>33</v>
      </c>
      <c r="T727">
        <v>7</v>
      </c>
      <c r="U727">
        <v>2134.73</v>
      </c>
      <c r="V727">
        <v>0</v>
      </c>
      <c r="W727">
        <v>14943.11</v>
      </c>
      <c r="X727">
        <v>8521.5</v>
      </c>
      <c r="Y727">
        <v>6421.61</v>
      </c>
      <c r="Z727" t="s">
        <v>34</v>
      </c>
      <c r="AA727" t="s">
        <v>35</v>
      </c>
    </row>
    <row r="728" spans="1:27">
      <c r="A728" t="s">
        <v>3381</v>
      </c>
      <c r="B728" t="s">
        <v>3382</v>
      </c>
      <c r="C728" t="s">
        <v>3383</v>
      </c>
      <c r="D728"/>
      <c r="E728" s="7">
        <f>IF(OR(D728="Invalid",D728&lt;0),"",D728)</f>
        <v>0</v>
      </c>
      <c r="F728" t="s">
        <v>3384</v>
      </c>
      <c r="G728" t="s">
        <v>366</v>
      </c>
      <c r="H728" t="str">
        <f>PROPER(TRIM(G728))</f>
        <v>Kabir Singh</v>
      </c>
      <c r="I728" t="s">
        <v>115</v>
      </c>
      <c r="J728" t="str">
        <f>PROPER(TRIM(I728))</f>
        <v>Home Office</v>
      </c>
      <c r="K728" t="s">
        <v>73</v>
      </c>
      <c r="L728" t="s">
        <v>235</v>
      </c>
      <c r="M728" t="s">
        <v>236</v>
      </c>
      <c r="N728" t="s">
        <v>86</v>
      </c>
      <c r="O728" t="str">
        <f>TRIM(N728)</f>
        <v>Technology</v>
      </c>
      <c r="P728" t="s">
        <v>223</v>
      </c>
      <c r="Q728" t="s">
        <v>3385</v>
      </c>
      <c r="R728" t="s">
        <v>67</v>
      </c>
      <c r="S728" t="s">
        <v>67</v>
      </c>
      <c r="T728">
        <v>5</v>
      </c>
      <c r="U728">
        <v>2018</v>
      </c>
      <c r="V728">
        <v>0.2</v>
      </c>
      <c r="W728">
        <v>8072</v>
      </c>
      <c r="X728">
        <v>5379.22</v>
      </c>
      <c r="Y728">
        <v>2692.78</v>
      </c>
      <c r="Z728" t="s">
        <v>137</v>
      </c>
      <c r="AA728" t="s">
        <v>125</v>
      </c>
    </row>
    <row r="729" spans="1:27">
      <c r="A729" t="s">
        <v>3386</v>
      </c>
      <c r="B729" t="s">
        <v>3387</v>
      </c>
      <c r="C729" t="s">
        <v>3387</v>
      </c>
      <c r="D729"/>
      <c r="E729" s="7">
        <f>IF(OR(D729="Invalid",D729&lt;0),"",D729)</f>
        <v>0</v>
      </c>
      <c r="F729" t="s">
        <v>3388</v>
      </c>
      <c r="G729" t="s">
        <v>162</v>
      </c>
      <c r="H729" t="str">
        <f>PROPER(TRIM(G729))</f>
        <v>Aarav Sharma</v>
      </c>
      <c r="I729" t="s">
        <v>41</v>
      </c>
      <c r="J729" t="str">
        <f>PROPER(TRIM(I729))</f>
        <v>Small Business</v>
      </c>
      <c r="K729" t="s">
        <v>42</v>
      </c>
      <c r="L729" t="s">
        <v>216</v>
      </c>
      <c r="M729" t="s">
        <v>217</v>
      </c>
      <c r="N729" t="s">
        <v>86</v>
      </c>
      <c r="O729" t="str">
        <f>TRIM(N729)</f>
        <v>Technology</v>
      </c>
      <c r="P729" t="s">
        <v>87</v>
      </c>
      <c r="Q729" t="s">
        <v>3389</v>
      </c>
      <c r="R729" t="s">
        <v>33</v>
      </c>
      <c r="S729" t="s">
        <v>33</v>
      </c>
      <c r="T729">
        <v>8</v>
      </c>
      <c r="U729">
        <v>3730.66</v>
      </c>
      <c r="V729">
        <v>0.05</v>
      </c>
      <c r="W729">
        <v>28353.02</v>
      </c>
      <c r="X729">
        <v>19257.849999999999</v>
      </c>
      <c r="Y729">
        <v>9095.17</v>
      </c>
      <c r="Z729" t="s">
        <v>34</v>
      </c>
      <c r="AA729" t="s">
        <v>35</v>
      </c>
    </row>
    <row r="730" spans="1:27">
      <c r="A730" t="s">
        <v>3390</v>
      </c>
      <c r="B730" t="s">
        <v>3052</v>
      </c>
      <c r="C730" t="s">
        <v>1762</v>
      </c>
      <c r="D730"/>
      <c r="E730" s="7">
        <f>IF(OR(D730="Invalid",D730&lt;0),"",D730)</f>
        <v>0</v>
      </c>
      <c r="F730" t="s">
        <v>3391</v>
      </c>
      <c r="G730" t="s">
        <v>168</v>
      </c>
      <c r="H730" t="str">
        <f>PROPER(TRIM(G730))</f>
        <v>Sneha Kapoor</v>
      </c>
      <c r="I730" t="s">
        <v>41</v>
      </c>
      <c r="J730" t="str">
        <f>PROPER(TRIM(I730))</f>
        <v>Small Business</v>
      </c>
      <c r="K730" t="s">
        <v>62</v>
      </c>
      <c r="L730" t="s">
        <v>229</v>
      </c>
      <c r="M730" t="s">
        <v>230</v>
      </c>
      <c r="N730" t="s">
        <v>86</v>
      </c>
      <c r="O730" t="str">
        <f>TRIM(N730)</f>
        <v>Technology</v>
      </c>
      <c r="P730" t="s">
        <v>382</v>
      </c>
      <c r="Q730" t="s">
        <v>3392</v>
      </c>
      <c r="R730" t="s">
        <v>56</v>
      </c>
      <c r="S730" t="s">
        <v>56</v>
      </c>
      <c r="T730">
        <v>1</v>
      </c>
      <c r="U730">
        <v>2363.02</v>
      </c>
      <c r="V730">
        <v>0.15</v>
      </c>
      <c r="W730">
        <v>2008.57</v>
      </c>
      <c r="X730">
        <v>1194.83</v>
      </c>
      <c r="Y730">
        <v>813.74</v>
      </c>
      <c r="Z730" t="s">
        <v>34</v>
      </c>
      <c r="AA730" t="s">
        <v>35</v>
      </c>
    </row>
    <row r="731" spans="1:27">
      <c r="A731" t="s">
        <v>3393</v>
      </c>
      <c r="B731" t="s">
        <v>3394</v>
      </c>
      <c r="C731" t="s">
        <v>3395</v>
      </c>
      <c r="D731"/>
      <c r="E731" s="7">
        <f>IF(OR(D731="Invalid",D731&lt;0),"",D731)</f>
        <v>0</v>
      </c>
      <c r="F731" t="s">
        <v>3396</v>
      </c>
      <c r="G731" t="s">
        <v>72</v>
      </c>
      <c r="H731" t="str">
        <f>PROPER(TRIM(G731))</f>
        <v>Ananya Rao</v>
      </c>
      <c r="I731" t="s">
        <v>108</v>
      </c>
      <c r="J731" t="str">
        <f>PROPER(TRIM(I731))</f>
        <v>Corporate</v>
      </c>
      <c r="K731" t="s">
        <v>62</v>
      </c>
      <c r="L731" t="s">
        <v>339</v>
      </c>
      <c r="M731" t="s">
        <v>340</v>
      </c>
      <c r="N731" t="s">
        <v>86</v>
      </c>
      <c r="O731" t="str">
        <f>TRIM(N731)</f>
        <v>Technology</v>
      </c>
      <c r="P731" t="s">
        <v>382</v>
      </c>
      <c r="Q731" t="s">
        <v>3397</v>
      </c>
      <c r="R731" t="s">
        <v>48</v>
      </c>
      <c r="S731" t="s">
        <v>48</v>
      </c>
      <c r="T731">
        <v>6</v>
      </c>
      <c r="U731">
        <v>1810.63</v>
      </c>
      <c r="V731">
        <v>0.15</v>
      </c>
      <c r="W731">
        <v>9234.2099999999991</v>
      </c>
      <c r="X731">
        <v>5516.52</v>
      </c>
      <c r="Y731">
        <v>3717.69</v>
      </c>
      <c r="Z731" t="s">
        <v>34</v>
      </c>
      <c r="AA731" t="s">
        <v>35</v>
      </c>
    </row>
    <row r="732" spans="1:27">
      <c r="A732" t="s">
        <v>3398</v>
      </c>
      <c r="B732" t="s">
        <v>3399</v>
      </c>
      <c r="C732" t="s">
        <v>3310</v>
      </c>
      <c r="D732"/>
      <c r="E732" s="7">
        <f>IF(OR(D732="Invalid",D732&lt;0),"",D732)</f>
        <v>0</v>
      </c>
      <c r="F732" t="s">
        <v>3400</v>
      </c>
      <c r="G732" t="s">
        <v>61</v>
      </c>
      <c r="H732" t="str">
        <f>PROPER(TRIM(G732))</f>
        <v>Arjun Bose</v>
      </c>
      <c r="I732" t="s">
        <v>26</v>
      </c>
      <c r="J732" t="str">
        <f>PROPER(TRIM(I732))</f>
        <v>Consumer</v>
      </c>
      <c r="K732" t="s">
        <v>42</v>
      </c>
      <c r="L732" t="s">
        <v>121</v>
      </c>
      <c r="M732" t="s">
        <v>122</v>
      </c>
      <c r="N732" t="s">
        <v>30</v>
      </c>
      <c r="O732" t="str">
        <f>TRIM(N732)</f>
        <v>Office Supplies</v>
      </c>
      <c r="P732" t="s">
        <v>54</v>
      </c>
      <c r="Q732" t="s">
        <v>3401</v>
      </c>
      <c r="R732" t="s">
        <v>33</v>
      </c>
      <c r="S732" t="s">
        <v>33</v>
      </c>
      <c r="T732">
        <v>4</v>
      </c>
      <c r="U732">
        <v>782.01</v>
      </c>
      <c r="V732">
        <v>0.15</v>
      </c>
      <c r="W732">
        <v>2658.83</v>
      </c>
      <c r="X732">
        <v>2226.9699999999998</v>
      </c>
      <c r="Y732">
        <v>431.86</v>
      </c>
      <c r="Z732" t="s">
        <v>124</v>
      </c>
      <c r="AA732" t="s">
        <v>125</v>
      </c>
    </row>
    <row r="733" spans="1:27">
      <c r="A733" t="s">
        <v>3402</v>
      </c>
      <c r="B733" t="s">
        <v>3403</v>
      </c>
      <c r="C733" t="s">
        <v>3404</v>
      </c>
      <c r="D733"/>
      <c r="E733" s="7">
        <f>IF(OR(D733="Invalid",D733&lt;0),"",D733)</f>
        <v>0</v>
      </c>
      <c r="F733" t="s">
        <v>3405</v>
      </c>
      <c r="G733" t="s">
        <v>72</v>
      </c>
      <c r="H733" t="str">
        <f>PROPER(TRIM(G733))</f>
        <v>Ananya Rao</v>
      </c>
      <c r="I733" t="s">
        <v>108</v>
      </c>
      <c r="J733" t="str">
        <f>PROPER(TRIM(I733))</f>
        <v>Corporate</v>
      </c>
      <c r="K733" t="s">
        <v>42</v>
      </c>
      <c r="L733" t="s">
        <v>43</v>
      </c>
      <c r="M733" t="s">
        <v>44</v>
      </c>
      <c r="N733" t="s">
        <v>30</v>
      </c>
      <c r="O733" t="str">
        <f>TRIM(N733)</f>
        <v>Office Supplies</v>
      </c>
      <c r="P733" t="s">
        <v>198</v>
      </c>
      <c r="Q733" t="s">
        <v>3406</v>
      </c>
      <c r="R733" t="s">
        <v>56</v>
      </c>
      <c r="S733" t="s">
        <v>56</v>
      </c>
      <c r="T733">
        <v>4</v>
      </c>
      <c r="U733">
        <v>4376.68</v>
      </c>
      <c r="V733">
        <v>0.1</v>
      </c>
      <c r="W733">
        <v>15756.05</v>
      </c>
      <c r="X733">
        <v>10245.44</v>
      </c>
      <c r="Y733">
        <v>5510.61</v>
      </c>
      <c r="Z733" t="s">
        <v>34</v>
      </c>
      <c r="AA733" t="s">
        <v>35</v>
      </c>
    </row>
    <row r="734" spans="1:27">
      <c r="A734" t="s">
        <v>3407</v>
      </c>
      <c r="B734" t="s">
        <v>3408</v>
      </c>
      <c r="C734" t="s">
        <v>2821</v>
      </c>
      <c r="D734"/>
      <c r="E734" s="7">
        <f>IF(OR(D734="Invalid",D734&lt;0),"",D734)</f>
        <v>0</v>
      </c>
      <c r="F734" t="s">
        <v>3409</v>
      </c>
      <c r="G734" t="s">
        <v>61</v>
      </c>
      <c r="H734" t="str">
        <f>PROPER(TRIM(G734))</f>
        <v>Arjun Bose</v>
      </c>
      <c r="I734" t="s">
        <v>41</v>
      </c>
      <c r="J734" t="str">
        <f>PROPER(TRIM(I734))</f>
        <v>Small Business</v>
      </c>
      <c r="K734" t="s">
        <v>27</v>
      </c>
      <c r="L734" t="s">
        <v>154</v>
      </c>
      <c r="M734" t="s">
        <v>155</v>
      </c>
      <c r="N734" t="s">
        <v>86</v>
      </c>
      <c r="O734" t="str">
        <f>TRIM(N734)</f>
        <v>Technology</v>
      </c>
      <c r="P734" t="s">
        <v>223</v>
      </c>
      <c r="Q734" t="s">
        <v>3410</v>
      </c>
      <c r="R734" t="s">
        <v>67</v>
      </c>
      <c r="S734" t="s">
        <v>67</v>
      </c>
      <c r="T734">
        <v>6</v>
      </c>
      <c r="U734">
        <v>2464.63</v>
      </c>
      <c r="V734">
        <v>0</v>
      </c>
      <c r="W734">
        <v>14787.78</v>
      </c>
      <c r="X734">
        <v>8596.65</v>
      </c>
      <c r="Y734">
        <v>6191.13</v>
      </c>
      <c r="Z734" t="s">
        <v>34</v>
      </c>
      <c r="AA734" t="s">
        <v>35</v>
      </c>
    </row>
    <row r="735" spans="1:27">
      <c r="A735" t="s">
        <v>3411</v>
      </c>
      <c r="B735" t="s">
        <v>1832</v>
      </c>
      <c r="C735" t="s">
        <v>3412</v>
      </c>
      <c r="D735"/>
      <c r="E735" s="7">
        <f>IF(OR(D735="Invalid",D735&lt;0),"",D735)</f>
        <v>0</v>
      </c>
      <c r="F735" t="s">
        <v>3413</v>
      </c>
      <c r="G735" t="s">
        <v>162</v>
      </c>
      <c r="H735" t="str">
        <f>PROPER(TRIM(G735))</f>
        <v>Aarav Sharma</v>
      </c>
      <c r="I735" t="s">
        <v>115</v>
      </c>
      <c r="J735" t="str">
        <f>PROPER(TRIM(I735))</f>
        <v>Home Office</v>
      </c>
      <c r="K735" t="s">
        <v>27</v>
      </c>
      <c r="L735" t="s">
        <v>28</v>
      </c>
      <c r="M735" t="s">
        <v>29</v>
      </c>
      <c r="N735" t="s">
        <v>45</v>
      </c>
      <c r="O735" t="str">
        <f>TRIM(N735)</f>
        <v>Furniture</v>
      </c>
      <c r="P735" t="s">
        <v>65</v>
      </c>
      <c r="Q735" t="s">
        <v>3414</v>
      </c>
      <c r="R735" t="s">
        <v>56</v>
      </c>
      <c r="S735" t="s">
        <v>56</v>
      </c>
      <c r="T735">
        <v>9</v>
      </c>
      <c r="U735">
        <v>2797.96</v>
      </c>
      <c r="V735">
        <v>0</v>
      </c>
      <c r="W735">
        <v>25181.64</v>
      </c>
      <c r="X735">
        <v>15337.9</v>
      </c>
      <c r="Y735">
        <v>9843.74</v>
      </c>
      <c r="Z735" t="s">
        <v>34</v>
      </c>
      <c r="AA735" t="s">
        <v>35</v>
      </c>
    </row>
    <row r="736" spans="1:27">
      <c r="A736" t="s">
        <v>3415</v>
      </c>
      <c r="B736" t="s">
        <v>3416</v>
      </c>
      <c r="C736" t="s">
        <v>3416</v>
      </c>
      <c r="D736"/>
      <c r="E736" s="7">
        <f>IF(OR(D736="Invalid",D736&lt;0),"",D736)</f>
        <v>0</v>
      </c>
      <c r="F736" t="s">
        <v>3417</v>
      </c>
      <c r="G736" t="s">
        <v>72</v>
      </c>
      <c r="H736" t="str">
        <f>PROPER(TRIM(G736))</f>
        <v>Ananya Rao</v>
      </c>
      <c r="I736" t="s">
        <v>41</v>
      </c>
      <c r="J736" t="str">
        <f>PROPER(TRIM(I736))</f>
        <v>Small Business</v>
      </c>
      <c r="K736" t="s">
        <v>27</v>
      </c>
      <c r="L736" t="s">
        <v>28</v>
      </c>
      <c r="M736" t="s">
        <v>29</v>
      </c>
      <c r="N736" t="s">
        <v>86</v>
      </c>
      <c r="O736" t="str">
        <f>TRIM(N736)</f>
        <v>Technology</v>
      </c>
      <c r="P736" t="s">
        <v>87</v>
      </c>
      <c r="Q736" t="s">
        <v>3418</v>
      </c>
      <c r="R736" t="s">
        <v>56</v>
      </c>
      <c r="S736" t="s">
        <v>56</v>
      </c>
      <c r="T736">
        <v>4</v>
      </c>
      <c r="U736">
        <v>2761.86</v>
      </c>
      <c r="V736">
        <v>0.2</v>
      </c>
      <c r="W736">
        <v>8837.9500000000007</v>
      </c>
      <c r="X736">
        <v>6157.27</v>
      </c>
      <c r="Y736">
        <v>2680.68</v>
      </c>
      <c r="Z736" t="s">
        <v>34</v>
      </c>
      <c r="AA736" t="s">
        <v>35</v>
      </c>
    </row>
    <row r="737" spans="1:27">
      <c r="A737" t="s">
        <v>3419</v>
      </c>
      <c r="B737" t="s">
        <v>3420</v>
      </c>
      <c r="C737" t="s">
        <v>2861</v>
      </c>
      <c r="D737"/>
      <c r="E737" s="7">
        <f>IF(OR(D737="Invalid",D737&lt;0),"",D737)</f>
        <v>0</v>
      </c>
      <c r="F737" t="s">
        <v>3421</v>
      </c>
      <c r="G737" t="s">
        <v>40</v>
      </c>
      <c r="H737" t="str">
        <f>PROPER(TRIM(G737))</f>
        <v>Mira Das</v>
      </c>
      <c r="I737" t="s">
        <v>26</v>
      </c>
      <c r="J737" t="str">
        <f>PROPER(TRIM(I737))</f>
        <v>Consumer</v>
      </c>
      <c r="K737" t="s">
        <v>73</v>
      </c>
      <c r="L737" t="s">
        <v>74</v>
      </c>
      <c r="M737" t="s">
        <v>75</v>
      </c>
      <c r="N737" t="s">
        <v>45</v>
      </c>
      <c r="O737" t="str">
        <f>TRIM(N737)</f>
        <v>Furniture</v>
      </c>
      <c r="P737" t="s">
        <v>46</v>
      </c>
      <c r="Q737" t="s">
        <v>3422</v>
      </c>
      <c r="R737" t="s">
        <v>67</v>
      </c>
      <c r="S737" t="s">
        <v>67</v>
      </c>
      <c r="T737">
        <v>6</v>
      </c>
      <c r="U737">
        <v>1515.79</v>
      </c>
      <c r="V737">
        <v>0.2</v>
      </c>
      <c r="W737">
        <v>7275.79</v>
      </c>
      <c r="X737">
        <v>6152.87</v>
      </c>
      <c r="Y737">
        <v>1122.92</v>
      </c>
      <c r="Z737" t="s">
        <v>34</v>
      </c>
      <c r="AA737" t="s">
        <v>35</v>
      </c>
    </row>
    <row r="738" spans="1:27">
      <c r="A738" t="s">
        <v>3423</v>
      </c>
      <c r="B738" t="s">
        <v>2821</v>
      </c>
      <c r="C738" t="s">
        <v>3424</v>
      </c>
      <c r="D738"/>
      <c r="E738" s="7">
        <f>IF(OR(D738="Invalid",D738&lt;0),"",D738)</f>
        <v>0</v>
      </c>
      <c r="F738" t="s">
        <v>3425</v>
      </c>
      <c r="G738" t="s">
        <v>107</v>
      </c>
      <c r="H738" t="str">
        <f>PROPER(TRIM(G738))</f>
        <v>Aditi Sen</v>
      </c>
      <c r="I738" t="s">
        <v>26</v>
      </c>
      <c r="J738" t="str">
        <f>PROPER(TRIM(I738))</f>
        <v>Consumer</v>
      </c>
      <c r="K738" t="s">
        <v>73</v>
      </c>
      <c r="L738" t="s">
        <v>74</v>
      </c>
      <c r="M738" t="s">
        <v>75</v>
      </c>
      <c r="N738" t="s">
        <v>45</v>
      </c>
      <c r="O738" t="str">
        <f>TRIM(N738)</f>
        <v>Furniture</v>
      </c>
      <c r="P738" t="s">
        <v>76</v>
      </c>
      <c r="Q738" t="s">
        <v>3426</v>
      </c>
      <c r="R738" t="s">
        <v>33</v>
      </c>
      <c r="S738" t="s">
        <v>33</v>
      </c>
      <c r="T738">
        <v>9</v>
      </c>
      <c r="U738">
        <v>290.75</v>
      </c>
      <c r="V738">
        <v>0.1</v>
      </c>
      <c r="W738">
        <v>2355.08</v>
      </c>
      <c r="X738">
        <v>1350.03</v>
      </c>
      <c r="Y738">
        <v>1005.05</v>
      </c>
      <c r="Z738" t="s">
        <v>34</v>
      </c>
      <c r="AA738" t="s">
        <v>35</v>
      </c>
    </row>
    <row r="739" spans="1:27">
      <c r="A739" t="s">
        <v>3427</v>
      </c>
      <c r="B739" t="s">
        <v>2249</v>
      </c>
      <c r="C739" t="s">
        <v>2129</v>
      </c>
      <c r="D739"/>
      <c r="E739" s="7">
        <f>IF(OR(D739="Invalid",D739&lt;0),"",D739)</f>
        <v>0</v>
      </c>
      <c r="F739" t="s">
        <v>3428</v>
      </c>
      <c r="G739" t="s">
        <v>53</v>
      </c>
      <c r="H739" t="str">
        <f>PROPER(TRIM(G739))</f>
        <v>Isha Nair</v>
      </c>
      <c r="I739" t="s">
        <v>115</v>
      </c>
      <c r="J739" t="str">
        <f>PROPER(TRIM(I739))</f>
        <v>Home Office</v>
      </c>
      <c r="K739" t="s">
        <v>73</v>
      </c>
      <c r="L739" t="s">
        <v>74</v>
      </c>
      <c r="M739" t="s">
        <v>75</v>
      </c>
      <c r="N739" t="s">
        <v>45</v>
      </c>
      <c r="O739" t="str">
        <f>TRIM(N739)</f>
        <v>Furniture</v>
      </c>
      <c r="P739" t="s">
        <v>76</v>
      </c>
      <c r="Q739" t="s">
        <v>3429</v>
      </c>
      <c r="R739" t="s">
        <v>48</v>
      </c>
      <c r="S739" t="s">
        <v>48</v>
      </c>
      <c r="T739">
        <v>6</v>
      </c>
      <c r="U739">
        <v>601.52</v>
      </c>
      <c r="V739">
        <v>0</v>
      </c>
      <c r="W739">
        <v>3609.12</v>
      </c>
      <c r="X739">
        <v>2645.5</v>
      </c>
      <c r="Y739">
        <v>963.62</v>
      </c>
      <c r="Z739" t="s">
        <v>34</v>
      </c>
      <c r="AA739" t="s">
        <v>35</v>
      </c>
    </row>
    <row r="740" spans="1:27">
      <c r="A740" t="s">
        <v>3430</v>
      </c>
      <c r="B740" t="s">
        <v>1566</v>
      </c>
      <c r="C740" t="s">
        <v>3431</v>
      </c>
      <c r="D740"/>
      <c r="E740" s="7">
        <f>IF(OR(D740="Invalid",D740&lt;0),"",D740)</f>
        <v>0</v>
      </c>
      <c r="F740" t="s">
        <v>3432</v>
      </c>
      <c r="G740" t="s">
        <v>142</v>
      </c>
      <c r="H740" t="str">
        <f>PROPER(TRIM(G740))</f>
        <v>Priya Menon</v>
      </c>
      <c r="I740" t="s">
        <v>108</v>
      </c>
      <c r="J740" t="str">
        <f>PROPER(TRIM(I740))</f>
        <v>Corporate</v>
      </c>
      <c r="K740" t="s">
        <v>62</v>
      </c>
      <c r="L740" t="s">
        <v>242</v>
      </c>
      <c r="M740" t="s">
        <v>243</v>
      </c>
      <c r="N740" t="s">
        <v>30</v>
      </c>
      <c r="O740" t="str">
        <f>TRIM(N740)</f>
        <v>Office Supplies</v>
      </c>
      <c r="P740" t="s">
        <v>31</v>
      </c>
      <c r="Q740" t="s">
        <v>3433</v>
      </c>
      <c r="R740" t="s">
        <v>56</v>
      </c>
      <c r="S740" t="s">
        <v>56</v>
      </c>
      <c r="T740">
        <v>1</v>
      </c>
      <c r="U740">
        <v>2188.19</v>
      </c>
      <c r="V740">
        <v>0</v>
      </c>
      <c r="W740">
        <v>2188.19</v>
      </c>
      <c r="X740">
        <v>1298.8399999999999</v>
      </c>
      <c r="Y740">
        <v>889.35</v>
      </c>
      <c r="Z740" t="s">
        <v>34</v>
      </c>
      <c r="AA740" t="s">
        <v>35</v>
      </c>
    </row>
    <row r="741" spans="1:27">
      <c r="A741" t="s">
        <v>3434</v>
      </c>
      <c r="B741" t="s">
        <v>3435</v>
      </c>
      <c r="C741" t="s">
        <v>3436</v>
      </c>
      <c r="D741"/>
      <c r="E741" s="7">
        <f>IF(OR(D741="Invalid",D741&lt;0),"",D741)</f>
        <v>0</v>
      </c>
      <c r="F741" t="s">
        <v>3437</v>
      </c>
      <c r="G741" t="s">
        <v>93</v>
      </c>
      <c r="H741" t="str">
        <f>PROPER(TRIM(G741))</f>
        <v>Neha Gupta</v>
      </c>
      <c r="I741" t="s">
        <v>108</v>
      </c>
      <c r="J741" t="str">
        <f>PROPER(TRIM(I741))</f>
        <v>Corporate</v>
      </c>
      <c r="K741" t="s">
        <v>27</v>
      </c>
      <c r="L741" t="s">
        <v>28</v>
      </c>
      <c r="M741" t="s">
        <v>29</v>
      </c>
      <c r="N741" t="s">
        <v>86</v>
      </c>
      <c r="O741" t="str">
        <f>TRIM(N741)</f>
        <v>Technology</v>
      </c>
      <c r="P741" t="s">
        <v>223</v>
      </c>
      <c r="Q741" t="s">
        <v>3438</v>
      </c>
      <c r="R741" t="s">
        <v>67</v>
      </c>
      <c r="S741" t="s">
        <v>67</v>
      </c>
      <c r="T741">
        <v>5</v>
      </c>
      <c r="U741">
        <v>2393.86</v>
      </c>
      <c r="V741">
        <v>0.05</v>
      </c>
      <c r="W741">
        <v>11370.84</v>
      </c>
      <c r="X741">
        <v>7469.58</v>
      </c>
      <c r="Y741">
        <v>3901.26</v>
      </c>
      <c r="Z741" t="s">
        <v>34</v>
      </c>
      <c r="AA741" t="s">
        <v>35</v>
      </c>
    </row>
    <row r="742" spans="1:27">
      <c r="A742" t="s">
        <v>3439</v>
      </c>
      <c r="B742" t="s">
        <v>3440</v>
      </c>
      <c r="C742" t="s">
        <v>2170</v>
      </c>
      <c r="D742"/>
      <c r="E742" s="7">
        <f>IF(OR(D742="Invalid",D742&lt;0),"",D742)</f>
        <v>0</v>
      </c>
      <c r="F742" t="s">
        <v>778</v>
      </c>
      <c r="G742" t="s">
        <v>168</v>
      </c>
      <c r="H742" t="str">
        <f>PROPER(TRIM(G742))</f>
        <v>Sneha Kapoor</v>
      </c>
      <c r="I742" t="s">
        <v>41</v>
      </c>
      <c r="J742" t="str">
        <f>PROPER(TRIM(I742))</f>
        <v>Small Business</v>
      </c>
      <c r="K742" t="s">
        <v>73</v>
      </c>
      <c r="L742" t="s">
        <v>74</v>
      </c>
      <c r="M742" t="s">
        <v>75</v>
      </c>
      <c r="N742" t="s">
        <v>45</v>
      </c>
      <c r="O742" t="str">
        <f>TRIM(N742)</f>
        <v>Furniture</v>
      </c>
      <c r="P742" t="s">
        <v>76</v>
      </c>
      <c r="Q742" t="s">
        <v>3441</v>
      </c>
      <c r="R742" t="s">
        <v>56</v>
      </c>
      <c r="S742" t="s">
        <v>56</v>
      </c>
      <c r="T742">
        <v>4</v>
      </c>
      <c r="U742">
        <v>2583</v>
      </c>
      <c r="V742">
        <v>0.1</v>
      </c>
      <c r="W742">
        <v>9298.7999999999993</v>
      </c>
      <c r="X742">
        <v>6548.5</v>
      </c>
      <c r="Y742">
        <v>2750.3</v>
      </c>
      <c r="Z742" t="s">
        <v>34</v>
      </c>
      <c r="AA742" t="s">
        <v>35</v>
      </c>
    </row>
    <row r="743" spans="1:27">
      <c r="A743" t="s">
        <v>3442</v>
      </c>
      <c r="B743" t="s">
        <v>3443</v>
      </c>
      <c r="C743" t="s">
        <v>3444</v>
      </c>
      <c r="D743"/>
      <c r="E743" s="7">
        <f>IF(OR(D743="Invalid",D743&lt;0),"",D743)</f>
        <v>0</v>
      </c>
      <c r="F743" t="s">
        <v>3445</v>
      </c>
      <c r="G743" t="s">
        <v>53</v>
      </c>
      <c r="H743" t="str">
        <f>PROPER(TRIM(G743))</f>
        <v>Isha Nair</v>
      </c>
      <c r="I743" t="s">
        <v>115</v>
      </c>
      <c r="J743" t="str">
        <f>PROPER(TRIM(I743))</f>
        <v>Home Office</v>
      </c>
      <c r="K743" t="s">
        <v>62</v>
      </c>
      <c r="L743" t="s">
        <v>339</v>
      </c>
      <c r="M743" t="s">
        <v>340</v>
      </c>
      <c r="N743" t="s">
        <v>45</v>
      </c>
      <c r="O743" t="str">
        <f>TRIM(N743)</f>
        <v>Furniture</v>
      </c>
      <c r="P743" t="s">
        <v>76</v>
      </c>
      <c r="Q743" t="s">
        <v>3446</v>
      </c>
      <c r="R743" t="s">
        <v>33</v>
      </c>
      <c r="S743" t="s">
        <v>33</v>
      </c>
      <c r="T743">
        <v>3</v>
      </c>
      <c r="U743">
        <v>2951.12</v>
      </c>
      <c r="W743">
        <v>7082.69</v>
      </c>
      <c r="X743">
        <v>5596.34</v>
      </c>
      <c r="Y743">
        <v>1486.35</v>
      </c>
      <c r="Z743" t="s">
        <v>34</v>
      </c>
      <c r="AA743" t="s">
        <v>78</v>
      </c>
    </row>
    <row r="744" spans="1:27">
      <c r="A744" t="s">
        <v>3447</v>
      </c>
      <c r="B744" t="s">
        <v>3448</v>
      </c>
      <c r="C744" t="s">
        <v>3449</v>
      </c>
      <c r="D744"/>
      <c r="E744" s="7">
        <f>IF(OR(D744="Invalid",D744&lt;0),"",D744)</f>
        <v>0</v>
      </c>
      <c r="F744" t="s">
        <v>3450</v>
      </c>
      <c r="G744" t="s">
        <v>25</v>
      </c>
      <c r="H744" t="str">
        <f>PROPER(TRIM(G744))</f>
        <v>Karan Malhotra</v>
      </c>
      <c r="I744" t="s">
        <v>108</v>
      </c>
      <c r="J744" t="str">
        <f>PROPER(TRIM(I744))</f>
        <v>Corporate</v>
      </c>
      <c r="K744" t="s">
        <v>3451</v>
      </c>
      <c r="L744" t="s">
        <v>43</v>
      </c>
      <c r="M744" t="s">
        <v>44</v>
      </c>
      <c r="N744" t="s">
        <v>30</v>
      </c>
      <c r="O744" t="str">
        <f>TRIM(N744)</f>
        <v>Office Supplies</v>
      </c>
      <c r="P744" t="s">
        <v>31</v>
      </c>
      <c r="Q744" t="s">
        <v>3452</v>
      </c>
      <c r="R744" t="s">
        <v>67</v>
      </c>
      <c r="S744" t="s">
        <v>67</v>
      </c>
      <c r="T744">
        <v>4</v>
      </c>
      <c r="U744">
        <v>2260.9499999999998</v>
      </c>
      <c r="V744">
        <v>0</v>
      </c>
      <c r="W744">
        <v>9043.7999999999993</v>
      </c>
      <c r="X744">
        <v>5913.38</v>
      </c>
      <c r="Y744">
        <v>3130.42</v>
      </c>
      <c r="Z744" t="s">
        <v>34</v>
      </c>
      <c r="AA744" t="s">
        <v>35</v>
      </c>
    </row>
    <row r="745" spans="1:27">
      <c r="A745" t="s">
        <v>3453</v>
      </c>
      <c r="B745" t="s">
        <v>1397</v>
      </c>
      <c r="C745" t="s">
        <v>1940</v>
      </c>
      <c r="D745"/>
      <c r="E745" s="7">
        <f>IF(OR(D745="Invalid",D745&lt;0),"",D745)</f>
        <v>0</v>
      </c>
      <c r="F745" t="s">
        <v>3454</v>
      </c>
      <c r="G745" t="s">
        <v>168</v>
      </c>
      <c r="H745" t="str">
        <f>PROPER(TRIM(G745))</f>
        <v>Sneha Kapoor</v>
      </c>
      <c r="I745" t="s">
        <v>26</v>
      </c>
      <c r="J745" t="str">
        <f>PROPER(TRIM(I745))</f>
        <v>Consumer</v>
      </c>
      <c r="K745" t="s">
        <v>27</v>
      </c>
      <c r="L745" t="s">
        <v>174</v>
      </c>
      <c r="M745" t="s">
        <v>175</v>
      </c>
      <c r="N745" t="s">
        <v>30</v>
      </c>
      <c r="O745" t="str">
        <f>TRIM(N745)</f>
        <v>Office Supplies</v>
      </c>
      <c r="P745" t="s">
        <v>54</v>
      </c>
      <c r="Q745" t="s">
        <v>3455</v>
      </c>
      <c r="R745" t="s">
        <v>67</v>
      </c>
      <c r="S745" t="s">
        <v>67</v>
      </c>
      <c r="T745">
        <v>6</v>
      </c>
      <c r="U745">
        <v>491.4</v>
      </c>
      <c r="V745">
        <v>0.25</v>
      </c>
      <c r="W745">
        <v>2211.3000000000002</v>
      </c>
      <c r="X745">
        <v>1735.64</v>
      </c>
      <c r="Y745">
        <v>475.66</v>
      </c>
      <c r="Z745" t="s">
        <v>34</v>
      </c>
      <c r="AA745" t="s">
        <v>35</v>
      </c>
    </row>
    <row r="746" spans="1:27">
      <c r="A746" t="s">
        <v>3456</v>
      </c>
      <c r="B746" t="s">
        <v>3457</v>
      </c>
      <c r="C746" t="s">
        <v>1470</v>
      </c>
      <c r="D746"/>
      <c r="E746" s="7">
        <f>IF(OR(D746="Invalid",D746&lt;0),"",D746)</f>
        <v>0</v>
      </c>
      <c r="F746" t="s">
        <v>3458</v>
      </c>
      <c r="G746" t="s">
        <v>40</v>
      </c>
      <c r="H746" t="str">
        <f>PROPER(TRIM(G746))</f>
        <v>Mira Das</v>
      </c>
      <c r="I746" t="s">
        <v>115</v>
      </c>
      <c r="J746" t="str">
        <f>PROPER(TRIM(I746))</f>
        <v>Home Office</v>
      </c>
      <c r="K746" t="s">
        <v>27</v>
      </c>
      <c r="L746" t="s">
        <v>154</v>
      </c>
      <c r="M746" t="s">
        <v>155</v>
      </c>
      <c r="N746" t="s">
        <v>30</v>
      </c>
      <c r="O746" t="str">
        <f>TRIM(N746)</f>
        <v>Office Supplies</v>
      </c>
      <c r="P746" t="s">
        <v>198</v>
      </c>
      <c r="Q746" t="s">
        <v>3459</v>
      </c>
      <c r="R746" t="s">
        <v>56</v>
      </c>
      <c r="S746" t="s">
        <v>56</v>
      </c>
      <c r="T746">
        <v>5</v>
      </c>
      <c r="U746">
        <v>2701.89</v>
      </c>
      <c r="V746">
        <v>0.1</v>
      </c>
      <c r="W746">
        <v>12158.5</v>
      </c>
      <c r="X746">
        <v>10260.07</v>
      </c>
      <c r="Y746">
        <v>1898.43</v>
      </c>
      <c r="Z746" t="s">
        <v>34</v>
      </c>
      <c r="AA746" t="s">
        <v>78</v>
      </c>
    </row>
    <row r="747" spans="1:27">
      <c r="A747" t="s">
        <v>3460</v>
      </c>
      <c r="B747" t="s">
        <v>3461</v>
      </c>
      <c r="C747" t="s">
        <v>3462</v>
      </c>
      <c r="D747"/>
      <c r="E747" s="7">
        <f>IF(OR(D747="Invalid",D747&lt;0),"",D747)</f>
        <v>0</v>
      </c>
      <c r="F747" t="s">
        <v>3463</v>
      </c>
      <c r="G747" t="s">
        <v>40</v>
      </c>
      <c r="H747" t="str">
        <f>PROPER(TRIM(G747))</f>
        <v>Mira Das</v>
      </c>
      <c r="I747" t="s">
        <v>41</v>
      </c>
      <c r="J747" t="str">
        <f>PROPER(TRIM(I747))</f>
        <v>Small Business</v>
      </c>
      <c r="K747" t="s">
        <v>42</v>
      </c>
      <c r="L747" t="s">
        <v>216</v>
      </c>
      <c r="M747" t="s">
        <v>217</v>
      </c>
      <c r="N747" t="s">
        <v>86</v>
      </c>
      <c r="O747" t="str">
        <f>TRIM(N747)</f>
        <v>Technology</v>
      </c>
      <c r="P747" t="s">
        <v>94</v>
      </c>
      <c r="Q747" t="s">
        <v>3464</v>
      </c>
      <c r="R747" t="s">
        <v>67</v>
      </c>
      <c r="S747" t="s">
        <v>67</v>
      </c>
      <c r="T747">
        <v>3</v>
      </c>
      <c r="U747">
        <v>723.59</v>
      </c>
      <c r="V747">
        <v>0.2</v>
      </c>
      <c r="W747">
        <v>1736.62</v>
      </c>
      <c r="X747">
        <v>1059.52</v>
      </c>
      <c r="Y747">
        <v>677.1</v>
      </c>
      <c r="Z747" t="s">
        <v>34</v>
      </c>
      <c r="AA747" t="s">
        <v>35</v>
      </c>
    </row>
    <row r="748" spans="1:27">
      <c r="A748" t="s">
        <v>3465</v>
      </c>
      <c r="B748" t="s">
        <v>1348</v>
      </c>
      <c r="C748" t="s">
        <v>3466</v>
      </c>
      <c r="D748"/>
      <c r="E748" s="7">
        <f>IF(OR(D748="Invalid",D748&lt;0),"",D748)</f>
        <v>0</v>
      </c>
      <c r="F748" t="s">
        <v>3053</v>
      </c>
      <c r="G748" t="s">
        <v>162</v>
      </c>
      <c r="H748" t="str">
        <f>PROPER(TRIM(G748))</f>
        <v>Aarav Sharma</v>
      </c>
      <c r="I748" t="s">
        <v>115</v>
      </c>
      <c r="J748" t="str">
        <f>PROPER(TRIM(I748))</f>
        <v>Home Office</v>
      </c>
      <c r="K748" t="s">
        <v>42</v>
      </c>
      <c r="L748" t="s">
        <v>121</v>
      </c>
      <c r="M748" t="s">
        <v>122</v>
      </c>
      <c r="N748" t="s">
        <v>30</v>
      </c>
      <c r="O748" t="str">
        <f>TRIM(N748)</f>
        <v>Office Supplies</v>
      </c>
      <c r="P748" t="s">
        <v>31</v>
      </c>
      <c r="Q748" t="s">
        <v>3467</v>
      </c>
      <c r="R748" t="s">
        <v>67</v>
      </c>
      <c r="S748" t="s">
        <v>67</v>
      </c>
      <c r="T748">
        <v>4</v>
      </c>
      <c r="U748">
        <v>2583.19</v>
      </c>
      <c r="V748">
        <v>0.2</v>
      </c>
      <c r="W748">
        <v>8266.2099999999991</v>
      </c>
      <c r="X748">
        <v>6236.32</v>
      </c>
      <c r="Y748">
        <v>2029.89</v>
      </c>
      <c r="Z748" t="s">
        <v>34</v>
      </c>
      <c r="AA748" t="s">
        <v>35</v>
      </c>
    </row>
    <row r="749" spans="1:27">
      <c r="A749" t="s">
        <v>3468</v>
      </c>
      <c r="B749" t="s">
        <v>3469</v>
      </c>
      <c r="C749" t="s">
        <v>3470</v>
      </c>
      <c r="D749"/>
      <c r="E749" s="7">
        <f>IF(OR(D749="Invalid",D749&lt;0),"",D749)</f>
        <v>0</v>
      </c>
      <c r="F749" t="s">
        <v>3471</v>
      </c>
      <c r="G749" t="s">
        <v>53</v>
      </c>
      <c r="H749" t="str">
        <f>PROPER(TRIM(G749))</f>
        <v>Isha Nair</v>
      </c>
      <c r="I749" t="s">
        <v>115</v>
      </c>
      <c r="J749" t="str">
        <f>PROPER(TRIM(I749))</f>
        <v>Home Office</v>
      </c>
      <c r="K749" t="s">
        <v>42</v>
      </c>
      <c r="L749" t="s">
        <v>43</v>
      </c>
      <c r="M749" t="s">
        <v>44</v>
      </c>
      <c r="N749" t="s">
        <v>30</v>
      </c>
      <c r="O749" t="str">
        <f>TRIM(N749)</f>
        <v>Office Supplies</v>
      </c>
      <c r="P749" t="s">
        <v>31</v>
      </c>
      <c r="Q749" t="s">
        <v>3472</v>
      </c>
      <c r="R749" t="s">
        <v>48</v>
      </c>
      <c r="S749" t="s">
        <v>48</v>
      </c>
      <c r="T749">
        <v>8</v>
      </c>
      <c r="U749">
        <v>1473.83</v>
      </c>
      <c r="V749">
        <v>0.15</v>
      </c>
      <c r="W749">
        <v>10022.040000000001</v>
      </c>
      <c r="X749">
        <v>5576.98</v>
      </c>
      <c r="Y749">
        <v>4445.0600000000004</v>
      </c>
      <c r="Z749" t="s">
        <v>34</v>
      </c>
      <c r="AA749" t="s">
        <v>35</v>
      </c>
    </row>
    <row r="750" spans="1:27">
      <c r="A750" t="s">
        <v>3473</v>
      </c>
      <c r="B750" t="s">
        <v>3474</v>
      </c>
      <c r="C750" t="s">
        <v>3475</v>
      </c>
      <c r="D750"/>
      <c r="E750" s="7">
        <f>IF(OR(D750="Invalid",D750&lt;0),"",D750)</f>
        <v>0</v>
      </c>
      <c r="F750" t="s">
        <v>3476</v>
      </c>
      <c r="G750" t="s">
        <v>210</v>
      </c>
      <c r="H750" t="str">
        <f>PROPER(TRIM(G750))</f>
        <v>Diya Patel</v>
      </c>
      <c r="I750" t="s">
        <v>115</v>
      </c>
      <c r="J750" t="str">
        <f>PROPER(TRIM(I750))</f>
        <v>Home Office</v>
      </c>
      <c r="K750" t="s">
        <v>27</v>
      </c>
      <c r="L750" t="s">
        <v>323</v>
      </c>
      <c r="M750" t="s">
        <v>324</v>
      </c>
      <c r="N750" t="s">
        <v>86</v>
      </c>
      <c r="O750" t="str">
        <f>TRIM(N750)</f>
        <v>Technology</v>
      </c>
      <c r="P750" t="s">
        <v>223</v>
      </c>
      <c r="Q750" t="s">
        <v>3477</v>
      </c>
      <c r="R750" t="s">
        <v>33</v>
      </c>
      <c r="S750" t="s">
        <v>33</v>
      </c>
      <c r="T750">
        <v>1</v>
      </c>
      <c r="U750">
        <v>3848.04</v>
      </c>
      <c r="V750">
        <v>0.25</v>
      </c>
      <c r="W750">
        <v>2886.03</v>
      </c>
      <c r="X750">
        <v>2064.83</v>
      </c>
      <c r="Y750">
        <v>821.2</v>
      </c>
      <c r="Z750" t="s">
        <v>34</v>
      </c>
      <c r="AA750" t="s">
        <v>35</v>
      </c>
    </row>
    <row r="751" spans="1:27">
      <c r="A751" t="s">
        <v>3478</v>
      </c>
      <c r="B751" t="s">
        <v>3479</v>
      </c>
      <c r="C751" t="s">
        <v>3480</v>
      </c>
      <c r="D751"/>
      <c r="E751" s="7">
        <f>IF(OR(D751="Invalid",D751&lt;0),"",D751)</f>
        <v>0</v>
      </c>
      <c r="F751" t="s">
        <v>3481</v>
      </c>
      <c r="G751" t="s">
        <v>107</v>
      </c>
      <c r="H751" t="str">
        <f>PROPER(TRIM(G751))</f>
        <v>Aditi Sen</v>
      </c>
      <c r="I751" t="s">
        <v>115</v>
      </c>
      <c r="J751" t="str">
        <f>PROPER(TRIM(I751))</f>
        <v>Home Office</v>
      </c>
      <c r="K751" t="s">
        <v>42</v>
      </c>
      <c r="L751" t="s">
        <v>216</v>
      </c>
      <c r="M751" t="s">
        <v>217</v>
      </c>
      <c r="N751" t="s">
        <v>86</v>
      </c>
      <c r="O751" t="str">
        <f>TRIM(N751)</f>
        <v>Technology</v>
      </c>
      <c r="P751" t="s">
        <v>382</v>
      </c>
      <c r="Q751" t="s">
        <v>3482</v>
      </c>
      <c r="R751" t="s">
        <v>67</v>
      </c>
      <c r="S751" t="s">
        <v>67</v>
      </c>
      <c r="T751">
        <v>1</v>
      </c>
      <c r="U751">
        <v>1716.7</v>
      </c>
      <c r="V751">
        <v>0.15</v>
      </c>
      <c r="W751">
        <v>1459.19</v>
      </c>
      <c r="X751">
        <v>1055.79</v>
      </c>
      <c r="Y751">
        <v>403.4</v>
      </c>
      <c r="Z751" t="s">
        <v>34</v>
      </c>
      <c r="AA751" t="s">
        <v>35</v>
      </c>
    </row>
    <row r="752" spans="1:27">
      <c r="A752" t="s">
        <v>3483</v>
      </c>
      <c r="B752" t="s">
        <v>3484</v>
      </c>
      <c r="C752" t="s">
        <v>375</v>
      </c>
      <c r="D752"/>
      <c r="E752" s="7">
        <f>IF(OR(D752="Invalid",D752&lt;0),"",D752)</f>
        <v>0</v>
      </c>
      <c r="F752" t="s">
        <v>3485</v>
      </c>
      <c r="G752" t="s">
        <v>162</v>
      </c>
      <c r="H752" t="str">
        <f>PROPER(TRIM(G752))</f>
        <v>Aarav Sharma</v>
      </c>
      <c r="I752" t="s">
        <v>115</v>
      </c>
      <c r="J752" t="str">
        <f>PROPER(TRIM(I752))</f>
        <v>Home Office</v>
      </c>
      <c r="K752" t="s">
        <v>62</v>
      </c>
      <c r="L752" t="s">
        <v>63</v>
      </c>
      <c r="M752" t="s">
        <v>64</v>
      </c>
      <c r="N752" t="s">
        <v>86</v>
      </c>
      <c r="O752" t="str">
        <f>TRIM(N752)</f>
        <v>Technology</v>
      </c>
      <c r="P752" t="s">
        <v>87</v>
      </c>
      <c r="Q752" t="s">
        <v>3486</v>
      </c>
      <c r="R752" t="s">
        <v>56</v>
      </c>
      <c r="S752" t="s">
        <v>56</v>
      </c>
      <c r="T752">
        <v>8</v>
      </c>
      <c r="U752">
        <v>3925.93</v>
      </c>
      <c r="V752">
        <v>0.15</v>
      </c>
      <c r="W752">
        <v>26696.32</v>
      </c>
      <c r="X752">
        <v>22724.52</v>
      </c>
      <c r="Y752">
        <v>3971.8</v>
      </c>
      <c r="Z752" t="s">
        <v>34</v>
      </c>
      <c r="AA752" t="s">
        <v>35</v>
      </c>
    </row>
    <row r="753" spans="1:27">
      <c r="A753" t="s">
        <v>3487</v>
      </c>
      <c r="B753" s="4" t="s">
        <v>720</v>
      </c>
      <c r="C753" s="4" t="s">
        <v>3488</v>
      </c>
      <c r="D753" s="4" t="str">
        <f>IF(C641&lt;B641,"Invalid","OK")</f>
        <v>OK</v>
      </c>
      <c r="E753" s="7" t="str">
        <f>IF(OR(D753="Invalid",D753&lt;0),"",D753)</f>
        <v>OK</v>
      </c>
      <c r="F753" t="s">
        <v>3489</v>
      </c>
      <c r="G753" t="s">
        <v>142</v>
      </c>
      <c r="H753" t="str">
        <f>PROPER(TRIM(G753))</f>
        <v>Priya Menon</v>
      </c>
      <c r="I753" t="s">
        <v>115</v>
      </c>
      <c r="J753" t="str">
        <f>PROPER(TRIM(I753))</f>
        <v>Home Office</v>
      </c>
      <c r="K753" t="s">
        <v>27</v>
      </c>
      <c r="L753" t="s">
        <v>174</v>
      </c>
      <c r="M753" t="s">
        <v>175</v>
      </c>
      <c r="N753" t="s">
        <v>86</v>
      </c>
      <c r="O753" t="str">
        <f>TRIM(N753)</f>
        <v>Technology</v>
      </c>
      <c r="P753" t="s">
        <v>382</v>
      </c>
      <c r="Q753" t="s">
        <v>3490</v>
      </c>
      <c r="R753" t="s">
        <v>4124</v>
      </c>
      <c r="S753" t="s">
        <v>4111</v>
      </c>
      <c r="T753">
        <v>3</v>
      </c>
      <c r="U753">
        <v>2963.25</v>
      </c>
      <c r="V753">
        <v>0.05</v>
      </c>
      <c r="W753">
        <v>8445.26</v>
      </c>
      <c r="X753">
        <v>6937.6</v>
      </c>
      <c r="Y753">
        <v>1507.66</v>
      </c>
      <c r="Z753" t="s">
        <v>34</v>
      </c>
      <c r="AA753" t="s">
        <v>35</v>
      </c>
    </row>
    <row r="754" spans="1:27">
      <c r="A754" t="s">
        <v>3491</v>
      </c>
      <c r="B754" t="s">
        <v>2217</v>
      </c>
      <c r="C754" t="s">
        <v>3162</v>
      </c>
      <c r="D754"/>
      <c r="E754" s="7">
        <f>IF(OR(D754="Invalid",D754&lt;0),"",D754)</f>
        <v>0</v>
      </c>
      <c r="F754" t="s">
        <v>3492</v>
      </c>
      <c r="G754" t="s">
        <v>107</v>
      </c>
      <c r="H754" t="str">
        <f>PROPER(TRIM(G754))</f>
        <v>Aditi Sen</v>
      </c>
      <c r="I754" t="s">
        <v>108</v>
      </c>
      <c r="J754" t="str">
        <f>PROPER(TRIM(I754))</f>
        <v>Corporate</v>
      </c>
      <c r="K754" t="s">
        <v>73</v>
      </c>
      <c r="L754" t="s">
        <v>235</v>
      </c>
      <c r="M754" t="s">
        <v>236</v>
      </c>
      <c r="N754" t="s">
        <v>30</v>
      </c>
      <c r="O754" t="str">
        <f>TRIM(N754)</f>
        <v>Office Supplies</v>
      </c>
      <c r="P754" t="s">
        <v>156</v>
      </c>
      <c r="Q754" t="s">
        <v>3493</v>
      </c>
      <c r="R754" t="s">
        <v>56</v>
      </c>
      <c r="S754" t="s">
        <v>56</v>
      </c>
      <c r="T754">
        <v>5</v>
      </c>
      <c r="U754">
        <v>2465.2199999999998</v>
      </c>
      <c r="V754">
        <v>0.05</v>
      </c>
      <c r="W754">
        <v>11709.79</v>
      </c>
      <c r="X754">
        <v>8372.2900000000009</v>
      </c>
      <c r="Y754">
        <v>3337.5</v>
      </c>
      <c r="Z754" t="s">
        <v>34</v>
      </c>
      <c r="AA754" t="s">
        <v>35</v>
      </c>
    </row>
    <row r="755" spans="1:27">
      <c r="A755" t="s">
        <v>3494</v>
      </c>
      <c r="B755" t="s">
        <v>2438</v>
      </c>
      <c r="C755" t="s">
        <v>2798</v>
      </c>
      <c r="D755"/>
      <c r="E755" s="7">
        <f>IF(OR(D755="Invalid",D755&lt;0),"",D755)</f>
        <v>0</v>
      </c>
      <c r="F755" t="s">
        <v>3495</v>
      </c>
      <c r="G755" t="s">
        <v>107</v>
      </c>
      <c r="H755" t="str">
        <f>PROPER(TRIM(G755))</f>
        <v>Aditi Sen</v>
      </c>
      <c r="I755" t="s">
        <v>108</v>
      </c>
      <c r="J755" t="str">
        <f>PROPER(TRIM(I755))</f>
        <v>Corporate</v>
      </c>
      <c r="K755" t="s">
        <v>27</v>
      </c>
      <c r="L755" t="s">
        <v>506</v>
      </c>
      <c r="M755" t="s">
        <v>507</v>
      </c>
      <c r="N755" t="s">
        <v>45</v>
      </c>
      <c r="O755" t="str">
        <f>TRIM(N755)</f>
        <v>Furniture</v>
      </c>
      <c r="P755" t="s">
        <v>65</v>
      </c>
      <c r="Q755" t="s">
        <v>3496</v>
      </c>
      <c r="R755" t="s">
        <v>33</v>
      </c>
      <c r="S755" t="s">
        <v>33</v>
      </c>
      <c r="T755">
        <v>3</v>
      </c>
      <c r="U755">
        <v>1017.22</v>
      </c>
      <c r="V755">
        <v>0.15</v>
      </c>
      <c r="W755">
        <v>2593.91</v>
      </c>
      <c r="X755">
        <v>1848.48</v>
      </c>
      <c r="Y755">
        <v>745.43</v>
      </c>
      <c r="Z755" t="s">
        <v>200</v>
      </c>
      <c r="AA755" t="s">
        <v>125</v>
      </c>
    </row>
    <row r="756" spans="1:27">
      <c r="A756" t="s">
        <v>3497</v>
      </c>
      <c r="B756" t="s">
        <v>3498</v>
      </c>
      <c r="C756" t="s">
        <v>3498</v>
      </c>
      <c r="D756"/>
      <c r="E756" s="7">
        <f>IF(OR(D756="Invalid",D756&lt;0),"",D756)</f>
        <v>0</v>
      </c>
      <c r="F756" t="s">
        <v>3499</v>
      </c>
      <c r="G756" t="s">
        <v>93</v>
      </c>
      <c r="H756" t="str">
        <f>PROPER(TRIM(G756))</f>
        <v>Neha Gupta</v>
      </c>
      <c r="I756" t="s">
        <v>108</v>
      </c>
      <c r="J756" t="str">
        <f>PROPER(TRIM(I756))</f>
        <v>Corporate</v>
      </c>
      <c r="K756" t="s">
        <v>62</v>
      </c>
      <c r="L756" t="s">
        <v>242</v>
      </c>
      <c r="M756" t="s">
        <v>243</v>
      </c>
      <c r="N756" t="s">
        <v>30</v>
      </c>
      <c r="O756" t="str">
        <f>TRIM(N756)</f>
        <v>Office Supplies</v>
      </c>
      <c r="P756" t="s">
        <v>156</v>
      </c>
      <c r="Q756" t="s">
        <v>3500</v>
      </c>
      <c r="R756" t="s">
        <v>67</v>
      </c>
      <c r="S756" t="s">
        <v>67</v>
      </c>
      <c r="T756">
        <v>4</v>
      </c>
      <c r="U756">
        <v>891.34</v>
      </c>
      <c r="V756">
        <v>0.25</v>
      </c>
      <c r="W756">
        <v>2674.02</v>
      </c>
      <c r="X756">
        <v>2207.5700000000002</v>
      </c>
      <c r="Y756">
        <v>466.45</v>
      </c>
      <c r="Z756" t="s">
        <v>34</v>
      </c>
      <c r="AA756" t="s">
        <v>35</v>
      </c>
    </row>
    <row r="757" spans="1:27">
      <c r="A757" t="s">
        <v>3501</v>
      </c>
      <c r="B757" t="s">
        <v>1094</v>
      </c>
      <c r="C757" t="s">
        <v>1729</v>
      </c>
      <c r="D757"/>
      <c r="E757" s="7">
        <f>IF(OR(D757="Invalid",D757&lt;0),"",D757)</f>
        <v>0</v>
      </c>
      <c r="F757" t="s">
        <v>3502</v>
      </c>
      <c r="G757" t="s">
        <v>142</v>
      </c>
      <c r="H757" t="str">
        <f>PROPER(TRIM(G757))</f>
        <v>Priya Menon</v>
      </c>
      <c r="I757" t="s">
        <v>115</v>
      </c>
      <c r="J757" t="str">
        <f>PROPER(TRIM(I757))</f>
        <v>Home Office</v>
      </c>
      <c r="K757" t="s">
        <v>73</v>
      </c>
      <c r="L757" t="s">
        <v>84</v>
      </c>
      <c r="M757" t="s">
        <v>85</v>
      </c>
      <c r="N757" t="s">
        <v>30</v>
      </c>
      <c r="O757" t="str">
        <f>TRIM(N757)</f>
        <v>Office Supplies</v>
      </c>
      <c r="P757" t="s">
        <v>156</v>
      </c>
      <c r="Q757" t="s">
        <v>3503</v>
      </c>
      <c r="R757" t="s">
        <v>33</v>
      </c>
      <c r="S757" t="s">
        <v>33</v>
      </c>
      <c r="T757">
        <v>5</v>
      </c>
      <c r="U757">
        <v>2481.7399999999998</v>
      </c>
      <c r="V757">
        <v>0.2</v>
      </c>
      <c r="W757">
        <v>9926.9599999999991</v>
      </c>
      <c r="X757">
        <v>7994.98</v>
      </c>
      <c r="Y757">
        <v>1931.98</v>
      </c>
      <c r="Z757" t="s">
        <v>34</v>
      </c>
      <c r="AA757" t="s">
        <v>35</v>
      </c>
    </row>
    <row r="758" spans="1:27">
      <c r="A758" t="s">
        <v>3504</v>
      </c>
      <c r="B758" t="s">
        <v>3505</v>
      </c>
      <c r="C758" t="s">
        <v>3506</v>
      </c>
      <c r="D758"/>
      <c r="E758" s="7">
        <f>IF(OR(D758="Invalid",D758&lt;0),"",D758)</f>
        <v>0</v>
      </c>
      <c r="F758" t="s">
        <v>3507</v>
      </c>
      <c r="G758" t="s">
        <v>180</v>
      </c>
      <c r="H758" t="str">
        <f>PROPER(TRIM(G758))</f>
        <v>Rohan Mehta</v>
      </c>
      <c r="I758" t="s">
        <v>26</v>
      </c>
      <c r="J758" t="str">
        <f>PROPER(TRIM(I758))</f>
        <v>Consumer</v>
      </c>
      <c r="K758" t="s">
        <v>27</v>
      </c>
      <c r="L758" t="s">
        <v>28</v>
      </c>
      <c r="M758" t="s">
        <v>29</v>
      </c>
      <c r="N758" t="s">
        <v>86</v>
      </c>
      <c r="O758" t="str">
        <f>TRIM(N758)</f>
        <v>Technology</v>
      </c>
      <c r="P758" t="s">
        <v>87</v>
      </c>
      <c r="Q758" t="s">
        <v>3508</v>
      </c>
      <c r="R758" t="s">
        <v>48</v>
      </c>
      <c r="S758" t="s">
        <v>48</v>
      </c>
      <c r="T758">
        <v>7</v>
      </c>
      <c r="U758">
        <v>2177.1</v>
      </c>
      <c r="V758">
        <v>0.2</v>
      </c>
      <c r="W758">
        <v>12191.76</v>
      </c>
      <c r="X758">
        <v>10457.49</v>
      </c>
      <c r="Y758">
        <v>1734.27</v>
      </c>
      <c r="Z758" t="s">
        <v>34</v>
      </c>
      <c r="AA758" t="s">
        <v>125</v>
      </c>
    </row>
    <row r="759" spans="1:27">
      <c r="A759" t="s">
        <v>3509</v>
      </c>
      <c r="B759" t="s">
        <v>3510</v>
      </c>
      <c r="C759" t="s">
        <v>3511</v>
      </c>
      <c r="D759"/>
      <c r="E759" s="7">
        <f>IF(OR(D759="Invalid",D759&lt;0),"",D759)</f>
        <v>0</v>
      </c>
      <c r="F759" t="s">
        <v>3512</v>
      </c>
      <c r="G759" t="s">
        <v>107</v>
      </c>
      <c r="H759" t="str">
        <f>PROPER(TRIM(G759))</f>
        <v>Aditi Sen</v>
      </c>
      <c r="I759" t="s">
        <v>41</v>
      </c>
      <c r="J759" t="str">
        <f>PROPER(TRIM(I759))</f>
        <v>Small Business</v>
      </c>
      <c r="K759" t="s">
        <v>62</v>
      </c>
      <c r="L759" t="s">
        <v>242</v>
      </c>
      <c r="M759" t="s">
        <v>243</v>
      </c>
      <c r="N759" t="s">
        <v>45</v>
      </c>
      <c r="O759" t="str">
        <f>TRIM(N759)</f>
        <v>Furniture</v>
      </c>
      <c r="P759" t="s">
        <v>204</v>
      </c>
      <c r="Q759" t="s">
        <v>3513</v>
      </c>
      <c r="R759" t="s">
        <v>67</v>
      </c>
      <c r="S759" t="s">
        <v>67</v>
      </c>
      <c r="T759">
        <v>3</v>
      </c>
      <c r="U759">
        <v>1904.78</v>
      </c>
      <c r="V759">
        <v>0.25</v>
      </c>
      <c r="W759">
        <v>4285.76</v>
      </c>
      <c r="X759">
        <v>2386.33</v>
      </c>
      <c r="Y759">
        <v>1899.43</v>
      </c>
      <c r="Z759" t="s">
        <v>200</v>
      </c>
      <c r="AA759" t="s">
        <v>78</v>
      </c>
    </row>
    <row r="760" spans="1:27">
      <c r="A760" t="s">
        <v>3514</v>
      </c>
      <c r="B760" t="s">
        <v>3515</v>
      </c>
      <c r="C760" t="s">
        <v>2704</v>
      </c>
      <c r="D760"/>
      <c r="E760" s="7">
        <f>IF(OR(D760="Invalid",D760&lt;0),"",D760)</f>
        <v>0</v>
      </c>
      <c r="F760" t="s">
        <v>3516</v>
      </c>
      <c r="G760" t="s">
        <v>162</v>
      </c>
      <c r="H760" t="str">
        <f>PROPER(TRIM(G760))</f>
        <v>Aarav Sharma</v>
      </c>
      <c r="I760" t="s">
        <v>41</v>
      </c>
      <c r="J760" t="str">
        <f>PROPER(TRIM(I760))</f>
        <v>Small Business</v>
      </c>
      <c r="K760" t="s">
        <v>62</v>
      </c>
      <c r="L760" t="s">
        <v>229</v>
      </c>
      <c r="M760" t="s">
        <v>230</v>
      </c>
      <c r="N760" t="s">
        <v>45</v>
      </c>
      <c r="O760" t="str">
        <f>TRIM(N760)</f>
        <v>Furniture</v>
      </c>
      <c r="P760" t="s">
        <v>76</v>
      </c>
      <c r="Q760" t="s">
        <v>3517</v>
      </c>
      <c r="R760" t="s">
        <v>67</v>
      </c>
      <c r="S760" t="s">
        <v>67</v>
      </c>
      <c r="T760">
        <v>1</v>
      </c>
      <c r="U760">
        <v>4166.91</v>
      </c>
      <c r="V760">
        <v>0</v>
      </c>
      <c r="W760">
        <v>4166.91</v>
      </c>
      <c r="X760">
        <v>3412.63</v>
      </c>
      <c r="Y760">
        <v>754.28</v>
      </c>
      <c r="Z760" t="s">
        <v>34</v>
      </c>
      <c r="AA760" t="s">
        <v>35</v>
      </c>
    </row>
    <row r="761" spans="1:27">
      <c r="A761" t="s">
        <v>3518</v>
      </c>
      <c r="B761" t="s">
        <v>406</v>
      </c>
      <c r="C761" t="s">
        <v>3519</v>
      </c>
      <c r="D761"/>
      <c r="E761" s="7">
        <f>IF(OR(D761="Invalid",D761&lt;0),"",D761)</f>
        <v>0</v>
      </c>
      <c r="F761" t="s">
        <v>3520</v>
      </c>
      <c r="G761" t="s">
        <v>61</v>
      </c>
      <c r="H761" t="str">
        <f>PROPER(TRIM(G761))</f>
        <v>Arjun Bose</v>
      </c>
      <c r="I761" t="s">
        <v>115</v>
      </c>
      <c r="J761" t="str">
        <f>PROPER(TRIM(I761))</f>
        <v>Home Office</v>
      </c>
      <c r="K761" t="s">
        <v>62</v>
      </c>
      <c r="L761" t="s">
        <v>229</v>
      </c>
      <c r="M761" t="s">
        <v>230</v>
      </c>
      <c r="N761" t="s">
        <v>45</v>
      </c>
      <c r="O761" t="str">
        <f>TRIM(N761)</f>
        <v>Furniture</v>
      </c>
      <c r="P761" t="s">
        <v>46</v>
      </c>
      <c r="Q761" t="s">
        <v>3521</v>
      </c>
      <c r="R761" t="s">
        <v>33</v>
      </c>
      <c r="S761" t="s">
        <v>33</v>
      </c>
      <c r="T761">
        <v>5</v>
      </c>
      <c r="U761">
        <v>3986.01</v>
      </c>
      <c r="V761">
        <v>0.25</v>
      </c>
      <c r="W761">
        <v>14947.54</v>
      </c>
      <c r="X761">
        <v>9438.4599999999991</v>
      </c>
      <c r="Y761">
        <v>5509.08</v>
      </c>
      <c r="Z761" t="s">
        <v>34</v>
      </c>
      <c r="AA761" t="s">
        <v>35</v>
      </c>
    </row>
    <row r="762" spans="1:27">
      <c r="A762" t="s">
        <v>3522</v>
      </c>
      <c r="B762" t="s">
        <v>3523</v>
      </c>
      <c r="C762" t="s">
        <v>1195</v>
      </c>
      <c r="D762"/>
      <c r="E762" s="7">
        <f>IF(OR(D762="Invalid",D762&lt;0),"",D762)</f>
        <v>0</v>
      </c>
      <c r="F762" t="s">
        <v>3524</v>
      </c>
      <c r="G762" t="s">
        <v>107</v>
      </c>
      <c r="H762" t="str">
        <f>PROPER(TRIM(G762))</f>
        <v>Aditi Sen</v>
      </c>
      <c r="I762" t="s">
        <v>115</v>
      </c>
      <c r="J762" t="str">
        <f>PROPER(TRIM(I762))</f>
        <v>Home Office</v>
      </c>
      <c r="K762" t="s">
        <v>42</v>
      </c>
      <c r="L762" t="s">
        <v>216</v>
      </c>
      <c r="M762" t="s">
        <v>217</v>
      </c>
      <c r="N762" t="s">
        <v>30</v>
      </c>
      <c r="O762" t="str">
        <f>TRIM(N762)</f>
        <v>Office Supplies</v>
      </c>
      <c r="P762" t="s">
        <v>54</v>
      </c>
      <c r="Q762" t="s">
        <v>3525</v>
      </c>
      <c r="R762" t="s">
        <v>33</v>
      </c>
      <c r="S762" t="s">
        <v>33</v>
      </c>
      <c r="T762">
        <v>4</v>
      </c>
      <c r="U762">
        <v>3365.53</v>
      </c>
      <c r="V762">
        <v>0</v>
      </c>
      <c r="W762">
        <v>13462.12</v>
      </c>
      <c r="X762">
        <v>7600.63</v>
      </c>
      <c r="Y762">
        <v>5861.49</v>
      </c>
      <c r="Z762" t="s">
        <v>137</v>
      </c>
      <c r="AA762" t="s">
        <v>125</v>
      </c>
    </row>
    <row r="763" spans="1:27">
      <c r="A763" t="s">
        <v>3526</v>
      </c>
      <c r="B763" t="s">
        <v>455</v>
      </c>
      <c r="C763" t="s">
        <v>3527</v>
      </c>
      <c r="D763"/>
      <c r="E763" s="7">
        <f>IF(OR(D763="Invalid",D763&lt;0),"",D763)</f>
        <v>0</v>
      </c>
      <c r="F763" t="s">
        <v>3528</v>
      </c>
      <c r="G763" t="s">
        <v>53</v>
      </c>
      <c r="H763" t="str">
        <f>PROPER(TRIM(G763))</f>
        <v>Isha Nair</v>
      </c>
      <c r="I763" t="s">
        <v>26</v>
      </c>
      <c r="J763" t="str">
        <f>PROPER(TRIM(I763))</f>
        <v>Consumer</v>
      </c>
      <c r="K763" t="s">
        <v>62</v>
      </c>
      <c r="L763" t="s">
        <v>229</v>
      </c>
      <c r="M763" t="s">
        <v>230</v>
      </c>
      <c r="N763" t="s">
        <v>86</v>
      </c>
      <c r="O763" t="str">
        <f>TRIM(N763)</f>
        <v>Technology</v>
      </c>
      <c r="P763" t="s">
        <v>382</v>
      </c>
      <c r="Q763" t="s">
        <v>3529</v>
      </c>
      <c r="R763" t="s">
        <v>56</v>
      </c>
      <c r="S763" t="s">
        <v>56</v>
      </c>
      <c r="T763">
        <v>3</v>
      </c>
      <c r="U763">
        <v>2489.12</v>
      </c>
      <c r="V763">
        <v>0</v>
      </c>
      <c r="W763">
        <v>7467.36</v>
      </c>
      <c r="X763">
        <v>5010.6099999999997</v>
      </c>
      <c r="Y763">
        <v>2456.75</v>
      </c>
      <c r="Z763" t="s">
        <v>34</v>
      </c>
      <c r="AA763" t="s">
        <v>35</v>
      </c>
    </row>
    <row r="764" spans="1:27">
      <c r="A764" t="s">
        <v>3530</v>
      </c>
      <c r="B764" t="s">
        <v>3531</v>
      </c>
      <c r="C764" t="s">
        <v>3532</v>
      </c>
      <c r="D764"/>
      <c r="E764" s="7">
        <f>IF(OR(D764="Invalid",D764&lt;0),"",D764)</f>
        <v>0</v>
      </c>
      <c r="F764" t="s">
        <v>3533</v>
      </c>
      <c r="G764" t="s">
        <v>210</v>
      </c>
      <c r="H764" t="str">
        <f>PROPER(TRIM(G764))</f>
        <v>Diya Patel</v>
      </c>
      <c r="I764" t="s">
        <v>108</v>
      </c>
      <c r="J764" t="str">
        <f>PROPER(TRIM(I764))</f>
        <v>Corporate</v>
      </c>
      <c r="K764" t="s">
        <v>73</v>
      </c>
      <c r="L764" t="s">
        <v>84</v>
      </c>
      <c r="M764" t="s">
        <v>85</v>
      </c>
      <c r="N764" t="s">
        <v>86</v>
      </c>
      <c r="O764" t="str">
        <f>TRIM(N764)</f>
        <v>Technology</v>
      </c>
      <c r="P764" t="s">
        <v>382</v>
      </c>
      <c r="Q764" t="s">
        <v>3534</v>
      </c>
      <c r="R764" t="s">
        <v>33</v>
      </c>
      <c r="S764" t="s">
        <v>33</v>
      </c>
      <c r="T764">
        <v>2</v>
      </c>
      <c r="U764">
        <v>3694.12</v>
      </c>
      <c r="V764">
        <v>0.2</v>
      </c>
      <c r="W764">
        <v>5910.59</v>
      </c>
      <c r="X764">
        <v>4775.4399999999996</v>
      </c>
      <c r="Y764">
        <v>1135.1500000000001</v>
      </c>
      <c r="Z764" t="s">
        <v>124</v>
      </c>
      <c r="AA764" t="s">
        <v>125</v>
      </c>
    </row>
    <row r="765" spans="1:27">
      <c r="A765" t="s">
        <v>3535</v>
      </c>
      <c r="B765" t="s">
        <v>3536</v>
      </c>
      <c r="C765" t="s">
        <v>3537</v>
      </c>
      <c r="D765"/>
      <c r="E765" s="7">
        <f>IF(OR(D765="Invalid",D765&lt;0),"",D765)</f>
        <v>0</v>
      </c>
      <c r="F765" t="s">
        <v>3538</v>
      </c>
      <c r="G765" t="s">
        <v>210</v>
      </c>
      <c r="H765" t="str">
        <f>PROPER(TRIM(G765))</f>
        <v>Diya Patel</v>
      </c>
      <c r="I765" t="s">
        <v>26</v>
      </c>
      <c r="J765" t="str">
        <f>PROPER(TRIM(I765))</f>
        <v>Consumer</v>
      </c>
      <c r="K765" t="s">
        <v>27</v>
      </c>
      <c r="L765" t="s">
        <v>28</v>
      </c>
      <c r="M765" t="s">
        <v>29</v>
      </c>
      <c r="N765" t="s">
        <v>45</v>
      </c>
      <c r="O765" t="str">
        <f>TRIM(N765)</f>
        <v>Furniture</v>
      </c>
      <c r="P765" t="s">
        <v>65</v>
      </c>
      <c r="Q765" t="s">
        <v>3539</v>
      </c>
      <c r="R765" t="s">
        <v>48</v>
      </c>
      <c r="S765" t="s">
        <v>48</v>
      </c>
      <c r="T765">
        <v>6</v>
      </c>
      <c r="U765">
        <v>2742.48</v>
      </c>
      <c r="V765">
        <v>0</v>
      </c>
      <c r="W765">
        <v>16454.88</v>
      </c>
      <c r="X765">
        <v>12081.54</v>
      </c>
      <c r="Y765">
        <v>4373.34</v>
      </c>
      <c r="Z765" t="s">
        <v>34</v>
      </c>
      <c r="AA765" t="s">
        <v>35</v>
      </c>
    </row>
    <row r="766" spans="1:27">
      <c r="A766" t="s">
        <v>3540</v>
      </c>
      <c r="B766" t="s">
        <v>1862</v>
      </c>
      <c r="C766" t="s">
        <v>2913</v>
      </c>
      <c r="D766"/>
      <c r="E766" s="7">
        <f>IF(OR(D766="Invalid",D766&lt;0),"",D766)</f>
        <v>0</v>
      </c>
      <c r="F766" t="s">
        <v>1354</v>
      </c>
      <c r="G766" t="s">
        <v>142</v>
      </c>
      <c r="H766" t="str">
        <f>PROPER(TRIM(G766))</f>
        <v>Priya Menon</v>
      </c>
      <c r="I766" t="s">
        <v>108</v>
      </c>
      <c r="J766" t="str">
        <f>PROPER(TRIM(I766))</f>
        <v>Corporate</v>
      </c>
      <c r="K766" t="s">
        <v>62</v>
      </c>
      <c r="L766" t="s">
        <v>242</v>
      </c>
      <c r="M766" t="s">
        <v>243</v>
      </c>
      <c r="N766" t="s">
        <v>45</v>
      </c>
      <c r="O766" t="str">
        <f>TRIM(N766)</f>
        <v>Furniture</v>
      </c>
      <c r="P766" t="s">
        <v>204</v>
      </c>
      <c r="Q766" t="s">
        <v>3541</v>
      </c>
      <c r="R766" t="s">
        <v>56</v>
      </c>
      <c r="S766" t="s">
        <v>56</v>
      </c>
      <c r="T766">
        <v>6</v>
      </c>
      <c r="U766">
        <v>4414</v>
      </c>
      <c r="V766">
        <v>0.05</v>
      </c>
      <c r="W766">
        <v>25159.8</v>
      </c>
      <c r="X766">
        <v>21606.83</v>
      </c>
      <c r="Y766">
        <v>3552.97</v>
      </c>
      <c r="Z766" t="s">
        <v>34</v>
      </c>
      <c r="AA766" t="s">
        <v>35</v>
      </c>
    </row>
    <row r="767" spans="1:27">
      <c r="A767" t="s">
        <v>3542</v>
      </c>
      <c r="B767" t="s">
        <v>3543</v>
      </c>
      <c r="C767" t="s">
        <v>3544</v>
      </c>
      <c r="D767"/>
      <c r="E767" s="7">
        <f>IF(OR(D767="Invalid",D767&lt;0),"",D767)</f>
        <v>0</v>
      </c>
      <c r="F767" t="s">
        <v>3545</v>
      </c>
      <c r="G767" t="s">
        <v>83</v>
      </c>
      <c r="H767" t="str">
        <f>PROPER(TRIM(G767))</f>
        <v>Vikram Iyer</v>
      </c>
      <c r="I767" t="s">
        <v>108</v>
      </c>
      <c r="J767" t="str">
        <f>PROPER(TRIM(I767))</f>
        <v>Corporate</v>
      </c>
      <c r="K767" t="s">
        <v>42</v>
      </c>
      <c r="L767" t="s">
        <v>311</v>
      </c>
      <c r="M767" t="s">
        <v>312</v>
      </c>
      <c r="N767" t="s">
        <v>30</v>
      </c>
      <c r="O767" t="str">
        <f>TRIM(N767)</f>
        <v>Office Supplies</v>
      </c>
      <c r="P767" t="s">
        <v>109</v>
      </c>
      <c r="Q767" t="s">
        <v>3546</v>
      </c>
      <c r="R767" t="s">
        <v>56</v>
      </c>
      <c r="S767" t="s">
        <v>56</v>
      </c>
      <c r="T767">
        <v>3</v>
      </c>
      <c r="U767">
        <v>608.14</v>
      </c>
      <c r="V767">
        <v>0</v>
      </c>
      <c r="W767">
        <v>1824.42</v>
      </c>
      <c r="X767">
        <v>1214.8699999999999</v>
      </c>
      <c r="Y767">
        <v>609.54999999999995</v>
      </c>
      <c r="Z767" t="s">
        <v>34</v>
      </c>
      <c r="AA767" t="s">
        <v>35</v>
      </c>
    </row>
    <row r="768" spans="1:27">
      <c r="A768" t="s">
        <v>3547</v>
      </c>
      <c r="B768" t="s">
        <v>3548</v>
      </c>
      <c r="C768" t="s">
        <v>2009</v>
      </c>
      <c r="D768"/>
      <c r="E768" s="7">
        <f>IF(OR(D768="Invalid",D768&lt;0),"",D768)</f>
        <v>0</v>
      </c>
      <c r="F768" t="s">
        <v>3549</v>
      </c>
      <c r="G768" t="s">
        <v>40</v>
      </c>
      <c r="H768" t="str">
        <f>PROPER(TRIM(G768))</f>
        <v>Mira Das</v>
      </c>
      <c r="I768" t="s">
        <v>108</v>
      </c>
      <c r="J768" t="str">
        <f>PROPER(TRIM(I768))</f>
        <v>Corporate</v>
      </c>
      <c r="K768" t="s">
        <v>73</v>
      </c>
      <c r="L768" t="s">
        <v>235</v>
      </c>
      <c r="M768" t="s">
        <v>236</v>
      </c>
      <c r="N768" t="s">
        <v>30</v>
      </c>
      <c r="O768" t="str">
        <f>TRIM(N768)</f>
        <v>Office Supplies</v>
      </c>
      <c r="P768" t="s">
        <v>54</v>
      </c>
      <c r="Q768" t="s">
        <v>3550</v>
      </c>
      <c r="R768" t="s">
        <v>33</v>
      </c>
      <c r="S768" t="s">
        <v>33</v>
      </c>
      <c r="T768">
        <v>9</v>
      </c>
      <c r="U768">
        <v>2307.96</v>
      </c>
      <c r="V768">
        <v>0.2</v>
      </c>
      <c r="W768">
        <v>16617.310000000001</v>
      </c>
      <c r="X768">
        <v>9195.73</v>
      </c>
      <c r="Y768">
        <v>7421.58</v>
      </c>
      <c r="Z768" t="s">
        <v>34</v>
      </c>
      <c r="AA768" t="s">
        <v>78</v>
      </c>
    </row>
    <row r="769" spans="1:27">
      <c r="A769" t="s">
        <v>3551</v>
      </c>
      <c r="B769" t="s">
        <v>3552</v>
      </c>
      <c r="C769" t="s">
        <v>2708</v>
      </c>
      <c r="D769"/>
      <c r="E769" s="7">
        <f>IF(OR(D769="Invalid",D769&lt;0),"",D769)</f>
        <v>0</v>
      </c>
      <c r="F769" t="s">
        <v>3553</v>
      </c>
      <c r="G769" t="s">
        <v>72</v>
      </c>
      <c r="H769" t="str">
        <f>PROPER(TRIM(G769))</f>
        <v>Ananya Rao</v>
      </c>
      <c r="I769" t="s">
        <v>115</v>
      </c>
      <c r="J769" t="str">
        <f>PROPER(TRIM(I769))</f>
        <v>Home Office</v>
      </c>
      <c r="K769" t="s">
        <v>27</v>
      </c>
      <c r="L769" t="s">
        <v>174</v>
      </c>
      <c r="M769" t="s">
        <v>175</v>
      </c>
      <c r="N769" t="s">
        <v>918</v>
      </c>
      <c r="O769" t="str">
        <f>TRIM(N769)</f>
        <v>OFFICE SUPPLIES</v>
      </c>
      <c r="P769" t="s">
        <v>198</v>
      </c>
      <c r="Q769" t="s">
        <v>3554</v>
      </c>
      <c r="R769" t="s">
        <v>67</v>
      </c>
      <c r="S769" t="s">
        <v>67</v>
      </c>
      <c r="T769">
        <v>1</v>
      </c>
      <c r="U769">
        <v>1244.58</v>
      </c>
      <c r="V769">
        <v>0.25</v>
      </c>
      <c r="W769">
        <v>933.43</v>
      </c>
      <c r="X769">
        <v>583.09</v>
      </c>
      <c r="Y769">
        <v>350.34</v>
      </c>
      <c r="Z769" t="s">
        <v>34</v>
      </c>
      <c r="AA769" t="s">
        <v>35</v>
      </c>
    </row>
    <row r="770" spans="1:27">
      <c r="A770" t="s">
        <v>3555</v>
      </c>
      <c r="B770" t="s">
        <v>1812</v>
      </c>
      <c r="C770" t="s">
        <v>3556</v>
      </c>
      <c r="D770"/>
      <c r="E770" s="7">
        <f>IF(OR(D770="Invalid",D770&lt;0),"",D770)</f>
        <v>0</v>
      </c>
      <c r="F770" t="s">
        <v>3557</v>
      </c>
      <c r="G770" t="s">
        <v>168</v>
      </c>
      <c r="H770" t="str">
        <f>PROPER(TRIM(G770))</f>
        <v>Sneha Kapoor</v>
      </c>
      <c r="I770" t="s">
        <v>115</v>
      </c>
      <c r="J770" t="str">
        <f>PROPER(TRIM(I770))</f>
        <v>Home Office</v>
      </c>
      <c r="K770" t="s">
        <v>42</v>
      </c>
      <c r="L770" t="s">
        <v>311</v>
      </c>
      <c r="M770" t="s">
        <v>312</v>
      </c>
      <c r="N770" t="s">
        <v>30</v>
      </c>
      <c r="O770" t="str">
        <f>TRIM(N770)</f>
        <v>Office Supplies</v>
      </c>
      <c r="P770" t="s">
        <v>31</v>
      </c>
      <c r="Q770" t="s">
        <v>3558</v>
      </c>
      <c r="R770" t="s">
        <v>48</v>
      </c>
      <c r="S770" t="s">
        <v>48</v>
      </c>
      <c r="T770">
        <v>5</v>
      </c>
      <c r="U770">
        <v>3234.24</v>
      </c>
      <c r="V770">
        <v>0.1</v>
      </c>
      <c r="W770">
        <v>14554.08</v>
      </c>
      <c r="X770">
        <v>11166.84</v>
      </c>
      <c r="Y770">
        <v>3387.24</v>
      </c>
      <c r="Z770" t="s">
        <v>34</v>
      </c>
      <c r="AA770" t="s">
        <v>35</v>
      </c>
    </row>
    <row r="771" spans="1:27">
      <c r="A771" t="s">
        <v>3559</v>
      </c>
      <c r="B771" t="s">
        <v>3560</v>
      </c>
      <c r="C771" t="s">
        <v>2018</v>
      </c>
      <c r="D771"/>
      <c r="E771" s="7">
        <f>IF(OR(D771="Invalid",D771&lt;0),"",D771)</f>
        <v>0</v>
      </c>
      <c r="F771" t="s">
        <v>3561</v>
      </c>
      <c r="G771" t="s">
        <v>142</v>
      </c>
      <c r="H771" t="str">
        <f>PROPER(TRIM(G771))</f>
        <v>Priya Menon</v>
      </c>
      <c r="I771" t="s">
        <v>115</v>
      </c>
      <c r="J771" t="str">
        <f>PROPER(TRIM(I771))</f>
        <v>Home Office</v>
      </c>
      <c r="K771" t="s">
        <v>73</v>
      </c>
      <c r="L771" t="s">
        <v>249</v>
      </c>
      <c r="M771" t="s">
        <v>250</v>
      </c>
      <c r="N771" t="s">
        <v>45</v>
      </c>
      <c r="O771" t="str">
        <f>TRIM(N771)</f>
        <v>Furniture</v>
      </c>
      <c r="P771" t="s">
        <v>204</v>
      </c>
      <c r="Q771" t="s">
        <v>3562</v>
      </c>
      <c r="R771" t="s">
        <v>48</v>
      </c>
      <c r="S771" t="s">
        <v>48</v>
      </c>
      <c r="T771">
        <v>3</v>
      </c>
      <c r="U771">
        <v>3612.75</v>
      </c>
      <c r="V771">
        <v>0.25</v>
      </c>
      <c r="W771">
        <v>8128.69</v>
      </c>
      <c r="X771">
        <v>5071.66</v>
      </c>
      <c r="Y771">
        <v>3057.03</v>
      </c>
      <c r="Z771" t="s">
        <v>34</v>
      </c>
      <c r="AA771" t="s">
        <v>35</v>
      </c>
    </row>
    <row r="772" spans="1:27">
      <c r="A772" t="s">
        <v>3563</v>
      </c>
      <c r="B772" t="s">
        <v>2307</v>
      </c>
      <c r="C772" t="s">
        <v>2762</v>
      </c>
      <c r="D772"/>
      <c r="E772" s="7">
        <f>IF(OR(D772="Invalid",D772&lt;0),"",D772)</f>
        <v>0</v>
      </c>
      <c r="F772" t="s">
        <v>3564</v>
      </c>
      <c r="G772" t="s">
        <v>93</v>
      </c>
      <c r="H772" t="str">
        <f>PROPER(TRIM(G772))</f>
        <v>Neha Gupta</v>
      </c>
      <c r="I772" t="s">
        <v>26</v>
      </c>
      <c r="J772" t="str">
        <f>PROPER(TRIM(I772))</f>
        <v>Consumer</v>
      </c>
      <c r="K772" t="s">
        <v>27</v>
      </c>
      <c r="L772" t="s">
        <v>174</v>
      </c>
      <c r="M772" t="s">
        <v>175</v>
      </c>
      <c r="N772" t="s">
        <v>86</v>
      </c>
      <c r="O772" t="str">
        <f>TRIM(N772)</f>
        <v>Technology</v>
      </c>
      <c r="P772" t="s">
        <v>94</v>
      </c>
      <c r="Q772" t="s">
        <v>3565</v>
      </c>
      <c r="R772" t="s">
        <v>56</v>
      </c>
      <c r="S772" t="s">
        <v>56</v>
      </c>
      <c r="T772">
        <v>4</v>
      </c>
      <c r="U772">
        <v>863</v>
      </c>
      <c r="W772">
        <v>3106.8</v>
      </c>
      <c r="X772">
        <v>2376.62</v>
      </c>
      <c r="Y772">
        <v>730.18</v>
      </c>
      <c r="Z772" t="s">
        <v>34</v>
      </c>
      <c r="AA772" t="s">
        <v>35</v>
      </c>
    </row>
    <row r="773" spans="1:27">
      <c r="A773" t="s">
        <v>3566</v>
      </c>
      <c r="B773" t="s">
        <v>3567</v>
      </c>
      <c r="C773" t="s">
        <v>2623</v>
      </c>
      <c r="D773"/>
      <c r="E773" s="7">
        <f>IF(OR(D773="Invalid",D773&lt;0),"",D773)</f>
        <v>0</v>
      </c>
      <c r="F773" t="s">
        <v>691</v>
      </c>
      <c r="G773" t="s">
        <v>72</v>
      </c>
      <c r="H773" t="str">
        <f>PROPER(TRIM(G773))</f>
        <v>Ananya Rao</v>
      </c>
      <c r="I773" t="s">
        <v>26</v>
      </c>
      <c r="J773" t="str">
        <f>PROPER(TRIM(I773))</f>
        <v>Consumer</v>
      </c>
      <c r="K773" t="s">
        <v>27</v>
      </c>
      <c r="L773" t="s">
        <v>323</v>
      </c>
      <c r="M773" t="s">
        <v>324</v>
      </c>
      <c r="N773" t="s">
        <v>86</v>
      </c>
      <c r="O773" t="str">
        <f>TRIM(N773)</f>
        <v>Technology</v>
      </c>
      <c r="P773" t="s">
        <v>382</v>
      </c>
      <c r="Q773" t="s">
        <v>3568</v>
      </c>
      <c r="R773" t="s">
        <v>33</v>
      </c>
      <c r="S773" t="s">
        <v>33</v>
      </c>
      <c r="T773">
        <v>4</v>
      </c>
      <c r="U773">
        <v>2131.41</v>
      </c>
      <c r="W773">
        <v>6394.23</v>
      </c>
      <c r="X773">
        <v>3520.69</v>
      </c>
      <c r="Y773">
        <v>2873.54</v>
      </c>
      <c r="Z773" t="s">
        <v>34</v>
      </c>
      <c r="AA773" t="s">
        <v>35</v>
      </c>
    </row>
    <row r="774" spans="1:27">
      <c r="A774" t="s">
        <v>3569</v>
      </c>
      <c r="B774" t="s">
        <v>171</v>
      </c>
      <c r="C774" t="s">
        <v>1571</v>
      </c>
      <c r="D774"/>
      <c r="E774" s="7">
        <f>IF(OR(D774="Invalid",D774&lt;0),"",D774)</f>
        <v>0</v>
      </c>
      <c r="F774" t="s">
        <v>3570</v>
      </c>
      <c r="G774" t="s">
        <v>210</v>
      </c>
      <c r="H774" t="str">
        <f>PROPER(TRIM(G774))</f>
        <v>Diya Patel</v>
      </c>
      <c r="I774" t="s">
        <v>26</v>
      </c>
      <c r="J774" t="str">
        <f>PROPER(TRIM(I774))</f>
        <v>Consumer</v>
      </c>
      <c r="K774" t="s">
        <v>62</v>
      </c>
      <c r="L774" t="s">
        <v>339</v>
      </c>
      <c r="M774" t="s">
        <v>340</v>
      </c>
      <c r="N774" t="s">
        <v>45</v>
      </c>
      <c r="O774" t="str">
        <f>TRIM(N774)</f>
        <v>Furniture</v>
      </c>
      <c r="P774" t="s">
        <v>76</v>
      </c>
      <c r="Q774" t="s">
        <v>3571</v>
      </c>
      <c r="R774" t="s">
        <v>48</v>
      </c>
      <c r="S774" t="s">
        <v>48</v>
      </c>
      <c r="T774">
        <v>1</v>
      </c>
      <c r="U774">
        <v>3903.22</v>
      </c>
      <c r="V774">
        <v>0.05</v>
      </c>
      <c r="W774">
        <v>3708.06</v>
      </c>
      <c r="X774">
        <v>2760.29</v>
      </c>
      <c r="Y774">
        <v>947.77</v>
      </c>
      <c r="Z774" t="s">
        <v>137</v>
      </c>
      <c r="AA774" t="s">
        <v>78</v>
      </c>
    </row>
    <row r="775" spans="1:27">
      <c r="A775" t="s">
        <v>3572</v>
      </c>
      <c r="B775" t="s">
        <v>3573</v>
      </c>
      <c r="C775" t="s">
        <v>3574</v>
      </c>
      <c r="D775"/>
      <c r="E775" s="7">
        <f>IF(OR(D775="Invalid",D775&lt;0),"",D775)</f>
        <v>0</v>
      </c>
      <c r="F775" t="s">
        <v>3575</v>
      </c>
      <c r="G775" t="s">
        <v>25</v>
      </c>
      <c r="H775" t="str">
        <f>PROPER(TRIM(G775))</f>
        <v>Karan Malhotra</v>
      </c>
      <c r="I775" t="s">
        <v>115</v>
      </c>
      <c r="J775" t="str">
        <f>PROPER(TRIM(I775))</f>
        <v>Home Office</v>
      </c>
      <c r="K775" t="s">
        <v>73</v>
      </c>
      <c r="L775" t="s">
        <v>235</v>
      </c>
      <c r="M775" t="s">
        <v>236</v>
      </c>
      <c r="N775" t="s">
        <v>86</v>
      </c>
      <c r="O775" t="str">
        <f>TRIM(N775)</f>
        <v>Technology</v>
      </c>
      <c r="P775" t="s">
        <v>223</v>
      </c>
      <c r="Q775" t="s">
        <v>3576</v>
      </c>
      <c r="R775" t="s">
        <v>4124</v>
      </c>
      <c r="S775" t="s">
        <v>4111</v>
      </c>
      <c r="T775">
        <v>4</v>
      </c>
      <c r="U775">
        <v>2945.07</v>
      </c>
      <c r="V775">
        <v>0.2</v>
      </c>
      <c r="W775">
        <v>9424.2199999999993</v>
      </c>
      <c r="X775">
        <v>6178.92</v>
      </c>
      <c r="Y775">
        <v>3245.3</v>
      </c>
      <c r="Z775" t="s">
        <v>34</v>
      </c>
      <c r="AA775" t="s">
        <v>35</v>
      </c>
    </row>
    <row r="776" spans="1:27">
      <c r="A776" t="s">
        <v>3577</v>
      </c>
      <c r="B776" t="s">
        <v>3578</v>
      </c>
      <c r="C776" t="s">
        <v>1799</v>
      </c>
      <c r="D776"/>
      <c r="E776" s="7">
        <f>IF(OR(D776="Invalid",D776&lt;0),"",D776)</f>
        <v>0</v>
      </c>
      <c r="F776" t="s">
        <v>3579</v>
      </c>
      <c r="G776" t="s">
        <v>366</v>
      </c>
      <c r="H776" t="str">
        <f>PROPER(TRIM(G776))</f>
        <v>Kabir Singh</v>
      </c>
      <c r="I776" t="s">
        <v>26</v>
      </c>
      <c r="J776" t="str">
        <f>PROPER(TRIM(I776))</f>
        <v>Consumer</v>
      </c>
      <c r="K776" t="s">
        <v>73</v>
      </c>
      <c r="L776" t="s">
        <v>28</v>
      </c>
      <c r="M776" t="s">
        <v>135</v>
      </c>
      <c r="N776" t="s">
        <v>86</v>
      </c>
      <c r="O776" t="str">
        <f>TRIM(N776)</f>
        <v>Technology</v>
      </c>
      <c r="P776" t="s">
        <v>382</v>
      </c>
      <c r="Q776" t="s">
        <v>3580</v>
      </c>
      <c r="R776" t="s">
        <v>4124</v>
      </c>
      <c r="S776" t="s">
        <v>4111</v>
      </c>
      <c r="T776">
        <v>9</v>
      </c>
      <c r="U776">
        <v>1076.75</v>
      </c>
      <c r="V776">
        <v>0.2</v>
      </c>
      <c r="W776">
        <v>7752.6</v>
      </c>
      <c r="X776">
        <v>4689.3</v>
      </c>
      <c r="Y776">
        <v>3063.3</v>
      </c>
      <c r="Z776" t="s">
        <v>34</v>
      </c>
      <c r="AA776" t="s">
        <v>35</v>
      </c>
    </row>
    <row r="777" spans="1:27">
      <c r="A777" t="s">
        <v>3581</v>
      </c>
      <c r="B777" t="s">
        <v>3582</v>
      </c>
      <c r="C777" t="s">
        <v>3583</v>
      </c>
      <c r="D777"/>
      <c r="E777" s="7">
        <f>IF(OR(D777="Invalid",D777&lt;0),"",D777)</f>
        <v>0</v>
      </c>
      <c r="F777" t="s">
        <v>3584</v>
      </c>
      <c r="G777" t="s">
        <v>61</v>
      </c>
      <c r="H777" t="str">
        <f>PROPER(TRIM(G777))</f>
        <v>Arjun Bose</v>
      </c>
      <c r="I777" t="s">
        <v>26</v>
      </c>
      <c r="J777" t="str">
        <f>PROPER(TRIM(I777))</f>
        <v>Consumer</v>
      </c>
      <c r="K777" t="s">
        <v>27</v>
      </c>
      <c r="L777" t="s">
        <v>323</v>
      </c>
      <c r="M777" t="s">
        <v>324</v>
      </c>
      <c r="N777" t="s">
        <v>86</v>
      </c>
      <c r="O777" t="str">
        <f>TRIM(N777)</f>
        <v>Technology</v>
      </c>
      <c r="P777" t="s">
        <v>87</v>
      </c>
      <c r="Q777" t="s">
        <v>3585</v>
      </c>
      <c r="R777" t="s">
        <v>67</v>
      </c>
      <c r="S777" t="s">
        <v>67</v>
      </c>
      <c r="T777">
        <v>8</v>
      </c>
      <c r="U777">
        <v>3956.12</v>
      </c>
      <c r="V777">
        <v>0.25</v>
      </c>
      <c r="W777">
        <v>23736.720000000001</v>
      </c>
      <c r="X777">
        <v>13890.9</v>
      </c>
      <c r="Y777">
        <v>9845.82</v>
      </c>
      <c r="Z777" t="s">
        <v>34</v>
      </c>
      <c r="AA777" t="s">
        <v>35</v>
      </c>
    </row>
    <row r="778" spans="1:27">
      <c r="A778" t="s">
        <v>3586</v>
      </c>
      <c r="B778" t="s">
        <v>3587</v>
      </c>
      <c r="C778" t="s">
        <v>2351</v>
      </c>
      <c r="D778"/>
      <c r="E778" s="7">
        <f>IF(OR(D778="Invalid",D778&lt;0),"",D778)</f>
        <v>0</v>
      </c>
      <c r="F778" t="s">
        <v>3588</v>
      </c>
      <c r="G778" t="s">
        <v>107</v>
      </c>
      <c r="H778" t="str">
        <f>PROPER(TRIM(G778))</f>
        <v>Aditi Sen</v>
      </c>
      <c r="I778" t="s">
        <v>41</v>
      </c>
      <c r="J778" t="str">
        <f>PROPER(TRIM(I778))</f>
        <v>Small Business</v>
      </c>
      <c r="K778" t="s">
        <v>27</v>
      </c>
      <c r="L778" t="s">
        <v>28</v>
      </c>
      <c r="M778" t="s">
        <v>29</v>
      </c>
      <c r="N778" t="s">
        <v>86</v>
      </c>
      <c r="O778" t="str">
        <f>TRIM(N778)</f>
        <v>Technology</v>
      </c>
      <c r="P778" t="s">
        <v>94</v>
      </c>
      <c r="Q778" t="s">
        <v>3589</v>
      </c>
      <c r="R778" t="s">
        <v>33</v>
      </c>
      <c r="S778" t="s">
        <v>33</v>
      </c>
      <c r="T778">
        <v>7</v>
      </c>
      <c r="U778">
        <v>3857.13</v>
      </c>
      <c r="V778">
        <v>0</v>
      </c>
      <c r="W778">
        <v>26999.91</v>
      </c>
      <c r="X778">
        <v>17815.98</v>
      </c>
      <c r="Y778">
        <v>9183.93</v>
      </c>
      <c r="Z778" t="s">
        <v>34</v>
      </c>
      <c r="AA778" t="s">
        <v>35</v>
      </c>
    </row>
    <row r="779" spans="1:27">
      <c r="A779" t="s">
        <v>3590</v>
      </c>
      <c r="B779" t="s">
        <v>3591</v>
      </c>
      <c r="C779" t="s">
        <v>2280</v>
      </c>
      <c r="D779"/>
      <c r="E779" s="7">
        <f>IF(OR(D779="Invalid",D779&lt;0),"",D779)</f>
        <v>0</v>
      </c>
      <c r="F779" t="s">
        <v>3592</v>
      </c>
      <c r="G779" t="s">
        <v>366</v>
      </c>
      <c r="H779" t="str">
        <f>PROPER(TRIM(G779))</f>
        <v>Kabir Singh</v>
      </c>
      <c r="I779" t="s">
        <v>41</v>
      </c>
      <c r="J779" t="str">
        <f>PROPER(TRIM(I779))</f>
        <v>Small Business</v>
      </c>
      <c r="K779" t="s">
        <v>73</v>
      </c>
      <c r="L779" t="s">
        <v>84</v>
      </c>
      <c r="M779" t="s">
        <v>85</v>
      </c>
      <c r="N779" t="s">
        <v>86</v>
      </c>
      <c r="O779" t="str">
        <f>TRIM(N779)</f>
        <v>Technology</v>
      </c>
      <c r="P779" t="s">
        <v>87</v>
      </c>
      <c r="Q779" t="s">
        <v>3593</v>
      </c>
      <c r="R779" t="s">
        <v>33</v>
      </c>
      <c r="S779" t="s">
        <v>33</v>
      </c>
      <c r="T779">
        <v>4</v>
      </c>
      <c r="U779">
        <v>1489.74</v>
      </c>
      <c r="V779">
        <v>0.15</v>
      </c>
      <c r="W779">
        <v>5065.12</v>
      </c>
      <c r="X779">
        <v>3530.12</v>
      </c>
      <c r="Y779">
        <v>1535</v>
      </c>
      <c r="Z779" t="s">
        <v>200</v>
      </c>
      <c r="AA779" t="s">
        <v>78</v>
      </c>
    </row>
    <row r="780" spans="1:27">
      <c r="A780" t="s">
        <v>3594</v>
      </c>
      <c r="B780" t="s">
        <v>715</v>
      </c>
      <c r="C780" t="s">
        <v>3595</v>
      </c>
      <c r="D780"/>
      <c r="E780" s="7">
        <f>IF(OR(D780="Invalid",D780&lt;0),"",D780)</f>
        <v>0</v>
      </c>
      <c r="F780" t="s">
        <v>3596</v>
      </c>
      <c r="G780" t="s">
        <v>25</v>
      </c>
      <c r="H780" t="str">
        <f>PROPER(TRIM(G780))</f>
        <v>Karan Malhotra</v>
      </c>
      <c r="I780" t="s">
        <v>41</v>
      </c>
      <c r="J780" t="str">
        <f>PROPER(TRIM(I780))</f>
        <v>Small Business</v>
      </c>
      <c r="K780" t="s">
        <v>27</v>
      </c>
      <c r="L780" t="s">
        <v>323</v>
      </c>
      <c r="M780" t="s">
        <v>324</v>
      </c>
      <c r="N780" t="s">
        <v>86</v>
      </c>
      <c r="O780" t="str">
        <f>TRIM(N780)</f>
        <v>Technology</v>
      </c>
      <c r="P780" t="s">
        <v>94</v>
      </c>
      <c r="Q780" t="s">
        <v>3597</v>
      </c>
      <c r="R780" t="s">
        <v>33</v>
      </c>
      <c r="S780" t="s">
        <v>33</v>
      </c>
      <c r="T780">
        <v>4</v>
      </c>
      <c r="U780">
        <v>1676.88</v>
      </c>
      <c r="V780">
        <v>0</v>
      </c>
      <c r="W780">
        <v>6707.52</v>
      </c>
      <c r="X780">
        <v>5672.57</v>
      </c>
      <c r="Y780">
        <v>1034.95</v>
      </c>
      <c r="Z780" t="s">
        <v>34</v>
      </c>
      <c r="AA780" t="s">
        <v>35</v>
      </c>
    </row>
    <row r="781" spans="1:27">
      <c r="A781" t="s">
        <v>3598</v>
      </c>
      <c r="B781" t="s">
        <v>2205</v>
      </c>
      <c r="C781" t="s">
        <v>3599</v>
      </c>
      <c r="D781"/>
      <c r="E781" s="7">
        <f>IF(OR(D781="Invalid",D781&lt;0),"",D781)</f>
        <v>0</v>
      </c>
      <c r="F781" t="s">
        <v>3600</v>
      </c>
      <c r="G781" t="s">
        <v>142</v>
      </c>
      <c r="H781" t="str">
        <f>PROPER(TRIM(G781))</f>
        <v>Priya Menon</v>
      </c>
      <c r="I781" t="s">
        <v>41</v>
      </c>
      <c r="J781" t="str">
        <f>PROPER(TRIM(I781))</f>
        <v>Small Business</v>
      </c>
      <c r="K781" t="s">
        <v>62</v>
      </c>
      <c r="L781" t="s">
        <v>100</v>
      </c>
      <c r="M781" t="s">
        <v>101</v>
      </c>
      <c r="N781" t="s">
        <v>45</v>
      </c>
      <c r="O781" t="str">
        <f>TRIM(N781)</f>
        <v>Furniture</v>
      </c>
      <c r="P781" t="s">
        <v>76</v>
      </c>
      <c r="Q781" t="s">
        <v>3601</v>
      </c>
      <c r="R781" t="s">
        <v>67</v>
      </c>
      <c r="S781" t="s">
        <v>67</v>
      </c>
      <c r="T781">
        <v>4</v>
      </c>
      <c r="U781">
        <v>3153.54</v>
      </c>
      <c r="V781">
        <v>0.05</v>
      </c>
      <c r="W781">
        <v>11983.45</v>
      </c>
      <c r="X781">
        <v>8572.9</v>
      </c>
      <c r="Y781">
        <v>3410.55</v>
      </c>
      <c r="Z781" t="s">
        <v>34</v>
      </c>
      <c r="AA781" t="s">
        <v>35</v>
      </c>
    </row>
    <row r="782" spans="1:27">
      <c r="A782" t="s">
        <v>3602</v>
      </c>
      <c r="B782" t="s">
        <v>3603</v>
      </c>
      <c r="C782" t="s">
        <v>2654</v>
      </c>
      <c r="D782"/>
      <c r="E782" s="7">
        <f>IF(OR(D782="Invalid",D782&lt;0),"",D782)</f>
        <v>0</v>
      </c>
      <c r="F782" t="s">
        <v>3604</v>
      </c>
      <c r="G782" t="s">
        <v>210</v>
      </c>
      <c r="H782" t="str">
        <f>PROPER(TRIM(G782))</f>
        <v>Diya Patel</v>
      </c>
      <c r="I782" t="s">
        <v>41</v>
      </c>
      <c r="J782" t="str">
        <f>PROPER(TRIM(I782))</f>
        <v>Small Business</v>
      </c>
      <c r="K782" t="s">
        <v>73</v>
      </c>
      <c r="L782" t="s">
        <v>28</v>
      </c>
      <c r="M782" t="s">
        <v>135</v>
      </c>
      <c r="N782" t="s">
        <v>45</v>
      </c>
      <c r="O782" t="str">
        <f>TRIM(N782)</f>
        <v>Furniture</v>
      </c>
      <c r="P782" t="s">
        <v>76</v>
      </c>
      <c r="Q782" t="s">
        <v>3605</v>
      </c>
      <c r="R782" t="s">
        <v>48</v>
      </c>
      <c r="S782" t="s">
        <v>48</v>
      </c>
      <c r="T782">
        <v>4</v>
      </c>
      <c r="U782">
        <v>426.43</v>
      </c>
      <c r="V782">
        <v>0.2</v>
      </c>
      <c r="W782">
        <v>1364.58</v>
      </c>
      <c r="X782">
        <v>978.16</v>
      </c>
      <c r="Y782">
        <v>386.42</v>
      </c>
      <c r="Z782" t="s">
        <v>34</v>
      </c>
      <c r="AA782" t="s">
        <v>35</v>
      </c>
    </row>
    <row r="783" spans="1:27">
      <c r="A783" t="s">
        <v>3606</v>
      </c>
      <c r="B783" t="s">
        <v>3607</v>
      </c>
      <c r="C783" t="s">
        <v>2129</v>
      </c>
      <c r="D783"/>
      <c r="E783" s="7">
        <f>IF(OR(D783="Invalid",D783&lt;0),"",D783)</f>
        <v>0</v>
      </c>
      <c r="F783" t="s">
        <v>3608</v>
      </c>
      <c r="G783" t="s">
        <v>25</v>
      </c>
      <c r="H783" t="str">
        <f>PROPER(TRIM(G783))</f>
        <v>Karan Malhotra</v>
      </c>
      <c r="I783" t="s">
        <v>115</v>
      </c>
      <c r="J783" t="str">
        <f>PROPER(TRIM(I783))</f>
        <v>Home Office</v>
      </c>
      <c r="K783" t="s">
        <v>73</v>
      </c>
      <c r="L783" t="s">
        <v>28</v>
      </c>
      <c r="M783" t="s">
        <v>135</v>
      </c>
      <c r="N783" t="s">
        <v>30</v>
      </c>
      <c r="O783" t="str">
        <f>TRIM(N783)</f>
        <v>Office Supplies</v>
      </c>
      <c r="P783" t="s">
        <v>109</v>
      </c>
      <c r="Q783" t="s">
        <v>3609</v>
      </c>
      <c r="R783" t="s">
        <v>56</v>
      </c>
      <c r="S783" t="s">
        <v>56</v>
      </c>
      <c r="T783">
        <v>3</v>
      </c>
      <c r="U783">
        <v>383.4</v>
      </c>
      <c r="V783">
        <v>0.25</v>
      </c>
      <c r="W783">
        <v>862.65</v>
      </c>
      <c r="X783">
        <v>603.73</v>
      </c>
      <c r="Y783">
        <v>258.92</v>
      </c>
      <c r="Z783" t="s">
        <v>137</v>
      </c>
      <c r="AA783" t="s">
        <v>125</v>
      </c>
    </row>
    <row r="784" spans="1:27">
      <c r="A784" t="s">
        <v>3610</v>
      </c>
      <c r="B784" t="s">
        <v>1435</v>
      </c>
      <c r="C784" t="s">
        <v>3611</v>
      </c>
      <c r="D784"/>
      <c r="E784" s="7">
        <f>IF(OR(D784="Invalid",D784&lt;0),"",D784)</f>
        <v>0</v>
      </c>
      <c r="F784" t="s">
        <v>3612</v>
      </c>
      <c r="G784" t="s">
        <v>40</v>
      </c>
      <c r="H784" t="str">
        <f>PROPER(TRIM(G784))</f>
        <v>Mira Das</v>
      </c>
      <c r="I784" t="s">
        <v>108</v>
      </c>
      <c r="J784" t="str">
        <f>PROPER(TRIM(I784))</f>
        <v>Corporate</v>
      </c>
      <c r="K784" t="s">
        <v>42</v>
      </c>
      <c r="L784" t="s">
        <v>121</v>
      </c>
      <c r="M784" t="s">
        <v>122</v>
      </c>
      <c r="N784" t="s">
        <v>86</v>
      </c>
      <c r="O784" t="str">
        <f>TRIM(N784)</f>
        <v>Technology</v>
      </c>
      <c r="P784" t="s">
        <v>94</v>
      </c>
      <c r="Q784" t="s">
        <v>3613</v>
      </c>
      <c r="R784" t="s">
        <v>67</v>
      </c>
      <c r="S784" t="s">
        <v>67</v>
      </c>
      <c r="T784">
        <v>2</v>
      </c>
      <c r="U784">
        <v>669.63</v>
      </c>
      <c r="V784">
        <v>0.15</v>
      </c>
      <c r="W784">
        <v>1138.3699999999999</v>
      </c>
      <c r="X784">
        <v>797.34</v>
      </c>
      <c r="Y784">
        <v>341.03</v>
      </c>
      <c r="Z784" t="s">
        <v>34</v>
      </c>
      <c r="AA784" t="s">
        <v>35</v>
      </c>
    </row>
    <row r="785" spans="1:27">
      <c r="A785" t="s">
        <v>3614</v>
      </c>
      <c r="B785" t="s">
        <v>3615</v>
      </c>
      <c r="C785" t="s">
        <v>3616</v>
      </c>
      <c r="D785"/>
      <c r="E785" s="7">
        <f>IF(OR(D785="Invalid",D785&lt;0),"",D785)</f>
        <v>0</v>
      </c>
      <c r="F785" t="s">
        <v>3617</v>
      </c>
      <c r="G785" t="s">
        <v>162</v>
      </c>
      <c r="H785" t="str">
        <f>PROPER(TRIM(G785))</f>
        <v>Aarav Sharma</v>
      </c>
      <c r="I785" t="s">
        <v>41</v>
      </c>
      <c r="J785" t="str">
        <f>PROPER(TRIM(I785))</f>
        <v>Small Business</v>
      </c>
      <c r="K785" t="s">
        <v>42</v>
      </c>
      <c r="L785" t="s">
        <v>186</v>
      </c>
      <c r="M785" t="s">
        <v>187</v>
      </c>
      <c r="N785" t="s">
        <v>30</v>
      </c>
      <c r="O785" t="str">
        <f>TRIM(N785)</f>
        <v>Office Supplies</v>
      </c>
      <c r="P785" t="s">
        <v>54</v>
      </c>
      <c r="Q785" t="s">
        <v>3618</v>
      </c>
      <c r="R785" t="s">
        <v>33</v>
      </c>
      <c r="S785" t="s">
        <v>33</v>
      </c>
      <c r="T785">
        <v>1</v>
      </c>
      <c r="U785">
        <v>2581.9299999999998</v>
      </c>
      <c r="V785">
        <v>0.05</v>
      </c>
      <c r="W785">
        <v>2452.83</v>
      </c>
      <c r="X785">
        <v>1906.7</v>
      </c>
      <c r="Y785">
        <v>546.13</v>
      </c>
      <c r="Z785" t="s">
        <v>34</v>
      </c>
      <c r="AA785" t="s">
        <v>35</v>
      </c>
    </row>
    <row r="786" spans="1:27">
      <c r="A786" t="s">
        <v>3619</v>
      </c>
      <c r="B786" t="s">
        <v>3620</v>
      </c>
      <c r="C786" t="s">
        <v>2553</v>
      </c>
      <c r="D786"/>
      <c r="E786" s="7">
        <f>IF(OR(D786="Invalid",D786&lt;0),"",D786)</f>
        <v>0</v>
      </c>
      <c r="F786" t="s">
        <v>3621</v>
      </c>
      <c r="G786" t="s">
        <v>142</v>
      </c>
      <c r="H786" t="str">
        <f>PROPER(TRIM(G786))</f>
        <v>Priya Menon</v>
      </c>
      <c r="I786" t="s">
        <v>108</v>
      </c>
      <c r="J786" t="str">
        <f>PROPER(TRIM(I786))</f>
        <v>Corporate</v>
      </c>
      <c r="K786" t="s">
        <v>3622</v>
      </c>
      <c r="L786" t="s">
        <v>154</v>
      </c>
      <c r="M786" t="s">
        <v>155</v>
      </c>
      <c r="N786" t="s">
        <v>86</v>
      </c>
      <c r="O786" t="str">
        <f>TRIM(N786)</f>
        <v>Technology</v>
      </c>
      <c r="P786" t="s">
        <v>94</v>
      </c>
      <c r="Q786" t="s">
        <v>3623</v>
      </c>
      <c r="R786" t="s">
        <v>56</v>
      </c>
      <c r="S786" t="s">
        <v>56</v>
      </c>
      <c r="T786">
        <v>4</v>
      </c>
      <c r="U786">
        <v>418.18</v>
      </c>
      <c r="V786">
        <v>0.05</v>
      </c>
      <c r="W786">
        <v>1589.08</v>
      </c>
      <c r="X786">
        <v>1084.6600000000001</v>
      </c>
      <c r="Y786">
        <v>504.42</v>
      </c>
      <c r="Z786" t="s">
        <v>34</v>
      </c>
      <c r="AA786" t="s">
        <v>35</v>
      </c>
    </row>
    <row r="787" spans="1:27">
      <c r="A787" t="s">
        <v>3624</v>
      </c>
      <c r="B787" t="s">
        <v>3625</v>
      </c>
      <c r="C787" t="s">
        <v>273</v>
      </c>
      <c r="D787"/>
      <c r="E787" s="7">
        <f>IF(OR(D787="Invalid",D787&lt;0),"",D787)</f>
        <v>0</v>
      </c>
      <c r="F787" t="s">
        <v>3626</v>
      </c>
      <c r="G787" t="s">
        <v>210</v>
      </c>
      <c r="H787" t="str">
        <f>PROPER(TRIM(G787))</f>
        <v>Diya Patel</v>
      </c>
      <c r="I787" t="s">
        <v>41</v>
      </c>
      <c r="J787" t="str">
        <f>PROPER(TRIM(I787))</f>
        <v>Small Business</v>
      </c>
      <c r="K787" t="s">
        <v>27</v>
      </c>
      <c r="L787" t="s">
        <v>323</v>
      </c>
      <c r="M787" t="s">
        <v>324</v>
      </c>
      <c r="N787" t="s">
        <v>30</v>
      </c>
      <c r="O787" t="str">
        <f>TRIM(N787)</f>
        <v>Office Supplies</v>
      </c>
      <c r="P787" t="s">
        <v>156</v>
      </c>
      <c r="Q787" t="s">
        <v>3627</v>
      </c>
      <c r="R787" t="s">
        <v>48</v>
      </c>
      <c r="S787" t="s">
        <v>48</v>
      </c>
      <c r="T787">
        <v>2</v>
      </c>
      <c r="U787">
        <v>3012.94</v>
      </c>
      <c r="V787">
        <v>0.25</v>
      </c>
      <c r="W787">
        <v>4519.41</v>
      </c>
      <c r="X787">
        <v>3504.16</v>
      </c>
      <c r="Y787">
        <v>1275.55</v>
      </c>
      <c r="Z787" t="s">
        <v>200</v>
      </c>
      <c r="AA787" t="s">
        <v>78</v>
      </c>
    </row>
    <row r="788" spans="1:27">
      <c r="A788" t="s">
        <v>3628</v>
      </c>
      <c r="B788" t="s">
        <v>1271</v>
      </c>
      <c r="C788" t="s">
        <v>2853</v>
      </c>
      <c r="D788"/>
      <c r="E788" s="7">
        <f>IF(OR(D788="Invalid",D788&lt;0),"",D788)</f>
        <v>0</v>
      </c>
      <c r="F788" t="s">
        <v>3629</v>
      </c>
      <c r="G788" t="s">
        <v>72</v>
      </c>
      <c r="H788" t="str">
        <f>PROPER(TRIM(G788))</f>
        <v>Ananya Rao</v>
      </c>
      <c r="I788" t="s">
        <v>108</v>
      </c>
      <c r="J788" t="str">
        <f>PROPER(TRIM(I788))</f>
        <v>Corporate</v>
      </c>
      <c r="K788" t="s">
        <v>27</v>
      </c>
      <c r="L788" t="s">
        <v>28</v>
      </c>
      <c r="M788" t="s">
        <v>29</v>
      </c>
      <c r="N788" t="s">
        <v>45</v>
      </c>
      <c r="O788" t="str">
        <f>TRIM(N788)</f>
        <v>Furniture</v>
      </c>
      <c r="P788" t="s">
        <v>65</v>
      </c>
      <c r="Q788" t="s">
        <v>3630</v>
      </c>
      <c r="R788" t="s">
        <v>4124</v>
      </c>
      <c r="S788" t="s">
        <v>4111</v>
      </c>
      <c r="T788">
        <v>4</v>
      </c>
      <c r="U788">
        <v>715.45</v>
      </c>
      <c r="V788">
        <v>0.05</v>
      </c>
      <c r="W788">
        <v>2718.71</v>
      </c>
      <c r="X788">
        <v>2065.0500000000002</v>
      </c>
      <c r="Y788">
        <v>653.66</v>
      </c>
      <c r="Z788" t="s">
        <v>124</v>
      </c>
      <c r="AA788" t="s">
        <v>125</v>
      </c>
    </row>
    <row r="789" spans="1:27">
      <c r="A789" t="s">
        <v>3631</v>
      </c>
      <c r="B789" t="s">
        <v>1324</v>
      </c>
      <c r="C789" t="s">
        <v>3632</v>
      </c>
      <c r="D789"/>
      <c r="E789" s="7">
        <f>IF(OR(D789="Invalid",D789&lt;0),"",D789)</f>
        <v>0</v>
      </c>
      <c r="F789" t="s">
        <v>3633</v>
      </c>
      <c r="G789" t="s">
        <v>72</v>
      </c>
      <c r="H789" t="str">
        <f>PROPER(TRIM(G789))</f>
        <v>Ananya Rao</v>
      </c>
      <c r="I789" t="s">
        <v>115</v>
      </c>
      <c r="J789" t="str">
        <f>PROPER(TRIM(I789))</f>
        <v>Home Office</v>
      </c>
      <c r="K789" t="s">
        <v>42</v>
      </c>
      <c r="L789" t="s">
        <v>186</v>
      </c>
      <c r="M789" t="s">
        <v>187</v>
      </c>
      <c r="N789" t="s">
        <v>30</v>
      </c>
      <c r="O789" t="str">
        <f>TRIM(N789)</f>
        <v>Office Supplies</v>
      </c>
      <c r="P789" t="s">
        <v>31</v>
      </c>
      <c r="Q789" t="s">
        <v>3634</v>
      </c>
      <c r="R789" t="s">
        <v>33</v>
      </c>
      <c r="S789" t="s">
        <v>33</v>
      </c>
      <c r="T789">
        <v>2</v>
      </c>
      <c r="U789">
        <v>3718.77</v>
      </c>
      <c r="V789">
        <v>0.05</v>
      </c>
      <c r="W789">
        <v>7065.66</v>
      </c>
      <c r="X789">
        <v>4915.2700000000004</v>
      </c>
      <c r="Y789">
        <v>2150.39</v>
      </c>
      <c r="Z789" t="s">
        <v>34</v>
      </c>
      <c r="AA789" t="s">
        <v>35</v>
      </c>
    </row>
    <row r="790" spans="1:27">
      <c r="A790" t="s">
        <v>3635</v>
      </c>
      <c r="B790" t="s">
        <v>1299</v>
      </c>
      <c r="C790" t="s">
        <v>538</v>
      </c>
      <c r="D790"/>
      <c r="E790" s="7">
        <f>IF(OR(D790="Invalid",D790&lt;0),"",D790)</f>
        <v>0</v>
      </c>
      <c r="F790" t="s">
        <v>3636</v>
      </c>
      <c r="G790" t="s">
        <v>53</v>
      </c>
      <c r="H790" t="str">
        <f>PROPER(TRIM(G790))</f>
        <v>Isha Nair</v>
      </c>
      <c r="I790" t="s">
        <v>108</v>
      </c>
      <c r="J790" t="str">
        <f>PROPER(TRIM(I790))</f>
        <v>Corporate</v>
      </c>
      <c r="K790" t="s">
        <v>27</v>
      </c>
      <c r="L790" t="s">
        <v>174</v>
      </c>
      <c r="M790" t="s">
        <v>175</v>
      </c>
      <c r="N790" t="s">
        <v>45</v>
      </c>
      <c r="O790" t="str">
        <f>TRIM(N790)</f>
        <v>Furniture</v>
      </c>
      <c r="P790" t="s">
        <v>76</v>
      </c>
      <c r="Q790" t="s">
        <v>3637</v>
      </c>
      <c r="R790" t="s">
        <v>67</v>
      </c>
      <c r="S790" t="s">
        <v>67</v>
      </c>
      <c r="T790">
        <v>8</v>
      </c>
      <c r="U790">
        <v>2487.64</v>
      </c>
      <c r="V790">
        <v>0.1</v>
      </c>
      <c r="W790">
        <v>17911.009999999998</v>
      </c>
      <c r="X790">
        <v>11546.05</v>
      </c>
      <c r="Y790">
        <v>6364.96</v>
      </c>
      <c r="Z790" t="s">
        <v>200</v>
      </c>
      <c r="AA790" t="s">
        <v>125</v>
      </c>
    </row>
    <row r="791" spans="1:27">
      <c r="A791" t="s">
        <v>3638</v>
      </c>
      <c r="B791" s="4" t="s">
        <v>3639</v>
      </c>
      <c r="C791" s="4" t="s">
        <v>2324</v>
      </c>
      <c r="D791" s="4" t="str">
        <f>IF(C679&lt;B679,"Invalid","OK")</f>
        <v>OK</v>
      </c>
      <c r="E791" s="7" t="str">
        <f>IF(OR(D791="Invalid",D791&lt;0),"",D791)</f>
        <v>OK</v>
      </c>
      <c r="F791" t="s">
        <v>3640</v>
      </c>
      <c r="G791" t="s">
        <v>142</v>
      </c>
      <c r="H791" t="str">
        <f>PROPER(TRIM(G791))</f>
        <v>Priya Menon</v>
      </c>
      <c r="I791" t="s">
        <v>115</v>
      </c>
      <c r="J791" t="str">
        <f>PROPER(TRIM(I791))</f>
        <v>Home Office</v>
      </c>
      <c r="K791" t="s">
        <v>27</v>
      </c>
      <c r="L791" t="s">
        <v>28</v>
      </c>
      <c r="M791" t="s">
        <v>135</v>
      </c>
      <c r="N791" t="s">
        <v>86</v>
      </c>
      <c r="O791" t="str">
        <f>TRIM(N791)</f>
        <v>Technology</v>
      </c>
      <c r="P791" t="s">
        <v>94</v>
      </c>
      <c r="Q791" t="s">
        <v>3641</v>
      </c>
      <c r="R791" t="s">
        <v>48</v>
      </c>
      <c r="S791" t="s">
        <v>48</v>
      </c>
      <c r="T791">
        <v>4</v>
      </c>
      <c r="U791">
        <v>3537.48</v>
      </c>
      <c r="V791">
        <v>0</v>
      </c>
      <c r="W791">
        <v>14149.92</v>
      </c>
      <c r="X791">
        <v>9466.51</v>
      </c>
      <c r="Y791">
        <v>4683.41</v>
      </c>
      <c r="Z791" t="s">
        <v>34</v>
      </c>
      <c r="AA791" t="s">
        <v>35</v>
      </c>
    </row>
    <row r="792" spans="1:27">
      <c r="A792" t="s">
        <v>3642</v>
      </c>
      <c r="B792" t="s">
        <v>3643</v>
      </c>
      <c r="C792" t="s">
        <v>3644</v>
      </c>
      <c r="D792"/>
      <c r="E792" s="7">
        <f>IF(OR(D792="Invalid",D792&lt;0),"",D792)</f>
        <v>0</v>
      </c>
      <c r="F792" t="s">
        <v>3645</v>
      </c>
      <c r="G792" t="s">
        <v>148</v>
      </c>
      <c r="H792" t="str">
        <f>PROPER(TRIM(G792))</f>
        <v>Rahul Verma</v>
      </c>
      <c r="I792" t="s">
        <v>108</v>
      </c>
      <c r="J792" t="str">
        <f>PROPER(TRIM(I792))</f>
        <v>Corporate</v>
      </c>
      <c r="K792" t="s">
        <v>62</v>
      </c>
      <c r="L792" t="s">
        <v>100</v>
      </c>
      <c r="M792" t="s">
        <v>101</v>
      </c>
      <c r="N792" t="s">
        <v>30</v>
      </c>
      <c r="O792" t="str">
        <f>TRIM(N792)</f>
        <v>Office Supplies</v>
      </c>
      <c r="P792" t="s">
        <v>54</v>
      </c>
      <c r="Q792" t="s">
        <v>3646</v>
      </c>
      <c r="R792" t="s">
        <v>67</v>
      </c>
      <c r="S792" t="s">
        <v>67</v>
      </c>
      <c r="T792">
        <v>8</v>
      </c>
      <c r="U792">
        <v>667.59</v>
      </c>
      <c r="V792">
        <v>0.2</v>
      </c>
      <c r="W792">
        <v>4272.58</v>
      </c>
      <c r="X792">
        <v>3328.92</v>
      </c>
      <c r="Y792">
        <v>943.66</v>
      </c>
      <c r="Z792" t="s">
        <v>34</v>
      </c>
      <c r="AA792" t="s">
        <v>35</v>
      </c>
    </row>
    <row r="793" spans="1:27">
      <c r="A793" t="s">
        <v>3647</v>
      </c>
      <c r="B793" t="s">
        <v>3013</v>
      </c>
      <c r="C793" t="s">
        <v>3648</v>
      </c>
      <c r="D793"/>
      <c r="E793" s="7">
        <f>IF(OR(D793="Invalid",D793&lt;0),"",D793)</f>
        <v>0</v>
      </c>
      <c r="F793" t="s">
        <v>3649</v>
      </c>
      <c r="G793" t="s">
        <v>148</v>
      </c>
      <c r="H793" t="str">
        <f>PROPER(TRIM(G793))</f>
        <v>Rahul Verma</v>
      </c>
      <c r="I793" t="s">
        <v>115</v>
      </c>
      <c r="J793" t="str">
        <f>PROPER(TRIM(I793))</f>
        <v>Home Office</v>
      </c>
      <c r="K793" t="s">
        <v>62</v>
      </c>
      <c r="L793" t="s">
        <v>229</v>
      </c>
      <c r="M793" t="s">
        <v>230</v>
      </c>
      <c r="N793" t="s">
        <v>45</v>
      </c>
      <c r="O793" t="str">
        <f>TRIM(N793)</f>
        <v>Furniture</v>
      </c>
      <c r="P793" t="s">
        <v>204</v>
      </c>
      <c r="Q793" t="s">
        <v>3650</v>
      </c>
      <c r="R793" t="s">
        <v>48</v>
      </c>
      <c r="S793" t="s">
        <v>48</v>
      </c>
      <c r="T793">
        <v>8</v>
      </c>
      <c r="U793">
        <v>1558.77</v>
      </c>
      <c r="V793">
        <v>0.25</v>
      </c>
      <c r="W793">
        <v>9352.6200000000008</v>
      </c>
      <c r="X793">
        <v>5269.41</v>
      </c>
      <c r="Y793">
        <v>4083.21</v>
      </c>
      <c r="Z793" t="s">
        <v>34</v>
      </c>
      <c r="AA793" t="s">
        <v>35</v>
      </c>
    </row>
    <row r="794" spans="1:27">
      <c r="A794" t="s">
        <v>3651</v>
      </c>
      <c r="B794" t="s">
        <v>1230</v>
      </c>
      <c r="C794" t="s">
        <v>3652</v>
      </c>
      <c r="D794"/>
      <c r="E794" s="7">
        <f>IF(OR(D794="Invalid",D794&lt;0),"",D794)</f>
        <v>0</v>
      </c>
      <c r="F794" t="s">
        <v>3653</v>
      </c>
      <c r="G794" t="s">
        <v>61</v>
      </c>
      <c r="H794" t="str">
        <f>PROPER(TRIM(G794))</f>
        <v>Arjun Bose</v>
      </c>
      <c r="I794" t="s">
        <v>41</v>
      </c>
      <c r="J794" t="str">
        <f>PROPER(TRIM(I794))</f>
        <v>Small Business</v>
      </c>
      <c r="K794" t="s">
        <v>42</v>
      </c>
      <c r="L794" t="s">
        <v>216</v>
      </c>
      <c r="M794" t="s">
        <v>217</v>
      </c>
      <c r="N794" t="s">
        <v>45</v>
      </c>
      <c r="O794" t="str">
        <f>TRIM(N794)</f>
        <v>Furniture</v>
      </c>
      <c r="P794" t="s">
        <v>65</v>
      </c>
      <c r="Q794" t="s">
        <v>3654</v>
      </c>
      <c r="R794" t="s">
        <v>33</v>
      </c>
      <c r="S794" t="s">
        <v>33</v>
      </c>
      <c r="T794">
        <v>1</v>
      </c>
      <c r="U794">
        <v>3501.12</v>
      </c>
      <c r="V794">
        <v>0.2</v>
      </c>
      <c r="W794">
        <v>2800.9</v>
      </c>
      <c r="X794">
        <v>1735.98</v>
      </c>
      <c r="Y794">
        <v>1064.92</v>
      </c>
      <c r="Z794" t="s">
        <v>34</v>
      </c>
      <c r="AA794" t="s">
        <v>125</v>
      </c>
    </row>
    <row r="795" spans="1:27">
      <c r="A795" t="s">
        <v>3655</v>
      </c>
      <c r="B795" t="s">
        <v>81</v>
      </c>
      <c r="C795" t="s">
        <v>3656</v>
      </c>
      <c r="D795"/>
      <c r="E795" s="7">
        <f>IF(OR(D795="Invalid",D795&lt;0),"",D795)</f>
        <v>0</v>
      </c>
      <c r="F795" t="s">
        <v>3657</v>
      </c>
      <c r="G795" t="s">
        <v>83</v>
      </c>
      <c r="H795" t="str">
        <f>PROPER(TRIM(G795))</f>
        <v>Vikram Iyer</v>
      </c>
      <c r="I795" t="s">
        <v>108</v>
      </c>
      <c r="J795" t="str">
        <f>PROPER(TRIM(I795))</f>
        <v>Corporate</v>
      </c>
      <c r="K795" t="s">
        <v>27</v>
      </c>
      <c r="L795" t="s">
        <v>28</v>
      </c>
      <c r="M795" t="s">
        <v>29</v>
      </c>
      <c r="N795" t="s">
        <v>86</v>
      </c>
      <c r="O795" t="str">
        <f>TRIM(N795)</f>
        <v>Technology</v>
      </c>
      <c r="P795" t="s">
        <v>94</v>
      </c>
      <c r="Q795" t="s">
        <v>3658</v>
      </c>
      <c r="R795" t="s">
        <v>33</v>
      </c>
      <c r="S795" t="s">
        <v>33</v>
      </c>
      <c r="T795">
        <v>5</v>
      </c>
      <c r="U795">
        <v>4302.32</v>
      </c>
      <c r="V795">
        <v>0</v>
      </c>
      <c r="W795">
        <v>21511.599999999999</v>
      </c>
      <c r="X795">
        <v>15408.47</v>
      </c>
      <c r="Y795">
        <v>6103.13</v>
      </c>
      <c r="Z795" t="s">
        <v>34</v>
      </c>
      <c r="AA795" t="s">
        <v>35</v>
      </c>
    </row>
    <row r="796" spans="1:27">
      <c r="A796" t="s">
        <v>3659</v>
      </c>
      <c r="B796" t="s">
        <v>3660</v>
      </c>
      <c r="C796" t="s">
        <v>996</v>
      </c>
      <c r="D796"/>
      <c r="E796" s="7">
        <f>IF(OR(D796="Invalid",D796&lt;0),"",D796)</f>
        <v>0</v>
      </c>
      <c r="F796" t="s">
        <v>3661</v>
      </c>
      <c r="G796" t="s">
        <v>168</v>
      </c>
      <c r="H796" t="str">
        <f>PROPER(TRIM(G796))</f>
        <v>Sneha Kapoor</v>
      </c>
      <c r="I796" t="s">
        <v>108</v>
      </c>
      <c r="J796" t="str">
        <f>PROPER(TRIM(I796))</f>
        <v>Corporate</v>
      </c>
      <c r="K796" t="s">
        <v>42</v>
      </c>
      <c r="L796" t="s">
        <v>216</v>
      </c>
      <c r="M796" t="s">
        <v>217</v>
      </c>
      <c r="N796" t="s">
        <v>30</v>
      </c>
      <c r="O796" t="str">
        <f>TRIM(N796)</f>
        <v>Office Supplies</v>
      </c>
      <c r="P796" t="s">
        <v>31</v>
      </c>
      <c r="Q796" t="s">
        <v>3662</v>
      </c>
      <c r="R796" t="s">
        <v>67</v>
      </c>
      <c r="S796" t="s">
        <v>67</v>
      </c>
      <c r="T796">
        <v>9</v>
      </c>
      <c r="U796">
        <v>951.55</v>
      </c>
      <c r="V796">
        <v>0.15</v>
      </c>
      <c r="W796">
        <v>7279.36</v>
      </c>
      <c r="X796">
        <v>4870.3900000000003</v>
      </c>
      <c r="Y796">
        <v>2408.9699999999998</v>
      </c>
      <c r="Z796" t="s">
        <v>34</v>
      </c>
      <c r="AA796" t="s">
        <v>35</v>
      </c>
    </row>
    <row r="797" spans="1:27">
      <c r="A797" t="s">
        <v>3663</v>
      </c>
      <c r="B797" t="s">
        <v>3664</v>
      </c>
      <c r="C797" t="s">
        <v>529</v>
      </c>
      <c r="D797"/>
      <c r="E797" s="7">
        <f>IF(OR(D797="Invalid",D797&lt;0),"",D797)</f>
        <v>0</v>
      </c>
      <c r="F797" t="s">
        <v>3665</v>
      </c>
      <c r="G797" t="s">
        <v>210</v>
      </c>
      <c r="H797" t="str">
        <f>PROPER(TRIM(G797))</f>
        <v>Diya Patel</v>
      </c>
      <c r="I797" t="s">
        <v>115</v>
      </c>
      <c r="J797" t="str">
        <f>PROPER(TRIM(I797))</f>
        <v>Home Office</v>
      </c>
      <c r="K797" t="s">
        <v>42</v>
      </c>
      <c r="L797" t="s">
        <v>43</v>
      </c>
      <c r="M797" t="s">
        <v>44</v>
      </c>
      <c r="N797" t="s">
        <v>86</v>
      </c>
      <c r="O797" t="str">
        <f>TRIM(N797)</f>
        <v>Technology</v>
      </c>
      <c r="P797" t="s">
        <v>94</v>
      </c>
      <c r="Q797" t="s">
        <v>3666</v>
      </c>
      <c r="R797" t="s">
        <v>48</v>
      </c>
      <c r="S797" t="s">
        <v>48</v>
      </c>
      <c r="T797">
        <v>9</v>
      </c>
      <c r="U797">
        <v>2894.66</v>
      </c>
      <c r="V797">
        <v>0</v>
      </c>
      <c r="W797">
        <v>26051.94</v>
      </c>
      <c r="X797">
        <v>16883.59</v>
      </c>
      <c r="Y797">
        <v>9168.35</v>
      </c>
      <c r="Z797" t="s">
        <v>124</v>
      </c>
      <c r="AA797" t="s">
        <v>78</v>
      </c>
    </row>
    <row r="798" spans="1:27">
      <c r="A798" t="s">
        <v>3667</v>
      </c>
      <c r="B798" t="s">
        <v>796</v>
      </c>
      <c r="C798" t="s">
        <v>3668</v>
      </c>
      <c r="D798"/>
      <c r="E798" s="7">
        <f>IF(OR(D798="Invalid",D798&lt;0),"",D798)</f>
        <v>0</v>
      </c>
      <c r="F798" t="s">
        <v>3669</v>
      </c>
      <c r="G798" t="s">
        <v>180</v>
      </c>
      <c r="H798" t="str">
        <f>PROPER(TRIM(G798))</f>
        <v>Rohan Mehta</v>
      </c>
      <c r="I798" t="s">
        <v>41</v>
      </c>
      <c r="J798" t="str">
        <f>PROPER(TRIM(I798))</f>
        <v>Small Business</v>
      </c>
      <c r="K798" t="s">
        <v>62</v>
      </c>
      <c r="L798" t="s">
        <v>100</v>
      </c>
      <c r="M798" t="s">
        <v>101</v>
      </c>
      <c r="N798" t="s">
        <v>86</v>
      </c>
      <c r="O798" t="str">
        <f>TRIM(N798)</f>
        <v>Technology</v>
      </c>
      <c r="P798" t="s">
        <v>382</v>
      </c>
      <c r="Q798" t="s">
        <v>3670</v>
      </c>
      <c r="R798" t="s">
        <v>56</v>
      </c>
      <c r="S798" t="s">
        <v>56</v>
      </c>
      <c r="T798">
        <v>6</v>
      </c>
      <c r="U798">
        <v>1894.44</v>
      </c>
      <c r="V798">
        <v>0.15</v>
      </c>
      <c r="W798">
        <v>9661.64</v>
      </c>
      <c r="X798">
        <v>6303.77</v>
      </c>
      <c r="Y798">
        <v>3357.87</v>
      </c>
      <c r="Z798" t="s">
        <v>34</v>
      </c>
      <c r="AA798" t="s">
        <v>35</v>
      </c>
    </row>
    <row r="799" spans="1:27">
      <c r="A799" t="s">
        <v>3671</v>
      </c>
      <c r="B799" t="s">
        <v>3672</v>
      </c>
      <c r="C799" t="s">
        <v>3583</v>
      </c>
      <c r="D799"/>
      <c r="E799" s="7">
        <f>IF(OR(D799="Invalid",D799&lt;0),"",D799)</f>
        <v>0</v>
      </c>
      <c r="F799" t="s">
        <v>3673</v>
      </c>
      <c r="G799" t="s">
        <v>162</v>
      </c>
      <c r="H799" t="str">
        <f>PROPER(TRIM(G799))</f>
        <v>Aarav Sharma</v>
      </c>
      <c r="I799" t="s">
        <v>26</v>
      </c>
      <c r="J799" t="str">
        <f>PROPER(TRIM(I799))</f>
        <v>Consumer</v>
      </c>
      <c r="K799" t="s">
        <v>42</v>
      </c>
      <c r="L799" t="s">
        <v>43</v>
      </c>
      <c r="M799" t="s">
        <v>44</v>
      </c>
      <c r="N799" t="s">
        <v>30</v>
      </c>
      <c r="O799" t="str">
        <f>TRIM(N799)</f>
        <v>Office Supplies</v>
      </c>
      <c r="P799" t="s">
        <v>198</v>
      </c>
      <c r="Q799" t="s">
        <v>3674</v>
      </c>
      <c r="R799" t="s">
        <v>56</v>
      </c>
      <c r="S799" t="s">
        <v>56</v>
      </c>
      <c r="T799">
        <v>8</v>
      </c>
      <c r="U799">
        <v>1714.37</v>
      </c>
      <c r="V799">
        <v>0</v>
      </c>
      <c r="W799">
        <v>13714.96</v>
      </c>
      <c r="X799">
        <v>10550.47</v>
      </c>
      <c r="Y799">
        <v>3164.49</v>
      </c>
      <c r="Z799" t="s">
        <v>200</v>
      </c>
      <c r="AA799" t="s">
        <v>78</v>
      </c>
    </row>
    <row r="800" spans="1:27">
      <c r="A800" t="s">
        <v>3675</v>
      </c>
      <c r="B800" t="s">
        <v>3676</v>
      </c>
      <c r="C800" t="s">
        <v>3677</v>
      </c>
      <c r="D800"/>
      <c r="E800" s="7">
        <f>IF(OR(D800="Invalid",D800&lt;0),"",D800)</f>
        <v>0</v>
      </c>
      <c r="F800" t="s">
        <v>3678</v>
      </c>
      <c r="G800" t="s">
        <v>107</v>
      </c>
      <c r="H800" t="str">
        <f>PROPER(TRIM(G800))</f>
        <v>Aditi Sen</v>
      </c>
      <c r="I800" t="s">
        <v>108</v>
      </c>
      <c r="J800" t="str">
        <f>PROPER(TRIM(I800))</f>
        <v>Corporate</v>
      </c>
      <c r="K800" t="s">
        <v>27</v>
      </c>
      <c r="L800" t="s">
        <v>506</v>
      </c>
      <c r="M800" t="s">
        <v>507</v>
      </c>
      <c r="N800" t="s">
        <v>45</v>
      </c>
      <c r="O800" t="str">
        <f>TRIM(N800)</f>
        <v>Furniture</v>
      </c>
      <c r="P800" t="s">
        <v>65</v>
      </c>
      <c r="Q800" t="s">
        <v>3679</v>
      </c>
      <c r="R800" t="s">
        <v>67</v>
      </c>
      <c r="S800" t="s">
        <v>67</v>
      </c>
      <c r="T800">
        <v>9</v>
      </c>
      <c r="U800">
        <v>1706.05</v>
      </c>
      <c r="V800">
        <v>0</v>
      </c>
      <c r="W800">
        <v>15354.45</v>
      </c>
      <c r="X800">
        <v>9656.5</v>
      </c>
      <c r="Y800">
        <v>5697.95</v>
      </c>
      <c r="Z800" t="s">
        <v>34</v>
      </c>
      <c r="AA800" t="s">
        <v>35</v>
      </c>
    </row>
    <row r="801" spans="1:27">
      <c r="A801" t="s">
        <v>3680</v>
      </c>
      <c r="B801" t="s">
        <v>3366</v>
      </c>
      <c r="C801" t="s">
        <v>2543</v>
      </c>
      <c r="D801"/>
      <c r="E801" s="7">
        <f>IF(OR(D801="Invalid",D801&lt;0),"",D801)</f>
        <v>0</v>
      </c>
      <c r="F801" t="s">
        <v>3681</v>
      </c>
      <c r="G801" t="s">
        <v>53</v>
      </c>
      <c r="H801" t="str">
        <f>PROPER(TRIM(G801))</f>
        <v>Isha Nair</v>
      </c>
      <c r="I801" t="s">
        <v>115</v>
      </c>
      <c r="J801" t="str">
        <f>PROPER(TRIM(I801))</f>
        <v>Home Office</v>
      </c>
      <c r="K801" t="s">
        <v>27</v>
      </c>
      <c r="L801" t="s">
        <v>323</v>
      </c>
      <c r="M801" t="s">
        <v>324</v>
      </c>
      <c r="N801" t="s">
        <v>86</v>
      </c>
      <c r="O801" t="str">
        <f>TRIM(N801)</f>
        <v>Technology</v>
      </c>
      <c r="P801" t="s">
        <v>87</v>
      </c>
      <c r="Q801" t="s">
        <v>3682</v>
      </c>
      <c r="R801" t="s">
        <v>4124</v>
      </c>
      <c r="S801" t="s">
        <v>4111</v>
      </c>
      <c r="T801">
        <v>5</v>
      </c>
      <c r="U801">
        <v>967.41</v>
      </c>
      <c r="V801">
        <v>0.05</v>
      </c>
      <c r="W801">
        <v>4595.2</v>
      </c>
      <c r="X801">
        <v>3887.41</v>
      </c>
      <c r="Y801">
        <v>707.79</v>
      </c>
      <c r="Z801" t="s">
        <v>34</v>
      </c>
      <c r="AA801" t="s">
        <v>125</v>
      </c>
    </row>
    <row r="802" spans="1:27">
      <c r="A802" t="s">
        <v>3683</v>
      </c>
      <c r="B802" t="s">
        <v>3684</v>
      </c>
      <c r="C802" t="s">
        <v>3685</v>
      </c>
      <c r="D802"/>
      <c r="E802" s="7">
        <f>IF(OR(D802="Invalid",D802&lt;0),"",D802)</f>
        <v>0</v>
      </c>
      <c r="F802" t="s">
        <v>3686</v>
      </c>
      <c r="G802" t="s">
        <v>83</v>
      </c>
      <c r="H802" t="str">
        <f>PROPER(TRIM(G802))</f>
        <v>Vikram Iyer</v>
      </c>
      <c r="I802" t="s">
        <v>41</v>
      </c>
      <c r="J802" t="str">
        <f>PROPER(TRIM(I802))</f>
        <v>Small Business</v>
      </c>
      <c r="K802" t="s">
        <v>73</v>
      </c>
      <c r="L802" t="s">
        <v>74</v>
      </c>
      <c r="M802" t="s">
        <v>75</v>
      </c>
      <c r="N802" t="s">
        <v>30</v>
      </c>
      <c r="O802" t="str">
        <f>TRIM(N802)</f>
        <v>Office Supplies</v>
      </c>
      <c r="P802" t="s">
        <v>156</v>
      </c>
      <c r="Q802" t="s">
        <v>3687</v>
      </c>
      <c r="R802" t="s">
        <v>33</v>
      </c>
      <c r="S802" t="s">
        <v>33</v>
      </c>
      <c r="T802">
        <v>6</v>
      </c>
      <c r="U802">
        <v>4163.72</v>
      </c>
      <c r="V802">
        <v>0.15</v>
      </c>
      <c r="W802">
        <v>21234.97</v>
      </c>
      <c r="X802">
        <v>16736.09</v>
      </c>
      <c r="Y802">
        <v>4498.88</v>
      </c>
      <c r="Z802" t="s">
        <v>34</v>
      </c>
      <c r="AA802" t="s">
        <v>35</v>
      </c>
    </row>
    <row r="803" spans="1:27">
      <c r="A803" t="s">
        <v>3688</v>
      </c>
      <c r="B803" t="s">
        <v>3689</v>
      </c>
      <c r="C803" t="s">
        <v>309</v>
      </c>
      <c r="D803"/>
      <c r="E803" s="7">
        <f>IF(OR(D803="Invalid",D803&lt;0),"",D803)</f>
        <v>0</v>
      </c>
      <c r="F803" t="s">
        <v>3690</v>
      </c>
      <c r="G803" t="s">
        <v>162</v>
      </c>
      <c r="H803" t="str">
        <f>PROPER(TRIM(G803))</f>
        <v>Aarav Sharma</v>
      </c>
      <c r="I803" t="s">
        <v>115</v>
      </c>
      <c r="J803" t="str">
        <f>PROPER(TRIM(I803))</f>
        <v>Home Office</v>
      </c>
      <c r="K803" t="s">
        <v>42</v>
      </c>
      <c r="L803" t="s">
        <v>43</v>
      </c>
      <c r="M803" t="s">
        <v>44</v>
      </c>
      <c r="N803" t="s">
        <v>86</v>
      </c>
      <c r="O803" t="str">
        <f>TRIM(N803)</f>
        <v>Technology</v>
      </c>
      <c r="P803" t="s">
        <v>87</v>
      </c>
      <c r="Q803" t="s">
        <v>3691</v>
      </c>
      <c r="R803" t="s">
        <v>33</v>
      </c>
      <c r="S803" t="s">
        <v>33</v>
      </c>
      <c r="T803">
        <v>3</v>
      </c>
      <c r="U803">
        <v>3372.21</v>
      </c>
      <c r="V803">
        <v>0.2</v>
      </c>
      <c r="W803">
        <v>8093.3</v>
      </c>
      <c r="X803">
        <v>6052.43</v>
      </c>
      <c r="Y803">
        <v>2040.87</v>
      </c>
      <c r="Z803" t="s">
        <v>137</v>
      </c>
      <c r="AA803" t="s">
        <v>78</v>
      </c>
    </row>
    <row r="804" spans="1:27">
      <c r="A804" t="s">
        <v>3692</v>
      </c>
      <c r="B804" t="s">
        <v>3172</v>
      </c>
      <c r="C804" t="s">
        <v>3693</v>
      </c>
      <c r="D804"/>
      <c r="E804" s="7">
        <f>IF(OR(D804="Invalid",D804&lt;0),"",D804)</f>
        <v>0</v>
      </c>
      <c r="F804" t="s">
        <v>3694</v>
      </c>
      <c r="G804" t="s">
        <v>180</v>
      </c>
      <c r="H804" t="str">
        <f>PROPER(TRIM(G804))</f>
        <v>Rohan Mehta</v>
      </c>
      <c r="I804" t="s">
        <v>41</v>
      </c>
      <c r="J804" t="str">
        <f>PROPER(TRIM(I804))</f>
        <v>Small Business</v>
      </c>
      <c r="K804" t="s">
        <v>42</v>
      </c>
      <c r="L804" t="s">
        <v>216</v>
      </c>
      <c r="M804" t="s">
        <v>217</v>
      </c>
      <c r="N804" t="s">
        <v>45</v>
      </c>
      <c r="O804" t="str">
        <f>TRIM(N804)</f>
        <v>Furniture</v>
      </c>
      <c r="P804" t="s">
        <v>65</v>
      </c>
      <c r="Q804" t="s">
        <v>3695</v>
      </c>
      <c r="R804" t="s">
        <v>33</v>
      </c>
      <c r="S804" t="s">
        <v>33</v>
      </c>
      <c r="T804">
        <v>6</v>
      </c>
      <c r="U804">
        <v>1441.91</v>
      </c>
      <c r="V804">
        <v>0</v>
      </c>
      <c r="W804">
        <v>8651.4599999999991</v>
      </c>
      <c r="X804">
        <v>5254.62</v>
      </c>
      <c r="Y804">
        <v>3396.84</v>
      </c>
      <c r="Z804" t="s">
        <v>3696</v>
      </c>
      <c r="AA804" t="s">
        <v>125</v>
      </c>
    </row>
    <row r="805" spans="1:27">
      <c r="A805" t="s">
        <v>3697</v>
      </c>
      <c r="B805" s="4" t="s">
        <v>3698</v>
      </c>
      <c r="C805" s="4" t="s">
        <v>733</v>
      </c>
      <c r="D805" s="4" t="str">
        <f>IF(C693&lt;B693,"Invalid","OK")</f>
        <v>OK</v>
      </c>
      <c r="E805" s="7" t="str">
        <f>IF(OR(D805="Invalid",D805&lt;0),"",D805)</f>
        <v>OK</v>
      </c>
      <c r="F805" t="s">
        <v>3699</v>
      </c>
      <c r="G805" t="s">
        <v>180</v>
      </c>
      <c r="H805" t="str">
        <f>PROPER(TRIM(G805))</f>
        <v>Rohan Mehta</v>
      </c>
      <c r="I805" t="s">
        <v>26</v>
      </c>
      <c r="J805" t="str">
        <f>PROPER(TRIM(I805))</f>
        <v>Consumer</v>
      </c>
      <c r="K805" t="s">
        <v>42</v>
      </c>
      <c r="L805" t="s">
        <v>311</v>
      </c>
      <c r="M805" t="s">
        <v>312</v>
      </c>
      <c r="N805" t="s">
        <v>30</v>
      </c>
      <c r="O805" t="str">
        <f>TRIM(N805)</f>
        <v>Office Supplies</v>
      </c>
      <c r="P805" t="s">
        <v>109</v>
      </c>
      <c r="Q805" t="s">
        <v>3700</v>
      </c>
      <c r="R805" t="s">
        <v>56</v>
      </c>
      <c r="S805" t="s">
        <v>56</v>
      </c>
      <c r="T805">
        <v>1</v>
      </c>
      <c r="U805">
        <v>4306.6499999999996</v>
      </c>
      <c r="V805">
        <v>0</v>
      </c>
      <c r="W805">
        <v>4306.6499999999996</v>
      </c>
      <c r="X805">
        <v>2568.8200000000002</v>
      </c>
      <c r="Y805">
        <v>1737.83</v>
      </c>
      <c r="Z805" t="s">
        <v>34</v>
      </c>
      <c r="AA805" t="s">
        <v>35</v>
      </c>
    </row>
    <row r="806" spans="1:27">
      <c r="A806" t="s">
        <v>3701</v>
      </c>
      <c r="B806" t="s">
        <v>989</v>
      </c>
      <c r="C806" t="s">
        <v>2196</v>
      </c>
      <c r="D806"/>
      <c r="E806" s="7">
        <f>IF(OR(D806="Invalid",D806&lt;0),"",D806)</f>
        <v>0</v>
      </c>
      <c r="F806" t="s">
        <v>3702</v>
      </c>
      <c r="G806" t="s">
        <v>148</v>
      </c>
      <c r="H806" t="str">
        <f>PROPER(TRIM(G806))</f>
        <v>Rahul Verma</v>
      </c>
      <c r="I806" t="s">
        <v>115</v>
      </c>
      <c r="J806" t="str">
        <f>PROPER(TRIM(I806))</f>
        <v>Home Office</v>
      </c>
      <c r="K806" t="s">
        <v>62</v>
      </c>
      <c r="L806" t="s">
        <v>63</v>
      </c>
      <c r="M806" t="s">
        <v>64</v>
      </c>
      <c r="N806" t="s">
        <v>45</v>
      </c>
      <c r="O806" t="str">
        <f>TRIM(N806)</f>
        <v>Furniture</v>
      </c>
      <c r="P806" t="s">
        <v>65</v>
      </c>
      <c r="Q806" t="s">
        <v>3703</v>
      </c>
      <c r="R806" t="s">
        <v>67</v>
      </c>
      <c r="S806" t="s">
        <v>67</v>
      </c>
      <c r="T806">
        <v>1</v>
      </c>
      <c r="U806">
        <v>2050.62</v>
      </c>
      <c r="V806">
        <v>0.05</v>
      </c>
      <c r="W806">
        <v>1948.09</v>
      </c>
      <c r="X806">
        <v>1507.08</v>
      </c>
      <c r="Y806">
        <v>441.01</v>
      </c>
      <c r="Z806" t="s">
        <v>34</v>
      </c>
      <c r="AA806" t="s">
        <v>35</v>
      </c>
    </row>
    <row r="807" spans="1:27">
      <c r="A807" t="s">
        <v>3704</v>
      </c>
      <c r="B807" t="s">
        <v>1316</v>
      </c>
      <c r="C807" t="s">
        <v>1063</v>
      </c>
      <c r="D807"/>
      <c r="E807" s="7">
        <f>IF(OR(D807="Invalid",D807&lt;0),"",D807)</f>
        <v>0</v>
      </c>
      <c r="F807" t="s">
        <v>3520</v>
      </c>
      <c r="G807" t="s">
        <v>142</v>
      </c>
      <c r="H807" t="str">
        <f>PROPER(TRIM(G807))</f>
        <v>Priya Menon</v>
      </c>
      <c r="I807" t="s">
        <v>115</v>
      </c>
      <c r="J807" t="str">
        <f>PROPER(TRIM(I807))</f>
        <v>Home Office</v>
      </c>
      <c r="K807" t="s">
        <v>42</v>
      </c>
      <c r="L807" t="s">
        <v>216</v>
      </c>
      <c r="M807" t="s">
        <v>217</v>
      </c>
      <c r="N807" t="s">
        <v>30</v>
      </c>
      <c r="O807" t="str">
        <f>TRIM(N807)</f>
        <v>Office Supplies</v>
      </c>
      <c r="P807" t="s">
        <v>198</v>
      </c>
      <c r="Q807" t="s">
        <v>3705</v>
      </c>
      <c r="R807" t="s">
        <v>33</v>
      </c>
      <c r="S807" t="s">
        <v>33</v>
      </c>
      <c r="T807">
        <v>2</v>
      </c>
      <c r="U807">
        <v>2030.06</v>
      </c>
      <c r="V807">
        <v>0.25</v>
      </c>
      <c r="W807">
        <v>3045.09</v>
      </c>
      <c r="X807">
        <v>2601.09</v>
      </c>
      <c r="Y807">
        <v>444</v>
      </c>
      <c r="Z807" t="s">
        <v>34</v>
      </c>
      <c r="AA807" t="s">
        <v>35</v>
      </c>
    </row>
    <row r="808" spans="1:27">
      <c r="A808" t="s">
        <v>3706</v>
      </c>
      <c r="B808" t="s">
        <v>3707</v>
      </c>
      <c r="C808" t="s">
        <v>3708</v>
      </c>
      <c r="D808"/>
      <c r="E808" s="7">
        <f>IF(OR(D808="Invalid",D808&lt;0),"",D808)</f>
        <v>0</v>
      </c>
      <c r="F808" t="s">
        <v>3709</v>
      </c>
      <c r="G808" t="s">
        <v>53</v>
      </c>
      <c r="H808" t="str">
        <f>PROPER(TRIM(G808))</f>
        <v>Isha Nair</v>
      </c>
      <c r="I808" t="s">
        <v>115</v>
      </c>
      <c r="J808" t="str">
        <f>PROPER(TRIM(I808))</f>
        <v>Home Office</v>
      </c>
      <c r="K808" t="s">
        <v>27</v>
      </c>
      <c r="L808" t="s">
        <v>28</v>
      </c>
      <c r="M808" t="s">
        <v>29</v>
      </c>
      <c r="N808" t="s">
        <v>86</v>
      </c>
      <c r="O808" t="str">
        <f>TRIM(N808)</f>
        <v>Technology</v>
      </c>
      <c r="P808" t="s">
        <v>94</v>
      </c>
      <c r="Q808" t="s">
        <v>3710</v>
      </c>
      <c r="R808" t="s">
        <v>67</v>
      </c>
      <c r="S808" t="s">
        <v>67</v>
      </c>
      <c r="T808">
        <v>1</v>
      </c>
      <c r="U808">
        <v>3665.97</v>
      </c>
      <c r="V808">
        <v>0.2</v>
      </c>
      <c r="W808">
        <v>2932.78</v>
      </c>
      <c r="X808">
        <v>1900.35</v>
      </c>
      <c r="Y808">
        <v>1032.43</v>
      </c>
      <c r="Z808" t="s">
        <v>200</v>
      </c>
      <c r="AA808" t="s">
        <v>78</v>
      </c>
    </row>
    <row r="809" spans="1:27">
      <c r="A809" t="s">
        <v>3711</v>
      </c>
      <c r="B809" t="s">
        <v>1276</v>
      </c>
      <c r="C809" t="s">
        <v>2270</v>
      </c>
      <c r="D809"/>
      <c r="E809" s="7">
        <f>IF(OR(D809="Invalid",D809&lt;0),"",D809)</f>
        <v>0</v>
      </c>
      <c r="F809" t="s">
        <v>3712</v>
      </c>
      <c r="G809" t="s">
        <v>25</v>
      </c>
      <c r="H809" t="str">
        <f>PROPER(TRIM(G809))</f>
        <v>Karan Malhotra</v>
      </c>
      <c r="I809" t="s">
        <v>41</v>
      </c>
      <c r="J809" t="str">
        <f>PROPER(TRIM(I809))</f>
        <v>Small Business</v>
      </c>
      <c r="K809" t="s">
        <v>62</v>
      </c>
      <c r="L809" t="s">
        <v>63</v>
      </c>
      <c r="M809" t="s">
        <v>64</v>
      </c>
      <c r="N809" t="s">
        <v>30</v>
      </c>
      <c r="O809" t="str">
        <f>TRIM(N809)</f>
        <v>Office Supplies</v>
      </c>
      <c r="P809" t="s">
        <v>109</v>
      </c>
      <c r="Q809" t="s">
        <v>3713</v>
      </c>
      <c r="R809" t="s">
        <v>3714</v>
      </c>
      <c r="S809" t="s">
        <v>3714</v>
      </c>
      <c r="T809">
        <v>2</v>
      </c>
      <c r="U809">
        <v>2432.98</v>
      </c>
      <c r="V809">
        <v>0.1</v>
      </c>
      <c r="W809">
        <v>4379.3599999999997</v>
      </c>
      <c r="X809">
        <v>3723.93</v>
      </c>
      <c r="Y809">
        <v>655.43</v>
      </c>
      <c r="Z809" t="s">
        <v>34</v>
      </c>
      <c r="AA809" t="s">
        <v>35</v>
      </c>
    </row>
    <row r="810" spans="1:27">
      <c r="A810" t="s">
        <v>3715</v>
      </c>
      <c r="B810" t="s">
        <v>3716</v>
      </c>
      <c r="C810" t="s">
        <v>2034</v>
      </c>
      <c r="D810"/>
      <c r="E810" s="7">
        <f>IF(OR(D810="Invalid",D810&lt;0),"",D810)</f>
        <v>0</v>
      </c>
      <c r="F810" t="s">
        <v>3717</v>
      </c>
      <c r="G810" t="s">
        <v>162</v>
      </c>
      <c r="H810" t="str">
        <f>PROPER(TRIM(G810))</f>
        <v>Aarav Sharma</v>
      </c>
      <c r="I810" t="s">
        <v>41</v>
      </c>
      <c r="J810" t="str">
        <f>PROPER(TRIM(I810))</f>
        <v>Small Business</v>
      </c>
      <c r="K810" t="s">
        <v>62</v>
      </c>
      <c r="L810" t="s">
        <v>339</v>
      </c>
      <c r="M810" t="s">
        <v>340</v>
      </c>
      <c r="N810" t="s">
        <v>45</v>
      </c>
      <c r="O810" t="str">
        <f>TRIM(N810)</f>
        <v>Furniture</v>
      </c>
      <c r="P810" t="s">
        <v>65</v>
      </c>
      <c r="Q810" t="s">
        <v>3718</v>
      </c>
      <c r="R810" t="s">
        <v>56</v>
      </c>
      <c r="S810" t="s">
        <v>56</v>
      </c>
      <c r="T810">
        <v>7</v>
      </c>
      <c r="U810">
        <v>977.28</v>
      </c>
      <c r="V810">
        <v>0.2</v>
      </c>
      <c r="W810">
        <v>5472.77</v>
      </c>
      <c r="X810">
        <v>4477.33</v>
      </c>
      <c r="Y810">
        <v>995.44</v>
      </c>
      <c r="Z810" t="s">
        <v>34</v>
      </c>
      <c r="AA810" t="s">
        <v>35</v>
      </c>
    </row>
    <row r="811" spans="1:27">
      <c r="A811" t="s">
        <v>3719</v>
      </c>
      <c r="B811" s="4" t="s">
        <v>1516</v>
      </c>
      <c r="C811" s="4" t="s">
        <v>1516</v>
      </c>
      <c r="D811" s="4" t="str">
        <f>IF(C699&lt;B699,"Invalid","OK")</f>
        <v>OK</v>
      </c>
      <c r="E811" s="7" t="str">
        <f>IF(OR(D811="Invalid",D811&lt;0),"",D811)</f>
        <v>OK</v>
      </c>
      <c r="F811" t="s">
        <v>3720</v>
      </c>
      <c r="G811" t="s">
        <v>61</v>
      </c>
      <c r="H811" t="str">
        <f>PROPER(TRIM(G811))</f>
        <v>Arjun Bose</v>
      </c>
      <c r="I811" t="s">
        <v>41</v>
      </c>
      <c r="J811" t="str">
        <f>PROPER(TRIM(I811))</f>
        <v>Small Business</v>
      </c>
      <c r="K811" t="s">
        <v>27</v>
      </c>
      <c r="L811" t="s">
        <v>154</v>
      </c>
      <c r="M811" t="s">
        <v>155</v>
      </c>
      <c r="N811" t="s">
        <v>30</v>
      </c>
      <c r="O811" t="str">
        <f>TRIM(N811)</f>
        <v>Office Supplies</v>
      </c>
      <c r="P811" t="s">
        <v>198</v>
      </c>
      <c r="Q811" t="s">
        <v>3721</v>
      </c>
      <c r="R811" t="s">
        <v>33</v>
      </c>
      <c r="S811" t="s">
        <v>33</v>
      </c>
      <c r="T811">
        <v>6</v>
      </c>
      <c r="U811">
        <v>1366.13</v>
      </c>
      <c r="V811">
        <v>0.1</v>
      </c>
      <c r="W811">
        <v>7377.1</v>
      </c>
      <c r="X811">
        <v>5085.21</v>
      </c>
      <c r="Y811">
        <v>2291.89</v>
      </c>
      <c r="Z811" t="s">
        <v>34</v>
      </c>
      <c r="AA811" t="s">
        <v>35</v>
      </c>
    </row>
    <row r="812" spans="1:27">
      <c r="A812" t="s">
        <v>3722</v>
      </c>
      <c r="B812" t="s">
        <v>3723</v>
      </c>
      <c r="C812" t="s">
        <v>3724</v>
      </c>
      <c r="D812"/>
      <c r="E812" s="7">
        <f>IF(OR(D812="Invalid",D812&lt;0),"",D812)</f>
        <v>0</v>
      </c>
      <c r="F812" t="s">
        <v>2534</v>
      </c>
      <c r="G812" t="s">
        <v>366</v>
      </c>
      <c r="H812" t="str">
        <f>PROPER(TRIM(G812))</f>
        <v>Kabir Singh</v>
      </c>
      <c r="I812" t="s">
        <v>115</v>
      </c>
      <c r="J812" t="str">
        <f>PROPER(TRIM(I812))</f>
        <v>Home Office</v>
      </c>
      <c r="K812" t="s">
        <v>73</v>
      </c>
      <c r="L812" t="s">
        <v>235</v>
      </c>
      <c r="M812" t="s">
        <v>236</v>
      </c>
      <c r="N812" t="s">
        <v>86</v>
      </c>
      <c r="O812" t="str">
        <f>TRIM(N812)</f>
        <v>Technology</v>
      </c>
      <c r="P812" t="s">
        <v>94</v>
      </c>
      <c r="Q812" t="s">
        <v>3725</v>
      </c>
      <c r="R812" t="s">
        <v>56</v>
      </c>
      <c r="S812" t="s">
        <v>56</v>
      </c>
      <c r="T812">
        <v>1</v>
      </c>
      <c r="U812">
        <v>3151.85</v>
      </c>
      <c r="V812">
        <v>0.25</v>
      </c>
      <c r="W812">
        <v>2363.89</v>
      </c>
      <c r="X812">
        <v>1471.51</v>
      </c>
      <c r="Y812">
        <v>892.38</v>
      </c>
      <c r="Z812" t="s">
        <v>34</v>
      </c>
      <c r="AA812" t="s">
        <v>35</v>
      </c>
    </row>
    <row r="813" spans="1:27">
      <c r="A813" t="s">
        <v>3726</v>
      </c>
      <c r="B813" t="s">
        <v>3727</v>
      </c>
      <c r="C813" t="s">
        <v>3728</v>
      </c>
      <c r="D813"/>
      <c r="E813" s="7">
        <f>IF(OR(D813="Invalid",D813&lt;0),"",D813)</f>
        <v>0</v>
      </c>
      <c r="F813" t="s">
        <v>3729</v>
      </c>
      <c r="G813" t="s">
        <v>180</v>
      </c>
      <c r="H813" t="str">
        <f>PROPER(TRIM(G813))</f>
        <v>Rohan Mehta</v>
      </c>
      <c r="I813" t="s">
        <v>115</v>
      </c>
      <c r="J813" t="str">
        <f>PROPER(TRIM(I813))</f>
        <v>Home Office</v>
      </c>
      <c r="K813" t="s">
        <v>27</v>
      </c>
      <c r="L813" t="s">
        <v>323</v>
      </c>
      <c r="M813" t="s">
        <v>324</v>
      </c>
      <c r="N813" t="s">
        <v>86</v>
      </c>
      <c r="O813" t="str">
        <f>TRIM(N813)</f>
        <v>Technology</v>
      </c>
      <c r="P813" t="s">
        <v>87</v>
      </c>
      <c r="Q813" t="s">
        <v>3730</v>
      </c>
      <c r="R813" t="s">
        <v>56</v>
      </c>
      <c r="S813" t="s">
        <v>56</v>
      </c>
      <c r="T813">
        <v>2</v>
      </c>
      <c r="U813">
        <v>1610.75</v>
      </c>
      <c r="V813">
        <v>0.2</v>
      </c>
      <c r="W813">
        <v>2577.1999999999998</v>
      </c>
      <c r="X813">
        <v>1475.87</v>
      </c>
      <c r="Y813">
        <v>1101.33</v>
      </c>
      <c r="Z813" t="s">
        <v>34</v>
      </c>
      <c r="AA813" t="s">
        <v>35</v>
      </c>
    </row>
    <row r="814" spans="1:27">
      <c r="A814" t="s">
        <v>3731</v>
      </c>
      <c r="B814" t="s">
        <v>810</v>
      </c>
      <c r="C814" t="s">
        <v>3732</v>
      </c>
      <c r="D814"/>
      <c r="E814" s="7">
        <f>IF(OR(D814="Invalid",D814&lt;0),"",D814)</f>
        <v>0</v>
      </c>
      <c r="F814" t="s">
        <v>3733</v>
      </c>
      <c r="G814" t="s">
        <v>168</v>
      </c>
      <c r="H814" t="str">
        <f>PROPER(TRIM(G814))</f>
        <v>Sneha Kapoor</v>
      </c>
      <c r="I814" t="s">
        <v>41</v>
      </c>
      <c r="J814" t="str">
        <f>PROPER(TRIM(I814))</f>
        <v>Small Business</v>
      </c>
      <c r="K814" t="s">
        <v>42</v>
      </c>
      <c r="L814" t="s">
        <v>311</v>
      </c>
      <c r="M814" t="s">
        <v>312</v>
      </c>
      <c r="N814" t="s">
        <v>45</v>
      </c>
      <c r="O814" t="str">
        <f>TRIM(N814)</f>
        <v>Furniture</v>
      </c>
      <c r="P814" t="s">
        <v>46</v>
      </c>
      <c r="Q814" t="s">
        <v>3734</v>
      </c>
      <c r="R814" t="s">
        <v>56</v>
      </c>
      <c r="S814" t="s">
        <v>56</v>
      </c>
      <c r="T814">
        <v>8</v>
      </c>
      <c r="U814">
        <v>2228.4699999999998</v>
      </c>
      <c r="V814">
        <v>0</v>
      </c>
      <c r="W814">
        <v>17827.759999999998</v>
      </c>
      <c r="X814">
        <v>14122.13</v>
      </c>
      <c r="Y814">
        <v>3705.63</v>
      </c>
      <c r="Z814" t="s">
        <v>34</v>
      </c>
      <c r="AA814" t="s">
        <v>35</v>
      </c>
    </row>
    <row r="815" spans="1:27">
      <c r="A815" t="s">
        <v>3735</v>
      </c>
      <c r="B815" t="s">
        <v>3736</v>
      </c>
      <c r="C815" t="s">
        <v>3737</v>
      </c>
      <c r="D815"/>
      <c r="E815" s="7">
        <f>IF(OR(D815="Invalid",D815&lt;0),"",D815)</f>
        <v>0</v>
      </c>
      <c r="F815" t="s">
        <v>3738</v>
      </c>
      <c r="G815" t="s">
        <v>180</v>
      </c>
      <c r="H815" t="str">
        <f>PROPER(TRIM(G815))</f>
        <v>Rohan Mehta</v>
      </c>
      <c r="I815" t="s">
        <v>26</v>
      </c>
      <c r="J815" t="str">
        <f>PROPER(TRIM(I815))</f>
        <v>Consumer</v>
      </c>
      <c r="K815" t="s">
        <v>42</v>
      </c>
      <c r="L815" t="s">
        <v>43</v>
      </c>
      <c r="M815" t="s">
        <v>44</v>
      </c>
      <c r="N815" t="s">
        <v>45</v>
      </c>
      <c r="O815" t="str">
        <f>TRIM(N815)</f>
        <v>Furniture</v>
      </c>
      <c r="P815" t="s">
        <v>204</v>
      </c>
      <c r="Q815" t="s">
        <v>1717</v>
      </c>
      <c r="R815" t="s">
        <v>67</v>
      </c>
      <c r="S815" t="s">
        <v>67</v>
      </c>
      <c r="T815">
        <v>2</v>
      </c>
      <c r="U815">
        <v>1337.67</v>
      </c>
      <c r="V815">
        <v>0</v>
      </c>
      <c r="W815">
        <v>2675.34</v>
      </c>
      <c r="X815">
        <v>1595.87</v>
      </c>
      <c r="Y815">
        <v>1079.47</v>
      </c>
      <c r="Z815" t="s">
        <v>34</v>
      </c>
      <c r="AA815" t="s">
        <v>35</v>
      </c>
    </row>
    <row r="816" spans="1:27">
      <c r="A816" t="s">
        <v>3739</v>
      </c>
      <c r="B816" t="s">
        <v>1371</v>
      </c>
      <c r="C816" t="s">
        <v>583</v>
      </c>
      <c r="D816"/>
      <c r="E816" s="7">
        <f>IF(OR(D816="Invalid",D816&lt;0),"",D816)</f>
        <v>0</v>
      </c>
      <c r="F816" t="s">
        <v>3740</v>
      </c>
      <c r="G816" t="s">
        <v>61</v>
      </c>
      <c r="H816" t="str">
        <f>PROPER(TRIM(G816))</f>
        <v>Arjun Bose</v>
      </c>
      <c r="I816" t="s">
        <v>26</v>
      </c>
      <c r="J816" t="str">
        <f>PROPER(TRIM(I816))</f>
        <v>Consumer</v>
      </c>
      <c r="K816" t="s">
        <v>73</v>
      </c>
      <c r="L816" t="s">
        <v>84</v>
      </c>
      <c r="M816" t="s">
        <v>85</v>
      </c>
      <c r="N816" t="s">
        <v>30</v>
      </c>
      <c r="O816" t="str">
        <f>TRIM(N816)</f>
        <v>Office Supplies</v>
      </c>
      <c r="P816" t="s">
        <v>109</v>
      </c>
      <c r="Q816" t="s">
        <v>3741</v>
      </c>
      <c r="R816" t="s">
        <v>56</v>
      </c>
      <c r="S816" t="s">
        <v>56</v>
      </c>
      <c r="T816">
        <v>2</v>
      </c>
      <c r="U816">
        <v>2375.94</v>
      </c>
      <c r="V816">
        <v>0.25</v>
      </c>
      <c r="W816">
        <v>3563.91</v>
      </c>
      <c r="X816">
        <v>2639.7</v>
      </c>
      <c r="Y816">
        <v>924.21</v>
      </c>
      <c r="Z816" t="s">
        <v>34</v>
      </c>
      <c r="AA816" t="s">
        <v>35</v>
      </c>
    </row>
    <row r="817" spans="1:27">
      <c r="A817" t="s">
        <v>3742</v>
      </c>
      <c r="B817" t="s">
        <v>2442</v>
      </c>
      <c r="C817" t="s">
        <v>3743</v>
      </c>
      <c r="D817"/>
      <c r="E817" s="7">
        <f>IF(OR(D817="Invalid",D817&lt;0),"",D817)</f>
        <v>0</v>
      </c>
      <c r="F817" t="s">
        <v>3744</v>
      </c>
      <c r="G817" t="s">
        <v>210</v>
      </c>
      <c r="H817" t="str">
        <f>PROPER(TRIM(G817))</f>
        <v>Diya Patel</v>
      </c>
      <c r="I817" t="s">
        <v>26</v>
      </c>
      <c r="J817" t="str">
        <f>PROPER(TRIM(I817))</f>
        <v>Consumer</v>
      </c>
      <c r="K817" t="s">
        <v>42</v>
      </c>
      <c r="L817" t="s">
        <v>43</v>
      </c>
      <c r="M817" t="s">
        <v>44</v>
      </c>
      <c r="N817" t="s">
        <v>86</v>
      </c>
      <c r="O817" t="str">
        <f>TRIM(N817)</f>
        <v>Technology</v>
      </c>
      <c r="P817" t="s">
        <v>382</v>
      </c>
      <c r="Q817" t="s">
        <v>3745</v>
      </c>
      <c r="R817" t="s">
        <v>67</v>
      </c>
      <c r="S817" t="s">
        <v>67</v>
      </c>
      <c r="T817">
        <v>7</v>
      </c>
      <c r="U817">
        <v>715.81</v>
      </c>
      <c r="V817">
        <v>0.15</v>
      </c>
      <c r="W817">
        <v>4259.07</v>
      </c>
      <c r="X817">
        <v>3130.32</v>
      </c>
      <c r="Y817">
        <v>1128.75</v>
      </c>
      <c r="Z817" t="s">
        <v>137</v>
      </c>
      <c r="AA817" t="s">
        <v>78</v>
      </c>
    </row>
    <row r="818" spans="1:27">
      <c r="A818" t="s">
        <v>3746</v>
      </c>
      <c r="B818" t="s">
        <v>3747</v>
      </c>
      <c r="C818" t="s">
        <v>3748</v>
      </c>
      <c r="D818"/>
      <c r="E818" s="7">
        <f>IF(OR(D818="Invalid",D818&lt;0),"",D818)</f>
        <v>0</v>
      </c>
      <c r="F818" t="s">
        <v>3749</v>
      </c>
      <c r="G818" t="s">
        <v>148</v>
      </c>
      <c r="H818" t="str">
        <f>PROPER(TRIM(G818))</f>
        <v>Rahul Verma</v>
      </c>
      <c r="I818" t="s">
        <v>41</v>
      </c>
      <c r="J818" t="str">
        <f>PROPER(TRIM(I818))</f>
        <v>Small Business</v>
      </c>
      <c r="K818" t="s">
        <v>42</v>
      </c>
      <c r="L818" t="s">
        <v>311</v>
      </c>
      <c r="M818" t="s">
        <v>312</v>
      </c>
      <c r="N818" t="s">
        <v>45</v>
      </c>
      <c r="O818" t="str">
        <f>TRIM(N818)</f>
        <v>Furniture</v>
      </c>
      <c r="P818" t="s">
        <v>65</v>
      </c>
      <c r="Q818" t="s">
        <v>3750</v>
      </c>
      <c r="R818" t="s">
        <v>56</v>
      </c>
      <c r="S818" t="s">
        <v>56</v>
      </c>
      <c r="T818">
        <v>1</v>
      </c>
      <c r="U818">
        <v>874.3</v>
      </c>
      <c r="V818">
        <v>0.1</v>
      </c>
      <c r="W818">
        <v>786.87</v>
      </c>
      <c r="X818">
        <v>498.5</v>
      </c>
      <c r="Y818">
        <v>288.37</v>
      </c>
      <c r="Z818" t="s">
        <v>34</v>
      </c>
      <c r="AA818" t="s">
        <v>35</v>
      </c>
    </row>
    <row r="819" spans="1:27">
      <c r="A819" t="s">
        <v>3751</v>
      </c>
      <c r="B819" t="s">
        <v>3752</v>
      </c>
      <c r="C819" t="s">
        <v>3753</v>
      </c>
      <c r="D819"/>
      <c r="E819" s="7">
        <f>IF(OR(D819="Invalid",D819&lt;0),"",D819)</f>
        <v>0</v>
      </c>
      <c r="F819" t="s">
        <v>3754</v>
      </c>
      <c r="G819" t="s">
        <v>168</v>
      </c>
      <c r="H819" t="str">
        <f>PROPER(TRIM(G819))</f>
        <v>Sneha Kapoor</v>
      </c>
      <c r="I819" t="s">
        <v>26</v>
      </c>
      <c r="J819" t="str">
        <f>PROPER(TRIM(I819))</f>
        <v>Consumer</v>
      </c>
      <c r="K819" t="s">
        <v>42</v>
      </c>
      <c r="L819" t="s">
        <v>186</v>
      </c>
      <c r="M819" t="s">
        <v>187</v>
      </c>
      <c r="N819" t="s">
        <v>30</v>
      </c>
      <c r="O819" t="str">
        <f>TRIM(N819)</f>
        <v>Office Supplies</v>
      </c>
      <c r="P819" t="s">
        <v>198</v>
      </c>
      <c r="Q819" t="s">
        <v>3755</v>
      </c>
      <c r="R819" t="s">
        <v>67</v>
      </c>
      <c r="S819" t="s">
        <v>67</v>
      </c>
      <c r="T819">
        <v>6</v>
      </c>
      <c r="U819">
        <v>1829.69</v>
      </c>
      <c r="V819">
        <v>0.25</v>
      </c>
      <c r="W819">
        <v>8233.6</v>
      </c>
      <c r="X819">
        <v>4713.79</v>
      </c>
      <c r="Y819">
        <v>3519.81</v>
      </c>
      <c r="Z819" t="s">
        <v>34</v>
      </c>
      <c r="AA819" t="s">
        <v>35</v>
      </c>
    </row>
    <row r="820" spans="1:27">
      <c r="A820" t="s">
        <v>3756</v>
      </c>
      <c r="B820" t="s">
        <v>3757</v>
      </c>
      <c r="C820" t="s">
        <v>3238</v>
      </c>
      <c r="D820"/>
      <c r="E820" s="7">
        <f>IF(OR(D820="Invalid",D820&lt;0),"",D820)</f>
        <v>0</v>
      </c>
      <c r="F820" t="s">
        <v>3758</v>
      </c>
      <c r="G820" t="s">
        <v>142</v>
      </c>
      <c r="H820" t="str">
        <f>PROPER(TRIM(G820))</f>
        <v>Priya Menon</v>
      </c>
      <c r="I820" t="s">
        <v>41</v>
      </c>
      <c r="J820" t="str">
        <f>PROPER(TRIM(I820))</f>
        <v>Small Business</v>
      </c>
      <c r="K820" t="s">
        <v>73</v>
      </c>
      <c r="L820" t="s">
        <v>74</v>
      </c>
      <c r="M820" t="s">
        <v>75</v>
      </c>
      <c r="N820" t="s">
        <v>30</v>
      </c>
      <c r="O820" t="str">
        <f>TRIM(N820)</f>
        <v>Office Supplies</v>
      </c>
      <c r="P820" t="s">
        <v>109</v>
      </c>
      <c r="Q820" t="s">
        <v>3759</v>
      </c>
      <c r="R820" t="s">
        <v>56</v>
      </c>
      <c r="S820" t="s">
        <v>56</v>
      </c>
      <c r="T820">
        <v>8</v>
      </c>
      <c r="U820">
        <v>1981.04</v>
      </c>
      <c r="V820">
        <v>-0.14000000000000001</v>
      </c>
      <c r="W820">
        <v>12678.66</v>
      </c>
      <c r="X820">
        <v>10088.65</v>
      </c>
      <c r="Y820">
        <v>2590.0100000000002</v>
      </c>
      <c r="Z820" t="s">
        <v>34</v>
      </c>
      <c r="AA820" t="s">
        <v>35</v>
      </c>
    </row>
    <row r="821" spans="1:27">
      <c r="A821" t="s">
        <v>3760</v>
      </c>
      <c r="B821" t="s">
        <v>1594</v>
      </c>
      <c r="C821" t="s">
        <v>3761</v>
      </c>
      <c r="D821"/>
      <c r="E821" s="7">
        <f>IF(OR(D821="Invalid",D821&lt;0),"",D821)</f>
        <v>0</v>
      </c>
      <c r="F821" t="s">
        <v>3762</v>
      </c>
      <c r="G821" t="s">
        <v>25</v>
      </c>
      <c r="H821" t="str">
        <f>PROPER(TRIM(G821))</f>
        <v>Karan Malhotra</v>
      </c>
      <c r="I821" t="s">
        <v>115</v>
      </c>
      <c r="J821" t="str">
        <f>PROPER(TRIM(I821))</f>
        <v>Home Office</v>
      </c>
      <c r="K821" t="s">
        <v>62</v>
      </c>
      <c r="L821" t="s">
        <v>242</v>
      </c>
      <c r="M821" t="s">
        <v>243</v>
      </c>
      <c r="N821" t="s">
        <v>86</v>
      </c>
      <c r="O821" t="str">
        <f>TRIM(N821)</f>
        <v>Technology</v>
      </c>
      <c r="P821" t="s">
        <v>3763</v>
      </c>
      <c r="Q821" t="s">
        <v>3764</v>
      </c>
      <c r="R821" t="s">
        <v>67</v>
      </c>
      <c r="S821" t="s">
        <v>67</v>
      </c>
      <c r="T821">
        <v>8</v>
      </c>
      <c r="U821">
        <v>4246.01</v>
      </c>
      <c r="V821">
        <v>0</v>
      </c>
      <c r="W821">
        <v>33968.080000000002</v>
      </c>
      <c r="X821">
        <v>26902.44</v>
      </c>
      <c r="Y821">
        <v>7065.64</v>
      </c>
      <c r="Z821" t="s">
        <v>200</v>
      </c>
      <c r="AA821" t="s">
        <v>78</v>
      </c>
    </row>
    <row r="822" spans="1:27">
      <c r="A822" t="s">
        <v>3765</v>
      </c>
      <c r="B822" t="s">
        <v>3766</v>
      </c>
      <c r="C822" t="s">
        <v>3767</v>
      </c>
      <c r="D822"/>
      <c r="E822" s="7">
        <f>IF(OR(D822="Invalid",D822&lt;0),"",D822)</f>
        <v>0</v>
      </c>
      <c r="F822" t="s">
        <v>3768</v>
      </c>
      <c r="G822" t="s">
        <v>72</v>
      </c>
      <c r="H822" t="str">
        <f>PROPER(TRIM(G822))</f>
        <v>Ananya Rao</v>
      </c>
      <c r="I822" t="s">
        <v>115</v>
      </c>
      <c r="J822" t="str">
        <f>PROPER(TRIM(I822))</f>
        <v>Home Office</v>
      </c>
      <c r="K822" t="s">
        <v>27</v>
      </c>
      <c r="L822" t="s">
        <v>174</v>
      </c>
      <c r="M822" t="s">
        <v>175</v>
      </c>
      <c r="N822" t="s">
        <v>45</v>
      </c>
      <c r="O822" t="str">
        <f>TRIM(N822)</f>
        <v>Furniture</v>
      </c>
      <c r="P822" t="s">
        <v>204</v>
      </c>
      <c r="Q822" t="s">
        <v>3769</v>
      </c>
      <c r="R822" t="s">
        <v>67</v>
      </c>
      <c r="S822" t="s">
        <v>67</v>
      </c>
      <c r="T822">
        <v>2</v>
      </c>
      <c r="U822">
        <v>319.57</v>
      </c>
      <c r="V822">
        <v>0.2</v>
      </c>
      <c r="W822">
        <v>511.31</v>
      </c>
      <c r="X822">
        <v>436.43</v>
      </c>
      <c r="Y822">
        <v>74.88</v>
      </c>
      <c r="Z822" t="s">
        <v>34</v>
      </c>
      <c r="AA822" t="s">
        <v>35</v>
      </c>
    </row>
    <row r="823" spans="1:27">
      <c r="A823" t="s">
        <v>3770</v>
      </c>
      <c r="B823" t="s">
        <v>3771</v>
      </c>
      <c r="C823" t="s">
        <v>3772</v>
      </c>
      <c r="D823"/>
      <c r="E823" s="7">
        <f>IF(OR(D823="Invalid",D823&lt;0),"",D823)</f>
        <v>0</v>
      </c>
      <c r="F823" t="s">
        <v>3773</v>
      </c>
      <c r="G823" t="s">
        <v>162</v>
      </c>
      <c r="H823" t="str">
        <f>PROPER(TRIM(G823))</f>
        <v>Aarav Sharma</v>
      </c>
      <c r="I823" t="s">
        <v>108</v>
      </c>
      <c r="J823" t="str">
        <f>PROPER(TRIM(I823))</f>
        <v>Corporate</v>
      </c>
      <c r="K823" t="s">
        <v>62</v>
      </c>
      <c r="L823" t="s">
        <v>229</v>
      </c>
      <c r="M823" t="s">
        <v>230</v>
      </c>
      <c r="N823" t="s">
        <v>86</v>
      </c>
      <c r="O823" t="str">
        <f>TRIM(N823)</f>
        <v>Technology</v>
      </c>
      <c r="P823" t="s">
        <v>87</v>
      </c>
      <c r="Q823" t="s">
        <v>3774</v>
      </c>
      <c r="R823" t="s">
        <v>56</v>
      </c>
      <c r="S823" t="s">
        <v>56</v>
      </c>
      <c r="T823">
        <v>7</v>
      </c>
      <c r="U823">
        <v>1942.49</v>
      </c>
      <c r="V823">
        <v>0.2</v>
      </c>
      <c r="W823">
        <v>10877.94</v>
      </c>
      <c r="X823">
        <v>9110.14</v>
      </c>
      <c r="Y823">
        <v>1767.8</v>
      </c>
      <c r="Z823" t="s">
        <v>34</v>
      </c>
      <c r="AA823" t="s">
        <v>35</v>
      </c>
    </row>
    <row r="824" spans="1:27">
      <c r="A824" t="s">
        <v>3775</v>
      </c>
      <c r="B824" t="s">
        <v>3776</v>
      </c>
      <c r="C824" t="s">
        <v>3777</v>
      </c>
      <c r="D824"/>
      <c r="E824" s="7">
        <f>IF(OR(D824="Invalid",D824&lt;0),"",D824)</f>
        <v>0</v>
      </c>
      <c r="F824" t="s">
        <v>3778</v>
      </c>
      <c r="G824" t="s">
        <v>40</v>
      </c>
      <c r="H824" t="str">
        <f>PROPER(TRIM(G824))</f>
        <v>Mira Das</v>
      </c>
      <c r="I824" t="s">
        <v>108</v>
      </c>
      <c r="J824" t="str">
        <f>PROPER(TRIM(I824))</f>
        <v>Corporate</v>
      </c>
      <c r="K824" t="s">
        <v>42</v>
      </c>
      <c r="L824" t="s">
        <v>216</v>
      </c>
      <c r="M824" t="s">
        <v>217</v>
      </c>
      <c r="N824" t="s">
        <v>45</v>
      </c>
      <c r="O824" t="str">
        <f>TRIM(N824)</f>
        <v>Furniture</v>
      </c>
      <c r="P824" t="s">
        <v>65</v>
      </c>
      <c r="Q824" t="s">
        <v>3779</v>
      </c>
      <c r="R824" t="s">
        <v>33</v>
      </c>
      <c r="S824" t="s">
        <v>33</v>
      </c>
      <c r="T824">
        <v>4</v>
      </c>
      <c r="U824">
        <v>3202.04</v>
      </c>
      <c r="V824">
        <v>0.2</v>
      </c>
      <c r="W824">
        <v>10246.530000000001</v>
      </c>
      <c r="X824">
        <v>8634.42</v>
      </c>
      <c r="Y824">
        <v>1612.11</v>
      </c>
      <c r="Z824" t="s">
        <v>137</v>
      </c>
      <c r="AA824" t="s">
        <v>125</v>
      </c>
    </row>
    <row r="825" spans="1:27">
      <c r="A825" t="s">
        <v>3780</v>
      </c>
      <c r="B825" t="s">
        <v>3781</v>
      </c>
      <c r="C825" t="s">
        <v>2178</v>
      </c>
      <c r="D825"/>
      <c r="E825" s="7">
        <f>IF(OR(D825="Invalid",D825&lt;0),"",D825)</f>
        <v>0</v>
      </c>
      <c r="F825" t="s">
        <v>3782</v>
      </c>
      <c r="G825" t="s">
        <v>40</v>
      </c>
      <c r="H825" t="str">
        <f>PROPER(TRIM(G825))</f>
        <v>Mira Das</v>
      </c>
      <c r="I825" t="s">
        <v>115</v>
      </c>
      <c r="J825" t="str">
        <f>PROPER(TRIM(I825))</f>
        <v>Home Office</v>
      </c>
      <c r="K825" t="s">
        <v>73</v>
      </c>
      <c r="L825" t="s">
        <v>249</v>
      </c>
      <c r="M825" t="s">
        <v>250</v>
      </c>
      <c r="N825" t="s">
        <v>30</v>
      </c>
      <c r="O825" t="str">
        <f>TRIM(N825)</f>
        <v>Office Supplies</v>
      </c>
      <c r="P825" t="s">
        <v>31</v>
      </c>
      <c r="Q825" t="s">
        <v>3783</v>
      </c>
      <c r="R825" t="s">
        <v>48</v>
      </c>
      <c r="S825" t="s">
        <v>48</v>
      </c>
      <c r="T825">
        <v>3</v>
      </c>
      <c r="U825">
        <v>668.33</v>
      </c>
      <c r="V825">
        <v>0.15</v>
      </c>
      <c r="W825">
        <v>1704.24</v>
      </c>
      <c r="X825">
        <v>957.55</v>
      </c>
      <c r="Y825">
        <v>746.69</v>
      </c>
      <c r="Z825" t="s">
        <v>34</v>
      </c>
      <c r="AA825" t="s">
        <v>35</v>
      </c>
    </row>
    <row r="826" spans="1:27">
      <c r="A826" t="s">
        <v>3784</v>
      </c>
      <c r="B826" t="s">
        <v>3785</v>
      </c>
      <c r="C826" t="s">
        <v>2115</v>
      </c>
      <c r="D826"/>
      <c r="E826" s="7">
        <f>IF(OR(D826="Invalid",D826&lt;0),"",D826)</f>
        <v>0</v>
      </c>
      <c r="F826" t="s">
        <v>3786</v>
      </c>
      <c r="G826" t="s">
        <v>142</v>
      </c>
      <c r="H826" t="str">
        <f>PROPER(TRIM(G826))</f>
        <v>Priya Menon</v>
      </c>
      <c r="I826" t="s">
        <v>26</v>
      </c>
      <c r="J826" t="str">
        <f>PROPER(TRIM(I826))</f>
        <v>Consumer</v>
      </c>
      <c r="K826" t="s">
        <v>73</v>
      </c>
      <c r="L826" t="s">
        <v>249</v>
      </c>
      <c r="M826" t="s">
        <v>250</v>
      </c>
      <c r="N826" t="s">
        <v>30</v>
      </c>
      <c r="O826" t="str">
        <f>TRIM(N826)</f>
        <v>Office Supplies</v>
      </c>
      <c r="P826" t="s">
        <v>31</v>
      </c>
      <c r="Q826" t="s">
        <v>3787</v>
      </c>
      <c r="R826" t="s">
        <v>56</v>
      </c>
      <c r="S826" t="s">
        <v>56</v>
      </c>
      <c r="T826">
        <v>8</v>
      </c>
      <c r="U826">
        <v>4436.74</v>
      </c>
      <c r="V826">
        <v>0.05</v>
      </c>
      <c r="W826">
        <v>33719.22</v>
      </c>
      <c r="X826">
        <v>28924.43</v>
      </c>
      <c r="Y826">
        <v>4794.79</v>
      </c>
      <c r="Z826" t="s">
        <v>34</v>
      </c>
      <c r="AA826" t="s">
        <v>35</v>
      </c>
    </row>
    <row r="827" spans="1:27">
      <c r="A827" t="s">
        <v>3788</v>
      </c>
      <c r="B827" t="s">
        <v>3789</v>
      </c>
      <c r="C827" t="s">
        <v>3790</v>
      </c>
      <c r="D827"/>
      <c r="E827" s="7">
        <f>IF(OR(D827="Invalid",D827&lt;0),"",D827)</f>
        <v>0</v>
      </c>
      <c r="F827" t="s">
        <v>3791</v>
      </c>
      <c r="G827" t="s">
        <v>83</v>
      </c>
      <c r="H827" t="str">
        <f>PROPER(TRIM(G827))</f>
        <v>Vikram Iyer</v>
      </c>
      <c r="I827" t="s">
        <v>41</v>
      </c>
      <c r="J827" t="str">
        <f>PROPER(TRIM(I827))</f>
        <v>Small Business</v>
      </c>
      <c r="K827" t="s">
        <v>27</v>
      </c>
      <c r="L827" t="s">
        <v>174</v>
      </c>
      <c r="M827" t="s">
        <v>175</v>
      </c>
      <c r="N827" t="s">
        <v>86</v>
      </c>
      <c r="O827" t="str">
        <f>TRIM(N827)</f>
        <v>Technology</v>
      </c>
      <c r="P827" t="s">
        <v>382</v>
      </c>
      <c r="Q827" t="s">
        <v>3792</v>
      </c>
      <c r="R827" t="s">
        <v>56</v>
      </c>
      <c r="S827" t="s">
        <v>56</v>
      </c>
      <c r="T827">
        <v>1</v>
      </c>
      <c r="U827">
        <v>2720.17</v>
      </c>
      <c r="V827">
        <v>0</v>
      </c>
      <c r="W827">
        <v>2720.17</v>
      </c>
      <c r="X827">
        <v>1834.23</v>
      </c>
      <c r="Y827">
        <v>885.94</v>
      </c>
      <c r="Z827" t="s">
        <v>34</v>
      </c>
      <c r="AA827" t="s">
        <v>35</v>
      </c>
    </row>
    <row r="828" spans="1:27">
      <c r="A828" t="s">
        <v>3793</v>
      </c>
      <c r="B828" t="s">
        <v>3103</v>
      </c>
      <c r="C828" t="s">
        <v>3794</v>
      </c>
      <c r="D828"/>
      <c r="E828" s="7">
        <f>IF(OR(D828="Invalid",D828&lt;0),"",D828)</f>
        <v>0</v>
      </c>
      <c r="F828" t="s">
        <v>3795</v>
      </c>
      <c r="G828" t="s">
        <v>107</v>
      </c>
      <c r="H828" t="str">
        <f>PROPER(TRIM(G828))</f>
        <v>Aditi Sen</v>
      </c>
      <c r="I828" t="s">
        <v>26</v>
      </c>
      <c r="J828" t="str">
        <f>PROPER(TRIM(I828))</f>
        <v>Consumer</v>
      </c>
      <c r="K828" t="s">
        <v>73</v>
      </c>
      <c r="L828" t="s">
        <v>28</v>
      </c>
      <c r="M828" t="s">
        <v>135</v>
      </c>
      <c r="N828" t="s">
        <v>86</v>
      </c>
      <c r="O828" t="str">
        <f>TRIM(N828)</f>
        <v>Technology</v>
      </c>
      <c r="P828" t="s">
        <v>87</v>
      </c>
      <c r="Q828" t="s">
        <v>3796</v>
      </c>
      <c r="R828" t="s">
        <v>67</v>
      </c>
      <c r="S828" t="s">
        <v>67</v>
      </c>
      <c r="T828">
        <v>5</v>
      </c>
      <c r="U828">
        <v>2190.14</v>
      </c>
      <c r="V828">
        <v>0.25</v>
      </c>
      <c r="W828">
        <v>8213.02</v>
      </c>
      <c r="X828">
        <v>5569.3</v>
      </c>
      <c r="Y828">
        <v>2643.72</v>
      </c>
      <c r="Z828" t="s">
        <v>34</v>
      </c>
      <c r="AA828" t="s">
        <v>35</v>
      </c>
    </row>
    <row r="829" spans="1:27">
      <c r="A829" t="s">
        <v>3797</v>
      </c>
      <c r="B829" t="s">
        <v>3798</v>
      </c>
      <c r="C829" t="s">
        <v>1750</v>
      </c>
      <c r="D829"/>
      <c r="E829" s="7">
        <f>IF(OR(D829="Invalid",D829&lt;0),"",D829)</f>
        <v>0</v>
      </c>
      <c r="F829" t="s">
        <v>3799</v>
      </c>
      <c r="G829" t="s">
        <v>142</v>
      </c>
      <c r="H829" t="str">
        <f>PROPER(TRIM(G829))</f>
        <v>Priya Menon</v>
      </c>
      <c r="I829" t="s">
        <v>115</v>
      </c>
      <c r="J829" t="str">
        <f>PROPER(TRIM(I829))</f>
        <v>Home Office</v>
      </c>
      <c r="K829" t="s">
        <v>62</v>
      </c>
      <c r="L829" t="s">
        <v>339</v>
      </c>
      <c r="M829" t="s">
        <v>340</v>
      </c>
      <c r="N829" t="s">
        <v>30</v>
      </c>
      <c r="O829" t="str">
        <f>TRIM(N829)</f>
        <v>Office Supplies</v>
      </c>
      <c r="P829" t="s">
        <v>31</v>
      </c>
      <c r="Q829" t="s">
        <v>3800</v>
      </c>
      <c r="R829" t="s">
        <v>48</v>
      </c>
      <c r="S829" t="s">
        <v>48</v>
      </c>
      <c r="T829">
        <v>1</v>
      </c>
      <c r="U829">
        <v>844.89</v>
      </c>
      <c r="V829">
        <v>0.25</v>
      </c>
      <c r="W829">
        <v>633.66999999999996</v>
      </c>
      <c r="X829">
        <v>520.47</v>
      </c>
      <c r="Y829">
        <v>113.2</v>
      </c>
      <c r="Z829" t="s">
        <v>34</v>
      </c>
      <c r="AA829" t="s">
        <v>78</v>
      </c>
    </row>
    <row r="830" spans="1:27">
      <c r="A830" t="s">
        <v>3801</v>
      </c>
      <c r="B830" t="s">
        <v>3802</v>
      </c>
      <c r="C830" t="s">
        <v>3803</v>
      </c>
      <c r="D830"/>
      <c r="E830" s="7">
        <f>IF(OR(D830="Invalid",D830&lt;0),"",D830)</f>
        <v>0</v>
      </c>
      <c r="F830" t="s">
        <v>3804</v>
      </c>
      <c r="G830" t="s">
        <v>25</v>
      </c>
      <c r="H830" t="str">
        <f>PROPER(TRIM(G830))</f>
        <v>Karan Malhotra</v>
      </c>
      <c r="I830" t="s">
        <v>108</v>
      </c>
      <c r="J830" t="str">
        <f>PROPER(TRIM(I830))</f>
        <v>Corporate</v>
      </c>
      <c r="K830" t="s">
        <v>42</v>
      </c>
      <c r="L830" t="s">
        <v>43</v>
      </c>
      <c r="M830" t="s">
        <v>44</v>
      </c>
      <c r="N830" t="s">
        <v>45</v>
      </c>
      <c r="O830" t="str">
        <f>TRIM(N830)</f>
        <v>Furniture</v>
      </c>
      <c r="P830" t="s">
        <v>76</v>
      </c>
      <c r="Q830" t="s">
        <v>3805</v>
      </c>
      <c r="R830" t="s">
        <v>33</v>
      </c>
      <c r="S830" t="s">
        <v>33</v>
      </c>
      <c r="T830">
        <v>7</v>
      </c>
      <c r="U830">
        <v>3791.96</v>
      </c>
      <c r="V830">
        <v>0.05</v>
      </c>
      <c r="W830">
        <v>25216.53</v>
      </c>
      <c r="X830">
        <v>14216.94</v>
      </c>
      <c r="Y830">
        <v>10999.59</v>
      </c>
      <c r="Z830" t="s">
        <v>200</v>
      </c>
      <c r="AA830" t="s">
        <v>78</v>
      </c>
    </row>
    <row r="831" spans="1:27">
      <c r="A831" t="s">
        <v>3806</v>
      </c>
      <c r="B831" t="s">
        <v>3807</v>
      </c>
      <c r="C831" t="s">
        <v>1474</v>
      </c>
      <c r="D831"/>
      <c r="E831" s="7">
        <f>IF(OR(D831="Invalid",D831&lt;0),"",D831)</f>
        <v>0</v>
      </c>
      <c r="F831" t="s">
        <v>3808</v>
      </c>
      <c r="G831" t="s">
        <v>107</v>
      </c>
      <c r="H831" t="str">
        <f>PROPER(TRIM(G831))</f>
        <v>Aditi Sen</v>
      </c>
      <c r="I831" t="s">
        <v>41</v>
      </c>
      <c r="J831" t="str">
        <f>PROPER(TRIM(I831))</f>
        <v>Small Business</v>
      </c>
      <c r="K831" t="s">
        <v>73</v>
      </c>
      <c r="L831" t="s">
        <v>249</v>
      </c>
      <c r="M831" t="s">
        <v>250</v>
      </c>
      <c r="N831" t="s">
        <v>45</v>
      </c>
      <c r="O831" t="str">
        <f>TRIM(N831)</f>
        <v>Furniture</v>
      </c>
      <c r="P831" t="s">
        <v>65</v>
      </c>
      <c r="Q831" t="s">
        <v>3809</v>
      </c>
      <c r="R831" t="s">
        <v>33</v>
      </c>
      <c r="S831" t="s">
        <v>33</v>
      </c>
      <c r="T831">
        <v>7</v>
      </c>
      <c r="U831">
        <v>1035.1400000000001</v>
      </c>
      <c r="V831">
        <v>0.1</v>
      </c>
      <c r="W831">
        <v>6521.38</v>
      </c>
      <c r="X831">
        <v>4511.1000000000004</v>
      </c>
      <c r="Y831">
        <v>2010.28</v>
      </c>
      <c r="Z831" t="s">
        <v>34</v>
      </c>
      <c r="AA831" t="s">
        <v>35</v>
      </c>
    </row>
    <row r="832" spans="1:27">
      <c r="A832" t="s">
        <v>3810</v>
      </c>
      <c r="B832" s="4" t="s">
        <v>2908</v>
      </c>
      <c r="C832" s="4" t="s">
        <v>720</v>
      </c>
      <c r="D832" s="4" t="str">
        <f>IF(C720&lt;B720,"Invalid","OK")</f>
        <v>OK</v>
      </c>
      <c r="E832" s="7" t="str">
        <f>IF(OR(D832="Invalid",D832&lt;0),"",D832)</f>
        <v>OK</v>
      </c>
      <c r="F832" t="s">
        <v>3811</v>
      </c>
      <c r="G832" t="s">
        <v>107</v>
      </c>
      <c r="H832" t="str">
        <f>PROPER(TRIM(G832))</f>
        <v>Aditi Sen</v>
      </c>
      <c r="I832" t="s">
        <v>41</v>
      </c>
      <c r="J832" t="str">
        <f>PROPER(TRIM(I832))</f>
        <v>Small Business</v>
      </c>
      <c r="K832" t="s">
        <v>62</v>
      </c>
      <c r="L832" t="s">
        <v>339</v>
      </c>
      <c r="M832" t="s">
        <v>340</v>
      </c>
      <c r="N832" t="s">
        <v>86</v>
      </c>
      <c r="O832" t="str">
        <f>TRIM(N832)</f>
        <v>Technology</v>
      </c>
      <c r="P832" t="s">
        <v>382</v>
      </c>
      <c r="Q832" t="s">
        <v>3812</v>
      </c>
      <c r="R832" t="s">
        <v>56</v>
      </c>
      <c r="S832" t="s">
        <v>56</v>
      </c>
      <c r="T832">
        <v>6</v>
      </c>
      <c r="U832">
        <v>2382.88</v>
      </c>
      <c r="V832">
        <v>0.1</v>
      </c>
      <c r="W832">
        <v>12867.55</v>
      </c>
      <c r="X832">
        <v>10068.94</v>
      </c>
      <c r="Y832">
        <v>2798.61</v>
      </c>
      <c r="Z832" t="s">
        <v>34</v>
      </c>
      <c r="AA832" t="s">
        <v>35</v>
      </c>
    </row>
    <row r="833" spans="1:27">
      <c r="A833" t="s">
        <v>3813</v>
      </c>
      <c r="B833" s="4" t="s">
        <v>469</v>
      </c>
      <c r="C833" s="4" t="s">
        <v>3255</v>
      </c>
      <c r="D833" s="4" t="str">
        <f>IF(C721&lt;B721,"Invalid","OK")</f>
        <v>OK</v>
      </c>
      <c r="E833" s="7" t="str">
        <f>IF(OR(D833="Invalid",D833&lt;0),"",D833)</f>
        <v>OK</v>
      </c>
      <c r="F833" t="s">
        <v>3814</v>
      </c>
      <c r="G833" t="s">
        <v>210</v>
      </c>
      <c r="H833" t="str">
        <f>PROPER(TRIM(G833))</f>
        <v>Diya Patel</v>
      </c>
      <c r="I833" t="s">
        <v>115</v>
      </c>
      <c r="J833" t="str">
        <f>PROPER(TRIM(I833))</f>
        <v>Home Office</v>
      </c>
      <c r="K833" t="s">
        <v>27</v>
      </c>
      <c r="L833" t="s">
        <v>323</v>
      </c>
      <c r="M833" t="s">
        <v>324</v>
      </c>
      <c r="N833" t="s">
        <v>45</v>
      </c>
      <c r="O833" t="str">
        <f>TRIM(N833)</f>
        <v>Furniture</v>
      </c>
      <c r="P833" t="s">
        <v>76</v>
      </c>
      <c r="Q833" t="s">
        <v>3815</v>
      </c>
      <c r="R833" t="s">
        <v>56</v>
      </c>
      <c r="S833" t="s">
        <v>56</v>
      </c>
      <c r="T833">
        <v>9</v>
      </c>
      <c r="U833">
        <v>3462.7</v>
      </c>
      <c r="V833">
        <v>0.15</v>
      </c>
      <c r="W833">
        <v>26489.65</v>
      </c>
      <c r="X833">
        <v>15818.46</v>
      </c>
      <c r="Y833">
        <v>10671.19</v>
      </c>
      <c r="Z833" t="s">
        <v>200</v>
      </c>
      <c r="AA833" t="s">
        <v>125</v>
      </c>
    </row>
    <row r="834" spans="1:27">
      <c r="A834" t="s">
        <v>3816</v>
      </c>
      <c r="B834" t="s">
        <v>3817</v>
      </c>
      <c r="C834" t="s">
        <v>3818</v>
      </c>
      <c r="D834"/>
      <c r="E834" s="7">
        <f>IF(OR(D834="Invalid",D834&lt;0),"",D834)</f>
        <v>0</v>
      </c>
      <c r="F834" t="s">
        <v>3819</v>
      </c>
      <c r="G834" t="s">
        <v>366</v>
      </c>
      <c r="H834" t="str">
        <f>PROPER(TRIM(G834))</f>
        <v>Kabir Singh</v>
      </c>
      <c r="I834" t="s">
        <v>41</v>
      </c>
      <c r="J834" t="str">
        <f>PROPER(TRIM(I834))</f>
        <v>Small Business</v>
      </c>
      <c r="K834" t="s">
        <v>62</v>
      </c>
      <c r="L834" t="s">
        <v>100</v>
      </c>
      <c r="M834" t="s">
        <v>101</v>
      </c>
      <c r="N834" t="s">
        <v>86</v>
      </c>
      <c r="O834" t="str">
        <f>TRIM(N834)</f>
        <v>Technology</v>
      </c>
      <c r="P834" t="s">
        <v>223</v>
      </c>
      <c r="Q834" t="s">
        <v>3820</v>
      </c>
      <c r="R834" t="s">
        <v>33</v>
      </c>
      <c r="S834" t="s">
        <v>33</v>
      </c>
      <c r="T834">
        <v>9</v>
      </c>
      <c r="U834">
        <v>4302.0200000000004</v>
      </c>
      <c r="V834">
        <v>0.05</v>
      </c>
      <c r="W834">
        <v>36782.269999999997</v>
      </c>
      <c r="X834">
        <v>25902.81</v>
      </c>
      <c r="Y834">
        <v>10879.46</v>
      </c>
      <c r="Z834" t="s">
        <v>34</v>
      </c>
      <c r="AA834" t="s">
        <v>35</v>
      </c>
    </row>
    <row r="835" spans="1:27">
      <c r="A835" t="s">
        <v>3821</v>
      </c>
      <c r="B835" t="s">
        <v>3822</v>
      </c>
      <c r="C835" t="s">
        <v>3823</v>
      </c>
      <c r="D835"/>
      <c r="E835" s="7">
        <f>IF(OR(D835="Invalid",D835&lt;0),"",D835)</f>
        <v>0</v>
      </c>
      <c r="F835" t="s">
        <v>3824</v>
      </c>
      <c r="G835" t="s">
        <v>148</v>
      </c>
      <c r="H835" t="str">
        <f>PROPER(TRIM(G835))</f>
        <v>Rahul Verma</v>
      </c>
      <c r="I835" t="s">
        <v>115</v>
      </c>
      <c r="J835" t="str">
        <f>PROPER(TRIM(I835))</f>
        <v>Home Office</v>
      </c>
      <c r="K835" t="s">
        <v>42</v>
      </c>
      <c r="L835" t="s">
        <v>121</v>
      </c>
      <c r="M835" t="s">
        <v>122</v>
      </c>
      <c r="N835" t="s">
        <v>45</v>
      </c>
      <c r="O835" t="str">
        <f>TRIM(N835)</f>
        <v>Furniture</v>
      </c>
      <c r="P835" t="s">
        <v>204</v>
      </c>
      <c r="Q835" t="s">
        <v>3825</v>
      </c>
      <c r="R835" t="s">
        <v>56</v>
      </c>
      <c r="S835" t="s">
        <v>56</v>
      </c>
      <c r="T835">
        <v>6</v>
      </c>
      <c r="U835">
        <v>3949.4</v>
      </c>
      <c r="V835">
        <v>0</v>
      </c>
      <c r="W835">
        <v>23696.400000000001</v>
      </c>
      <c r="X835">
        <v>18109.77</v>
      </c>
      <c r="Y835">
        <v>5586.63</v>
      </c>
      <c r="Z835" t="s">
        <v>34</v>
      </c>
      <c r="AA835" t="s">
        <v>35</v>
      </c>
    </row>
    <row r="836" spans="1:27">
      <c r="A836" t="s">
        <v>3826</v>
      </c>
      <c r="B836" t="s">
        <v>233</v>
      </c>
      <c r="C836" t="s">
        <v>3827</v>
      </c>
      <c r="D836"/>
      <c r="E836" s="7">
        <f>IF(OR(D836="Invalid",D836&lt;0),"",D836)</f>
        <v>0</v>
      </c>
      <c r="F836" t="s">
        <v>3828</v>
      </c>
      <c r="G836" t="s">
        <v>162</v>
      </c>
      <c r="H836" t="str">
        <f>PROPER(TRIM(G836))</f>
        <v>Aarav Sharma</v>
      </c>
      <c r="I836" t="s">
        <v>115</v>
      </c>
      <c r="J836" t="str">
        <f>PROPER(TRIM(I836))</f>
        <v>Home Office</v>
      </c>
      <c r="K836" t="s">
        <v>62</v>
      </c>
      <c r="L836" t="s">
        <v>63</v>
      </c>
      <c r="M836" t="s">
        <v>64</v>
      </c>
      <c r="N836" t="s">
        <v>30</v>
      </c>
      <c r="O836" t="str">
        <f>TRIM(N836)</f>
        <v>Office Supplies</v>
      </c>
      <c r="P836" t="s">
        <v>54</v>
      </c>
      <c r="Q836" t="s">
        <v>3829</v>
      </c>
      <c r="R836" t="s">
        <v>56</v>
      </c>
      <c r="S836" t="s">
        <v>56</v>
      </c>
      <c r="T836">
        <v>6</v>
      </c>
      <c r="U836">
        <v>674.61</v>
      </c>
      <c r="V836">
        <v>0</v>
      </c>
      <c r="W836">
        <v>4047.66</v>
      </c>
      <c r="X836">
        <v>3078.93</v>
      </c>
      <c r="Y836">
        <v>1279.79</v>
      </c>
      <c r="Z836" t="s">
        <v>34</v>
      </c>
      <c r="AA836" t="s">
        <v>35</v>
      </c>
    </row>
    <row r="837" spans="1:27">
      <c r="A837" t="s">
        <v>3830</v>
      </c>
      <c r="B837" t="s">
        <v>2750</v>
      </c>
      <c r="C837" t="s">
        <v>955</v>
      </c>
      <c r="D837"/>
      <c r="E837" s="7">
        <f>IF(OR(D837="Invalid",D837&lt;0),"",D837)</f>
        <v>0</v>
      </c>
      <c r="F837" t="s">
        <v>3831</v>
      </c>
      <c r="G837" t="s">
        <v>142</v>
      </c>
      <c r="H837" t="str">
        <f>PROPER(TRIM(G837))</f>
        <v>Priya Menon</v>
      </c>
      <c r="I837" t="s">
        <v>41</v>
      </c>
      <c r="J837" t="str">
        <f>PROPER(TRIM(I837))</f>
        <v>Small Business</v>
      </c>
      <c r="K837" t="s">
        <v>42</v>
      </c>
      <c r="L837" t="s">
        <v>216</v>
      </c>
      <c r="M837" t="s">
        <v>217</v>
      </c>
      <c r="N837" t="s">
        <v>86</v>
      </c>
      <c r="O837" t="str">
        <f>TRIM(N837)</f>
        <v>Technology</v>
      </c>
      <c r="P837" t="s">
        <v>223</v>
      </c>
      <c r="Q837" t="s">
        <v>3832</v>
      </c>
      <c r="R837" t="s">
        <v>33</v>
      </c>
      <c r="S837" t="s">
        <v>33</v>
      </c>
      <c r="T837">
        <v>7</v>
      </c>
      <c r="U837">
        <v>1509.59</v>
      </c>
      <c r="V837">
        <v>0.05</v>
      </c>
      <c r="W837">
        <v>10038.77</v>
      </c>
      <c r="X837">
        <v>5673.1</v>
      </c>
      <c r="Y837">
        <v>4365.67</v>
      </c>
      <c r="Z837" t="s">
        <v>34</v>
      </c>
      <c r="AA837" t="s">
        <v>35</v>
      </c>
    </row>
    <row r="838" spans="1:27">
      <c r="A838" t="s">
        <v>3833</v>
      </c>
      <c r="B838" t="s">
        <v>2462</v>
      </c>
      <c r="C838" t="s">
        <v>3834</v>
      </c>
      <c r="D838"/>
      <c r="E838" s="7">
        <f>IF(OR(D838="Invalid",D838&lt;0),"",D838)</f>
        <v>0</v>
      </c>
      <c r="F838" t="s">
        <v>3835</v>
      </c>
      <c r="G838" t="s">
        <v>53</v>
      </c>
      <c r="H838" t="str">
        <f>PROPER(TRIM(G838))</f>
        <v>Isha Nair</v>
      </c>
      <c r="I838" t="s">
        <v>41</v>
      </c>
      <c r="J838" t="str">
        <f>PROPER(TRIM(I838))</f>
        <v>Small Business</v>
      </c>
      <c r="K838" t="s">
        <v>27</v>
      </c>
      <c r="L838" t="s">
        <v>28</v>
      </c>
      <c r="M838" t="s">
        <v>29</v>
      </c>
      <c r="N838" t="s">
        <v>30</v>
      </c>
      <c r="O838" t="str">
        <f>TRIM(N838)</f>
        <v>Office Supplies</v>
      </c>
      <c r="P838" t="s">
        <v>109</v>
      </c>
      <c r="Q838" t="s">
        <v>3836</v>
      </c>
      <c r="R838" t="s">
        <v>33</v>
      </c>
      <c r="S838" t="s">
        <v>33</v>
      </c>
      <c r="T838">
        <v>2</v>
      </c>
      <c r="U838">
        <v>537.11</v>
      </c>
      <c r="V838">
        <v>0</v>
      </c>
      <c r="W838">
        <v>1074.22</v>
      </c>
      <c r="X838">
        <v>850.86</v>
      </c>
      <c r="Y838">
        <v>223.36</v>
      </c>
      <c r="Z838" t="s">
        <v>34</v>
      </c>
      <c r="AA838" t="s">
        <v>35</v>
      </c>
    </row>
    <row r="839" spans="1:27">
      <c r="A839" t="s">
        <v>3837</v>
      </c>
      <c r="B839" t="s">
        <v>498</v>
      </c>
      <c r="C839" t="s">
        <v>3838</v>
      </c>
      <c r="D839"/>
      <c r="E839" s="7">
        <f>IF(OR(D839="Invalid",D839&lt;0),"",D839)</f>
        <v>0</v>
      </c>
      <c r="F839" t="s">
        <v>3839</v>
      </c>
      <c r="G839" t="s">
        <v>25</v>
      </c>
      <c r="H839" t="str">
        <f>PROPER(TRIM(G839))</f>
        <v>Karan Malhotra</v>
      </c>
      <c r="I839" t="s">
        <v>115</v>
      </c>
      <c r="J839" t="str">
        <f>PROPER(TRIM(I839))</f>
        <v>Home Office</v>
      </c>
      <c r="K839" t="s">
        <v>73</v>
      </c>
      <c r="L839" t="s">
        <v>74</v>
      </c>
      <c r="M839" t="s">
        <v>75</v>
      </c>
      <c r="N839" t="s">
        <v>30</v>
      </c>
      <c r="O839" t="str">
        <f>TRIM(N839)</f>
        <v>Office Supplies</v>
      </c>
      <c r="P839" t="s">
        <v>31</v>
      </c>
      <c r="Q839" t="s">
        <v>3840</v>
      </c>
      <c r="R839" t="s">
        <v>56</v>
      </c>
      <c r="S839" t="s">
        <v>56</v>
      </c>
      <c r="T839">
        <v>3</v>
      </c>
      <c r="U839">
        <v>4177.63</v>
      </c>
      <c r="V839">
        <v>0.25</v>
      </c>
      <c r="W839">
        <v>9399.67</v>
      </c>
      <c r="X839">
        <v>6540.37</v>
      </c>
      <c r="Y839">
        <v>2859.3</v>
      </c>
      <c r="Z839" t="s">
        <v>34</v>
      </c>
      <c r="AA839" t="s">
        <v>35</v>
      </c>
    </row>
    <row r="840" spans="1:27">
      <c r="A840" t="s">
        <v>3841</v>
      </c>
      <c r="B840" t="s">
        <v>469</v>
      </c>
      <c r="C840" t="s">
        <v>3842</v>
      </c>
      <c r="D840"/>
      <c r="E840" s="7">
        <f>IF(OR(D840="Invalid",D840&lt;0),"",D840)</f>
        <v>0</v>
      </c>
      <c r="F840" t="s">
        <v>3843</v>
      </c>
      <c r="G840" t="s">
        <v>72</v>
      </c>
      <c r="H840" t="str">
        <f>PROPER(TRIM(G840))</f>
        <v>Ananya Rao</v>
      </c>
      <c r="I840" t="s">
        <v>41</v>
      </c>
      <c r="J840" t="str">
        <f>PROPER(TRIM(I840))</f>
        <v>Small Business</v>
      </c>
      <c r="K840" t="s">
        <v>73</v>
      </c>
      <c r="L840" t="s">
        <v>249</v>
      </c>
      <c r="M840" t="s">
        <v>250</v>
      </c>
      <c r="N840" t="s">
        <v>30</v>
      </c>
      <c r="O840" t="str">
        <f>TRIM(N840)</f>
        <v>Office Supplies</v>
      </c>
      <c r="P840" t="s">
        <v>31</v>
      </c>
      <c r="Q840" t="s">
        <v>3844</v>
      </c>
      <c r="R840" t="s">
        <v>48</v>
      </c>
      <c r="S840" t="s">
        <v>48</v>
      </c>
      <c r="T840">
        <v>1</v>
      </c>
      <c r="U840">
        <v>1470.57</v>
      </c>
      <c r="V840">
        <v>0</v>
      </c>
      <c r="W840">
        <v>1470.57</v>
      </c>
      <c r="X840">
        <v>834.02</v>
      </c>
      <c r="Y840">
        <v>636.54999999999995</v>
      </c>
      <c r="Z840" t="s">
        <v>34</v>
      </c>
      <c r="AA840" t="s">
        <v>125</v>
      </c>
    </row>
    <row r="841" spans="1:27">
      <c r="A841" t="s">
        <v>3845</v>
      </c>
      <c r="B841" t="s">
        <v>3846</v>
      </c>
      <c r="C841" t="s">
        <v>3847</v>
      </c>
      <c r="D841"/>
      <c r="E841" s="7">
        <f>IF(OR(D841="Invalid",D841&lt;0),"",D841)</f>
        <v>0</v>
      </c>
      <c r="F841" t="s">
        <v>3848</v>
      </c>
      <c r="G841" t="s">
        <v>180</v>
      </c>
      <c r="H841" t="str">
        <f>PROPER(TRIM(G841))</f>
        <v>Rohan Mehta</v>
      </c>
      <c r="I841" t="s">
        <v>115</v>
      </c>
      <c r="J841" t="str">
        <f>PROPER(TRIM(I841))</f>
        <v>Home Office</v>
      </c>
      <c r="K841" t="s">
        <v>42</v>
      </c>
      <c r="L841" t="s">
        <v>43</v>
      </c>
      <c r="M841" t="s">
        <v>44</v>
      </c>
      <c r="N841" t="s">
        <v>86</v>
      </c>
      <c r="O841" t="str">
        <f>TRIM(N841)</f>
        <v>Technology</v>
      </c>
      <c r="P841" t="s">
        <v>223</v>
      </c>
      <c r="Q841" t="s">
        <v>3849</v>
      </c>
      <c r="R841" t="s">
        <v>67</v>
      </c>
      <c r="S841" t="s">
        <v>67</v>
      </c>
      <c r="T841">
        <v>8</v>
      </c>
      <c r="U841">
        <v>531.42999999999995</v>
      </c>
      <c r="V841">
        <v>0.1</v>
      </c>
      <c r="W841">
        <v>3826.3</v>
      </c>
      <c r="X841">
        <v>2194.12</v>
      </c>
      <c r="Y841">
        <v>1632.18</v>
      </c>
      <c r="Z841" t="s">
        <v>34</v>
      </c>
      <c r="AA841" t="s">
        <v>35</v>
      </c>
    </row>
    <row r="842" spans="1:27">
      <c r="A842" t="s">
        <v>3850</v>
      </c>
      <c r="B842" t="s">
        <v>1898</v>
      </c>
      <c r="C842" t="s">
        <v>2197</v>
      </c>
      <c r="D842"/>
      <c r="E842" s="7">
        <f>IF(OR(D842="Invalid",D842&lt;0),"",D842)</f>
        <v>0</v>
      </c>
      <c r="F842" t="s">
        <v>3851</v>
      </c>
      <c r="G842" t="s">
        <v>93</v>
      </c>
      <c r="H842" t="str">
        <f>PROPER(TRIM(G842))</f>
        <v>Neha Gupta</v>
      </c>
      <c r="I842" t="s">
        <v>115</v>
      </c>
      <c r="J842" t="str">
        <f>PROPER(TRIM(I842))</f>
        <v>Home Office</v>
      </c>
      <c r="K842" t="s">
        <v>27</v>
      </c>
      <c r="L842" t="s">
        <v>506</v>
      </c>
      <c r="M842" t="s">
        <v>507</v>
      </c>
      <c r="N842" t="s">
        <v>45</v>
      </c>
      <c r="O842" t="str">
        <f>TRIM(N842)</f>
        <v>Furniture</v>
      </c>
      <c r="P842" t="s">
        <v>76</v>
      </c>
      <c r="Q842" t="s">
        <v>3852</v>
      </c>
      <c r="R842" t="s">
        <v>48</v>
      </c>
      <c r="S842" t="s">
        <v>48</v>
      </c>
      <c r="T842">
        <v>4</v>
      </c>
      <c r="U842">
        <v>1584.11</v>
      </c>
      <c r="V842">
        <v>0</v>
      </c>
      <c r="W842">
        <v>6336.44</v>
      </c>
      <c r="X842">
        <v>4680.68</v>
      </c>
      <c r="Y842">
        <v>1655.76</v>
      </c>
      <c r="Z842" t="s">
        <v>34</v>
      </c>
      <c r="AA842" t="s">
        <v>35</v>
      </c>
    </row>
    <row r="843" spans="1:27">
      <c r="A843" t="s">
        <v>3853</v>
      </c>
      <c r="B843" t="s">
        <v>3854</v>
      </c>
      <c r="C843" t="s">
        <v>3855</v>
      </c>
      <c r="D843"/>
      <c r="E843" s="7">
        <f>IF(OR(D843="Invalid",D843&lt;0),"",D843)</f>
        <v>0</v>
      </c>
      <c r="F843" t="s">
        <v>3856</v>
      </c>
      <c r="G843" t="s">
        <v>72</v>
      </c>
      <c r="H843" t="str">
        <f>PROPER(TRIM(G843))</f>
        <v>Ananya Rao</v>
      </c>
      <c r="I843" t="s">
        <v>41</v>
      </c>
      <c r="J843" t="str">
        <f>PROPER(TRIM(I843))</f>
        <v>Small Business</v>
      </c>
      <c r="K843" t="s">
        <v>42</v>
      </c>
      <c r="L843" t="s">
        <v>186</v>
      </c>
      <c r="M843" t="s">
        <v>187</v>
      </c>
      <c r="N843" t="s">
        <v>30</v>
      </c>
      <c r="O843" t="str">
        <f>TRIM(N843)</f>
        <v>Office Supplies</v>
      </c>
      <c r="P843" t="s">
        <v>54</v>
      </c>
      <c r="Q843" t="s">
        <v>3857</v>
      </c>
      <c r="R843" t="s">
        <v>67</v>
      </c>
      <c r="S843" t="s">
        <v>67</v>
      </c>
      <c r="T843">
        <v>9</v>
      </c>
      <c r="U843">
        <v>3237.16</v>
      </c>
      <c r="V843">
        <v>0.25</v>
      </c>
      <c r="W843">
        <v>21850.83</v>
      </c>
      <c r="X843">
        <v>16600.13</v>
      </c>
      <c r="Y843">
        <v>5250.7</v>
      </c>
      <c r="Z843" t="s">
        <v>34</v>
      </c>
      <c r="AA843" t="s">
        <v>35</v>
      </c>
    </row>
    <row r="844" spans="1:27">
      <c r="A844" t="s">
        <v>3858</v>
      </c>
      <c r="B844" t="s">
        <v>3859</v>
      </c>
      <c r="C844" t="s">
        <v>3860</v>
      </c>
      <c r="D844"/>
      <c r="E844" s="7">
        <f>IF(OR(D844="Invalid",D844&lt;0),"",D844)</f>
        <v>0</v>
      </c>
      <c r="F844" t="s">
        <v>3861</v>
      </c>
      <c r="G844" t="s">
        <v>3862</v>
      </c>
      <c r="H844" t="str">
        <f>PROPER(TRIM(G844))</f>
        <v>Kabir Singh</v>
      </c>
      <c r="I844" t="s">
        <v>26</v>
      </c>
      <c r="J844" t="str">
        <f>PROPER(TRIM(I844))</f>
        <v>Consumer</v>
      </c>
      <c r="K844" t="s">
        <v>27</v>
      </c>
      <c r="L844" t="s">
        <v>323</v>
      </c>
      <c r="M844" t="s">
        <v>324</v>
      </c>
      <c r="N844" t="s">
        <v>86</v>
      </c>
      <c r="O844" t="str">
        <f>TRIM(N844)</f>
        <v>Technology</v>
      </c>
      <c r="P844" t="s">
        <v>382</v>
      </c>
      <c r="Q844" t="s">
        <v>3863</v>
      </c>
      <c r="R844" t="s">
        <v>56</v>
      </c>
      <c r="S844" t="s">
        <v>56</v>
      </c>
      <c r="T844">
        <v>4</v>
      </c>
      <c r="U844">
        <v>2192.08</v>
      </c>
      <c r="V844">
        <v>0.15</v>
      </c>
      <c r="W844">
        <v>7453.07</v>
      </c>
      <c r="X844">
        <v>5133.78</v>
      </c>
      <c r="Y844">
        <v>2319.29</v>
      </c>
      <c r="Z844" t="s">
        <v>34</v>
      </c>
      <c r="AA844" t="s">
        <v>125</v>
      </c>
    </row>
    <row r="845" spans="1:27">
      <c r="A845" t="s">
        <v>3864</v>
      </c>
      <c r="B845" t="s">
        <v>2700</v>
      </c>
      <c r="C845" t="s">
        <v>3865</v>
      </c>
      <c r="D845"/>
      <c r="E845" s="7">
        <f>IF(OR(D845="Invalid",D845&lt;0),"",D845)</f>
        <v>0</v>
      </c>
      <c r="F845" t="s">
        <v>3866</v>
      </c>
      <c r="G845" t="s">
        <v>142</v>
      </c>
      <c r="H845" t="str">
        <f>PROPER(TRIM(G845))</f>
        <v>Priya Menon</v>
      </c>
      <c r="I845" t="s">
        <v>41</v>
      </c>
      <c r="J845" t="str">
        <f>PROPER(TRIM(I845))</f>
        <v>Small Business</v>
      </c>
      <c r="K845" t="s">
        <v>27</v>
      </c>
      <c r="L845" t="s">
        <v>174</v>
      </c>
      <c r="M845" t="s">
        <v>175</v>
      </c>
      <c r="N845" t="s">
        <v>86</v>
      </c>
      <c r="O845" t="str">
        <f>TRIM(N845)</f>
        <v>Technology</v>
      </c>
      <c r="P845" t="s">
        <v>223</v>
      </c>
      <c r="Q845" t="s">
        <v>3867</v>
      </c>
      <c r="R845" t="s">
        <v>56</v>
      </c>
      <c r="S845" t="s">
        <v>56</v>
      </c>
      <c r="T845">
        <v>9</v>
      </c>
      <c r="U845">
        <v>3989.52</v>
      </c>
      <c r="V845">
        <v>-0.02</v>
      </c>
      <c r="W845">
        <v>35905.68</v>
      </c>
      <c r="X845">
        <v>23916.1</v>
      </c>
      <c r="Y845">
        <v>11989.58</v>
      </c>
      <c r="Z845" t="s">
        <v>34</v>
      </c>
      <c r="AA845" t="s">
        <v>35</v>
      </c>
    </row>
    <row r="846" spans="1:27">
      <c r="A846" t="s">
        <v>3868</v>
      </c>
      <c r="B846" t="s">
        <v>3869</v>
      </c>
      <c r="C846" t="s">
        <v>3870</v>
      </c>
      <c r="D846"/>
      <c r="E846" s="7">
        <f>IF(OR(D846="Invalid",D846&lt;0),"",D846)</f>
        <v>0</v>
      </c>
      <c r="F846" t="s">
        <v>3871</v>
      </c>
      <c r="G846" t="s">
        <v>107</v>
      </c>
      <c r="H846" t="str">
        <f>PROPER(TRIM(G846))</f>
        <v>Aditi Sen</v>
      </c>
      <c r="I846" t="s">
        <v>115</v>
      </c>
      <c r="J846" t="str">
        <f>PROPER(TRIM(I846))</f>
        <v>Home Office</v>
      </c>
      <c r="K846" t="s">
        <v>73</v>
      </c>
      <c r="L846" t="s">
        <v>249</v>
      </c>
      <c r="M846" t="s">
        <v>250</v>
      </c>
      <c r="N846" t="s">
        <v>30</v>
      </c>
      <c r="O846" t="str">
        <f>TRIM(N846)</f>
        <v>Office Supplies</v>
      </c>
      <c r="P846" t="s">
        <v>54</v>
      </c>
      <c r="Q846" t="s">
        <v>3872</v>
      </c>
      <c r="R846" t="s">
        <v>56</v>
      </c>
      <c r="S846" t="s">
        <v>56</v>
      </c>
      <c r="T846">
        <v>1</v>
      </c>
      <c r="U846">
        <v>3515.15</v>
      </c>
      <c r="V846">
        <v>0</v>
      </c>
      <c r="W846">
        <v>3515.15</v>
      </c>
      <c r="X846">
        <v>2216.34</v>
      </c>
      <c r="Y846">
        <v>1298.81</v>
      </c>
      <c r="Z846" t="s">
        <v>34</v>
      </c>
      <c r="AA846" t="s">
        <v>35</v>
      </c>
    </row>
    <row r="847" spans="1:27">
      <c r="A847" t="s">
        <v>3873</v>
      </c>
      <c r="B847" t="s">
        <v>2772</v>
      </c>
      <c r="C847" t="s">
        <v>3874</v>
      </c>
      <c r="D847"/>
      <c r="E847" s="7">
        <f>IF(OR(D847="Invalid",D847&lt;0),"",D847)</f>
        <v>0</v>
      </c>
      <c r="F847" t="s">
        <v>893</v>
      </c>
      <c r="G847" t="s">
        <v>25</v>
      </c>
      <c r="H847" t="str">
        <f>PROPER(TRIM(G847))</f>
        <v>Karan Malhotra</v>
      </c>
      <c r="I847" t="s">
        <v>26</v>
      </c>
      <c r="J847" t="str">
        <f>PROPER(TRIM(I847))</f>
        <v>Consumer</v>
      </c>
      <c r="K847" t="s">
        <v>42</v>
      </c>
      <c r="L847" t="s">
        <v>43</v>
      </c>
      <c r="M847" t="s">
        <v>44</v>
      </c>
      <c r="N847" t="s">
        <v>45</v>
      </c>
      <c r="O847" t="str">
        <f>TRIM(N847)</f>
        <v>Furniture</v>
      </c>
      <c r="P847" t="s">
        <v>46</v>
      </c>
      <c r="Q847" t="s">
        <v>3875</v>
      </c>
      <c r="R847" t="s">
        <v>56</v>
      </c>
      <c r="S847" t="s">
        <v>56</v>
      </c>
      <c r="T847">
        <v>9</v>
      </c>
      <c r="U847">
        <v>3616.23</v>
      </c>
      <c r="V847">
        <v>0.25</v>
      </c>
      <c r="W847">
        <v>24409.55</v>
      </c>
      <c r="X847">
        <v>17157.580000000002</v>
      </c>
      <c r="Y847">
        <v>7251.97</v>
      </c>
      <c r="Z847" t="s">
        <v>137</v>
      </c>
      <c r="AA847" t="s">
        <v>125</v>
      </c>
    </row>
    <row r="848" spans="1:27">
      <c r="A848" t="s">
        <v>3876</v>
      </c>
      <c r="B848" t="s">
        <v>3877</v>
      </c>
      <c r="C848" t="s">
        <v>3878</v>
      </c>
      <c r="D848"/>
      <c r="E848" s="7">
        <f>IF(OR(D848="Invalid",D848&lt;0),"",D848)</f>
        <v>0</v>
      </c>
      <c r="F848" t="s">
        <v>3879</v>
      </c>
      <c r="G848" t="s">
        <v>142</v>
      </c>
      <c r="H848" t="str">
        <f>PROPER(TRIM(G848))</f>
        <v>Priya Menon</v>
      </c>
      <c r="I848" t="s">
        <v>41</v>
      </c>
      <c r="J848" t="str">
        <f>PROPER(TRIM(I848))</f>
        <v>Small Business</v>
      </c>
      <c r="K848" t="s">
        <v>73</v>
      </c>
      <c r="L848" t="s">
        <v>235</v>
      </c>
      <c r="M848" t="s">
        <v>236</v>
      </c>
      <c r="N848" t="s">
        <v>45</v>
      </c>
      <c r="O848" t="str">
        <f>TRIM(N848)</f>
        <v>Furniture</v>
      </c>
      <c r="P848" t="s">
        <v>204</v>
      </c>
      <c r="Q848" t="s">
        <v>3880</v>
      </c>
      <c r="R848" t="s">
        <v>67</v>
      </c>
      <c r="S848" t="s">
        <v>67</v>
      </c>
      <c r="T848">
        <v>2</v>
      </c>
      <c r="U848">
        <v>3977.52</v>
      </c>
      <c r="V848">
        <v>0</v>
      </c>
      <c r="W848">
        <v>7955.04</v>
      </c>
      <c r="X848">
        <v>5580.68</v>
      </c>
      <c r="Y848">
        <v>2374.36</v>
      </c>
      <c r="Z848" t="s">
        <v>137</v>
      </c>
      <c r="AA848" t="s">
        <v>125</v>
      </c>
    </row>
    <row r="849" spans="1:27">
      <c r="A849" t="s">
        <v>3881</v>
      </c>
      <c r="B849" t="s">
        <v>3882</v>
      </c>
      <c r="C849" t="s">
        <v>3883</v>
      </c>
      <c r="D849"/>
      <c r="E849" s="7">
        <f>IF(OR(D849="Invalid",D849&lt;0),"",D849)</f>
        <v>0</v>
      </c>
      <c r="F849" t="s">
        <v>3884</v>
      </c>
      <c r="G849" t="s">
        <v>210</v>
      </c>
      <c r="H849" t="str">
        <f>PROPER(TRIM(G849))</f>
        <v>Diya Patel</v>
      </c>
      <c r="I849" t="s">
        <v>115</v>
      </c>
      <c r="J849" t="str">
        <f>PROPER(TRIM(I849))</f>
        <v>Home Office</v>
      </c>
      <c r="K849" t="s">
        <v>42</v>
      </c>
      <c r="L849" t="s">
        <v>43</v>
      </c>
      <c r="M849" t="s">
        <v>44</v>
      </c>
      <c r="N849" t="s">
        <v>45</v>
      </c>
      <c r="O849" t="str">
        <f>TRIM(N849)</f>
        <v>Furniture</v>
      </c>
      <c r="P849" t="s">
        <v>46</v>
      </c>
      <c r="Q849" t="s">
        <v>3885</v>
      </c>
      <c r="R849" t="s">
        <v>33</v>
      </c>
      <c r="S849" t="s">
        <v>33</v>
      </c>
      <c r="T849">
        <v>2</v>
      </c>
      <c r="U849">
        <v>210.08</v>
      </c>
      <c r="V849">
        <v>0.2</v>
      </c>
      <c r="W849">
        <v>336.13</v>
      </c>
      <c r="X849">
        <v>242.19</v>
      </c>
      <c r="Y849">
        <v>93.94</v>
      </c>
      <c r="Z849" t="s">
        <v>34</v>
      </c>
      <c r="AA849" t="s">
        <v>35</v>
      </c>
    </row>
    <row r="850" spans="1:27">
      <c r="A850" t="s">
        <v>3886</v>
      </c>
      <c r="B850" t="s">
        <v>3145</v>
      </c>
      <c r="C850" t="s">
        <v>3887</v>
      </c>
      <c r="D850"/>
      <c r="E850" s="7">
        <f>IF(OR(D850="Invalid",D850&lt;0),"",D850)</f>
        <v>0</v>
      </c>
      <c r="F850" t="s">
        <v>3888</v>
      </c>
      <c r="G850" t="s">
        <v>148</v>
      </c>
      <c r="H850" t="str">
        <f>PROPER(TRIM(G850))</f>
        <v>Rahul Verma</v>
      </c>
      <c r="I850" t="s">
        <v>115</v>
      </c>
      <c r="J850" t="str">
        <f>PROPER(TRIM(I850))</f>
        <v>Home Office</v>
      </c>
      <c r="K850" t="s">
        <v>62</v>
      </c>
      <c r="L850" t="s">
        <v>339</v>
      </c>
      <c r="M850" t="s">
        <v>340</v>
      </c>
      <c r="N850" t="s">
        <v>45</v>
      </c>
      <c r="O850" t="str">
        <f>TRIM(N850)</f>
        <v>Furniture</v>
      </c>
      <c r="P850" t="s">
        <v>65</v>
      </c>
      <c r="Q850" t="s">
        <v>3889</v>
      </c>
      <c r="R850" t="s">
        <v>33</v>
      </c>
      <c r="S850" t="s">
        <v>33</v>
      </c>
      <c r="T850">
        <v>1</v>
      </c>
      <c r="U850">
        <v>1744.35</v>
      </c>
      <c r="V850">
        <v>0.25</v>
      </c>
      <c r="W850">
        <v>1308.26</v>
      </c>
      <c r="X850">
        <v>1083.56</v>
      </c>
      <c r="Y850">
        <v>224.7</v>
      </c>
      <c r="Z850" t="s">
        <v>34</v>
      </c>
      <c r="AA850" t="s">
        <v>35</v>
      </c>
    </row>
    <row r="851" spans="1:27">
      <c r="A851" t="s">
        <v>3890</v>
      </c>
      <c r="B851" t="s">
        <v>3891</v>
      </c>
      <c r="C851" t="s">
        <v>1071</v>
      </c>
      <c r="D851"/>
      <c r="E851" s="7">
        <f>IF(OR(D851="Invalid",D851&lt;0),"",D851)</f>
        <v>0</v>
      </c>
      <c r="F851" t="s">
        <v>3892</v>
      </c>
      <c r="G851" t="s">
        <v>53</v>
      </c>
      <c r="H851" t="str">
        <f>PROPER(TRIM(G851))</f>
        <v>Isha Nair</v>
      </c>
      <c r="I851" t="s">
        <v>115</v>
      </c>
      <c r="J851" t="str">
        <f>PROPER(TRIM(I851))</f>
        <v>Home Office</v>
      </c>
      <c r="K851" t="s">
        <v>73</v>
      </c>
      <c r="L851" t="s">
        <v>235</v>
      </c>
      <c r="M851" t="s">
        <v>236</v>
      </c>
      <c r="N851" t="s">
        <v>45</v>
      </c>
      <c r="O851" t="str">
        <f>TRIM(N851)</f>
        <v>Furniture</v>
      </c>
      <c r="P851" t="s">
        <v>204</v>
      </c>
      <c r="Q851" t="s">
        <v>3893</v>
      </c>
      <c r="R851" t="s">
        <v>67</v>
      </c>
      <c r="S851" t="s">
        <v>67</v>
      </c>
      <c r="T851">
        <v>3</v>
      </c>
      <c r="U851">
        <v>679.63</v>
      </c>
      <c r="V851">
        <v>0.2</v>
      </c>
      <c r="W851">
        <v>1631.11</v>
      </c>
      <c r="X851">
        <v>898.73</v>
      </c>
      <c r="Y851">
        <v>396.58</v>
      </c>
      <c r="Z851" t="s">
        <v>34</v>
      </c>
      <c r="AA851" t="s">
        <v>35</v>
      </c>
    </row>
    <row r="852" spans="1:27">
      <c r="A852" t="s">
        <v>3894</v>
      </c>
      <c r="B852" t="s">
        <v>2104</v>
      </c>
      <c r="C852" t="s">
        <v>3771</v>
      </c>
      <c r="D852"/>
      <c r="E852" s="7">
        <f>IF(OR(D852="Invalid",D852&lt;0),"",D852)</f>
        <v>0</v>
      </c>
      <c r="F852" t="s">
        <v>3895</v>
      </c>
      <c r="G852" t="s">
        <v>142</v>
      </c>
      <c r="H852" t="str">
        <f>PROPER(TRIM(G852))</f>
        <v>Priya Menon</v>
      </c>
      <c r="I852" t="s">
        <v>115</v>
      </c>
      <c r="J852" t="str">
        <f>PROPER(TRIM(I852))</f>
        <v>Home Office</v>
      </c>
      <c r="K852" t="s">
        <v>42</v>
      </c>
      <c r="L852" t="s">
        <v>121</v>
      </c>
      <c r="M852" t="s">
        <v>122</v>
      </c>
      <c r="N852" t="s">
        <v>30</v>
      </c>
      <c r="O852" t="str">
        <f>TRIM(N852)</f>
        <v>Office Supplies</v>
      </c>
      <c r="P852" t="s">
        <v>31</v>
      </c>
      <c r="Q852" t="s">
        <v>3896</v>
      </c>
      <c r="R852" t="s">
        <v>56</v>
      </c>
      <c r="S852" t="s">
        <v>56</v>
      </c>
      <c r="T852">
        <v>6</v>
      </c>
      <c r="U852">
        <v>1211.01</v>
      </c>
      <c r="V852">
        <v>0</v>
      </c>
      <c r="W852">
        <v>7266.06</v>
      </c>
      <c r="X852">
        <v>6216.89</v>
      </c>
      <c r="Y852">
        <v>1049.17</v>
      </c>
      <c r="Z852" t="s">
        <v>34</v>
      </c>
      <c r="AA852" t="s">
        <v>35</v>
      </c>
    </row>
    <row r="853" spans="1:27">
      <c r="A853" t="s">
        <v>3897</v>
      </c>
      <c r="B853" t="s">
        <v>806</v>
      </c>
      <c r="C853" t="s">
        <v>3154</v>
      </c>
      <c r="D853"/>
      <c r="E853" s="7">
        <f>IF(OR(D853="Invalid",D853&lt;0),"",D853)</f>
        <v>0</v>
      </c>
      <c r="F853" t="s">
        <v>3898</v>
      </c>
      <c r="G853" t="s">
        <v>25</v>
      </c>
      <c r="H853" t="str">
        <f>PROPER(TRIM(G853))</f>
        <v>Karan Malhotra</v>
      </c>
      <c r="I853" t="s">
        <v>41</v>
      </c>
      <c r="J853" t="str">
        <f>PROPER(TRIM(I853))</f>
        <v>Small Business</v>
      </c>
      <c r="K853" t="s">
        <v>73</v>
      </c>
      <c r="L853" t="s">
        <v>235</v>
      </c>
      <c r="M853" t="s">
        <v>236</v>
      </c>
      <c r="N853" t="s">
        <v>86</v>
      </c>
      <c r="O853" t="str">
        <f>TRIM(N853)</f>
        <v>Technology</v>
      </c>
      <c r="P853" t="s">
        <v>87</v>
      </c>
      <c r="Q853" t="s">
        <v>3899</v>
      </c>
      <c r="R853" t="s">
        <v>56</v>
      </c>
      <c r="S853" t="s">
        <v>56</v>
      </c>
      <c r="T853">
        <v>2</v>
      </c>
      <c r="U853">
        <v>1161.3</v>
      </c>
      <c r="V853">
        <v>0.2</v>
      </c>
      <c r="W853">
        <v>1858.08</v>
      </c>
      <c r="X853">
        <v>1590.75</v>
      </c>
      <c r="Y853">
        <v>267.33</v>
      </c>
      <c r="Z853" t="s">
        <v>34</v>
      </c>
      <c r="AA853" t="s">
        <v>35</v>
      </c>
    </row>
    <row r="854" spans="1:27">
      <c r="A854" t="s">
        <v>3900</v>
      </c>
      <c r="B854" t="s">
        <v>3901</v>
      </c>
      <c r="C854" t="s">
        <v>3724</v>
      </c>
      <c r="D854"/>
      <c r="E854" s="7">
        <f>IF(OR(D854="Invalid",D854&lt;0),"",D854)</f>
        <v>0</v>
      </c>
      <c r="F854" t="s">
        <v>3902</v>
      </c>
      <c r="G854" t="s">
        <v>72</v>
      </c>
      <c r="H854" t="str">
        <f>PROPER(TRIM(G854))</f>
        <v>Ananya Rao</v>
      </c>
      <c r="I854" t="s">
        <v>26</v>
      </c>
      <c r="J854" t="str">
        <f>PROPER(TRIM(I854))</f>
        <v>Consumer</v>
      </c>
      <c r="K854" t="s">
        <v>42</v>
      </c>
      <c r="L854" t="s">
        <v>216</v>
      </c>
      <c r="M854" t="s">
        <v>217</v>
      </c>
      <c r="N854" t="s">
        <v>45</v>
      </c>
      <c r="O854" t="str">
        <f>TRIM(N854)</f>
        <v>Furniture</v>
      </c>
      <c r="P854" t="s">
        <v>46</v>
      </c>
      <c r="Q854" t="s">
        <v>3903</v>
      </c>
      <c r="R854" t="s">
        <v>33</v>
      </c>
      <c r="S854" t="s">
        <v>33</v>
      </c>
      <c r="T854">
        <v>7</v>
      </c>
      <c r="U854">
        <v>4205.3500000000004</v>
      </c>
      <c r="V854">
        <v>0.15</v>
      </c>
      <c r="W854">
        <v>25021.83</v>
      </c>
      <c r="X854">
        <v>15544.44</v>
      </c>
      <c r="Y854">
        <v>9477.39</v>
      </c>
      <c r="Z854" t="s">
        <v>137</v>
      </c>
      <c r="AA854" t="s">
        <v>78</v>
      </c>
    </row>
    <row r="855" spans="1:27">
      <c r="A855" t="s">
        <v>3904</v>
      </c>
      <c r="B855" t="s">
        <v>3905</v>
      </c>
      <c r="C855" t="s">
        <v>3883</v>
      </c>
      <c r="D855"/>
      <c r="E855" s="7">
        <f>IF(OR(D855="Invalid",D855&lt;0),"",D855)</f>
        <v>0</v>
      </c>
      <c r="F855" t="s">
        <v>3906</v>
      </c>
      <c r="G855" t="s">
        <v>61</v>
      </c>
      <c r="H855" t="str">
        <f>PROPER(TRIM(G855))</f>
        <v>Arjun Bose</v>
      </c>
      <c r="I855" t="s">
        <v>108</v>
      </c>
      <c r="J855" t="str">
        <f>PROPER(TRIM(I855))</f>
        <v>Corporate</v>
      </c>
      <c r="K855" t="s">
        <v>62</v>
      </c>
      <c r="L855" t="s">
        <v>339</v>
      </c>
      <c r="M855" t="s">
        <v>340</v>
      </c>
      <c r="N855" t="s">
        <v>86</v>
      </c>
      <c r="O855" t="str">
        <f>TRIM(N855)</f>
        <v>Technology</v>
      </c>
      <c r="P855" t="s">
        <v>87</v>
      </c>
      <c r="Q855" t="s">
        <v>3907</v>
      </c>
      <c r="R855" t="s">
        <v>48</v>
      </c>
      <c r="S855" t="s">
        <v>48</v>
      </c>
      <c r="T855">
        <v>8</v>
      </c>
      <c r="U855">
        <v>579.79999999999995</v>
      </c>
      <c r="V855">
        <v>0.2</v>
      </c>
      <c r="W855">
        <v>3710.72</v>
      </c>
      <c r="X855">
        <v>3115.29</v>
      </c>
      <c r="Y855">
        <v>595.42999999999995</v>
      </c>
      <c r="Z855" t="s">
        <v>34</v>
      </c>
      <c r="AA855" t="s">
        <v>35</v>
      </c>
    </row>
    <row r="856" spans="1:27">
      <c r="A856" t="s">
        <v>3908</v>
      </c>
      <c r="B856" t="s">
        <v>3909</v>
      </c>
      <c r="C856" t="s">
        <v>3910</v>
      </c>
      <c r="D856"/>
      <c r="E856" s="7">
        <f>IF(OR(D856="Invalid",D856&lt;0),"",D856)</f>
        <v>0</v>
      </c>
      <c r="F856" t="s">
        <v>3911</v>
      </c>
      <c r="G856" t="s">
        <v>142</v>
      </c>
      <c r="H856" t="str">
        <f>PROPER(TRIM(G856))</f>
        <v>Priya Menon</v>
      </c>
      <c r="I856" t="s">
        <v>26</v>
      </c>
      <c r="J856" t="str">
        <f>PROPER(TRIM(I856))</f>
        <v>Consumer</v>
      </c>
      <c r="K856" t="s">
        <v>62</v>
      </c>
      <c r="L856" t="s">
        <v>229</v>
      </c>
      <c r="M856" t="s">
        <v>230</v>
      </c>
      <c r="N856" t="s">
        <v>45</v>
      </c>
      <c r="O856" t="str">
        <f>TRIM(N856)</f>
        <v>Furniture</v>
      </c>
      <c r="P856" t="s">
        <v>204</v>
      </c>
      <c r="Q856" t="s">
        <v>3912</v>
      </c>
      <c r="R856" t="s">
        <v>33</v>
      </c>
      <c r="S856" t="s">
        <v>33</v>
      </c>
      <c r="T856">
        <v>4</v>
      </c>
      <c r="U856">
        <v>2233.64</v>
      </c>
      <c r="V856">
        <v>0.05</v>
      </c>
      <c r="W856">
        <v>8487.83</v>
      </c>
      <c r="X856">
        <v>5245.72</v>
      </c>
      <c r="Y856">
        <v>3242.11</v>
      </c>
      <c r="Z856" t="s">
        <v>34</v>
      </c>
      <c r="AA856" t="s">
        <v>35</v>
      </c>
    </row>
    <row r="857" spans="1:27">
      <c r="A857" t="s">
        <v>3913</v>
      </c>
      <c r="B857" t="s">
        <v>738</v>
      </c>
      <c r="C857" t="s">
        <v>3914</v>
      </c>
      <c r="D857"/>
      <c r="E857" s="7">
        <f>IF(OR(D857="Invalid",D857&lt;0),"",D857)</f>
        <v>0</v>
      </c>
      <c r="F857" t="s">
        <v>1716</v>
      </c>
      <c r="G857" t="s">
        <v>148</v>
      </c>
      <c r="H857" t="str">
        <f>PROPER(TRIM(G857))</f>
        <v>Rahul Verma</v>
      </c>
      <c r="I857" t="s">
        <v>26</v>
      </c>
      <c r="J857" t="str">
        <f>PROPER(TRIM(I857))</f>
        <v>Consumer</v>
      </c>
      <c r="K857" t="s">
        <v>27</v>
      </c>
      <c r="L857" t="s">
        <v>28</v>
      </c>
      <c r="M857" t="s">
        <v>29</v>
      </c>
      <c r="N857" t="s">
        <v>30</v>
      </c>
      <c r="O857" t="str">
        <f>TRIM(N857)</f>
        <v>Office Supplies</v>
      </c>
      <c r="P857" t="s">
        <v>3915</v>
      </c>
      <c r="Q857" t="s">
        <v>3916</v>
      </c>
      <c r="R857" t="s">
        <v>33</v>
      </c>
      <c r="S857" t="s">
        <v>33</v>
      </c>
      <c r="T857">
        <v>2</v>
      </c>
      <c r="U857">
        <v>2073.5300000000002</v>
      </c>
      <c r="V857">
        <v>0.25</v>
      </c>
      <c r="W857">
        <v>3110.3</v>
      </c>
      <c r="X857">
        <v>2101.0300000000002</v>
      </c>
      <c r="Y857">
        <v>1009.27</v>
      </c>
      <c r="Z857" t="s">
        <v>34</v>
      </c>
      <c r="AA857" t="s">
        <v>35</v>
      </c>
    </row>
    <row r="858" spans="1:27">
      <c r="A858" t="s">
        <v>3917</v>
      </c>
      <c r="B858" t="s">
        <v>3918</v>
      </c>
      <c r="C858" t="s">
        <v>690</v>
      </c>
      <c r="D858"/>
      <c r="E858" s="7">
        <f>IF(OR(D858="Invalid",D858&lt;0),"",D858)</f>
        <v>0</v>
      </c>
      <c r="F858" t="s">
        <v>1979</v>
      </c>
      <c r="G858" t="s">
        <v>180</v>
      </c>
      <c r="H858" t="str">
        <f>PROPER(TRIM(G858))</f>
        <v>Rohan Mehta</v>
      </c>
      <c r="I858" t="s">
        <v>115</v>
      </c>
      <c r="J858" t="str">
        <f>PROPER(TRIM(I858))</f>
        <v>Home Office</v>
      </c>
      <c r="K858" t="s">
        <v>62</v>
      </c>
      <c r="L858" t="s">
        <v>339</v>
      </c>
      <c r="M858" t="s">
        <v>340</v>
      </c>
      <c r="N858" t="s">
        <v>30</v>
      </c>
      <c r="O858" t="str">
        <f>TRIM(N858)</f>
        <v>Office Supplies</v>
      </c>
      <c r="P858" t="s">
        <v>156</v>
      </c>
      <c r="Q858" t="s">
        <v>3919</v>
      </c>
      <c r="R858" t="s">
        <v>67</v>
      </c>
      <c r="S858" t="s">
        <v>67</v>
      </c>
      <c r="T858">
        <v>4</v>
      </c>
      <c r="U858">
        <v>395.1</v>
      </c>
      <c r="V858">
        <v>-0.16</v>
      </c>
      <c r="W858">
        <v>1185.3</v>
      </c>
      <c r="X858">
        <v>966.55</v>
      </c>
      <c r="Y858">
        <v>218.75</v>
      </c>
      <c r="Z858" t="s">
        <v>200</v>
      </c>
      <c r="AA858" t="s">
        <v>78</v>
      </c>
    </row>
    <row r="859" spans="1:27">
      <c r="A859" t="s">
        <v>3920</v>
      </c>
      <c r="B859" t="s">
        <v>3921</v>
      </c>
      <c r="C859" t="s">
        <v>3922</v>
      </c>
      <c r="D859"/>
      <c r="E859" s="7">
        <f>IF(OR(D859="Invalid",D859&lt;0),"",D859)</f>
        <v>0</v>
      </c>
      <c r="F859" t="s">
        <v>3235</v>
      </c>
      <c r="G859" t="s">
        <v>168</v>
      </c>
      <c r="H859" t="str">
        <f>PROPER(TRIM(G859))</f>
        <v>Sneha Kapoor</v>
      </c>
      <c r="I859" t="s">
        <v>115</v>
      </c>
      <c r="J859" t="str">
        <f>PROPER(TRIM(I859))</f>
        <v>Home Office</v>
      </c>
      <c r="K859" t="s">
        <v>62</v>
      </c>
      <c r="L859" t="s">
        <v>242</v>
      </c>
      <c r="M859" t="s">
        <v>243</v>
      </c>
      <c r="N859" t="s">
        <v>30</v>
      </c>
      <c r="O859" t="str">
        <f>TRIM(N859)</f>
        <v>Office Supplies</v>
      </c>
      <c r="P859" t="s">
        <v>156</v>
      </c>
      <c r="Q859" t="s">
        <v>3923</v>
      </c>
      <c r="R859" t="s">
        <v>56</v>
      </c>
      <c r="S859" t="s">
        <v>56</v>
      </c>
      <c r="T859">
        <v>6</v>
      </c>
      <c r="U859">
        <v>2708.97</v>
      </c>
      <c r="V859">
        <v>0.25</v>
      </c>
      <c r="W859">
        <v>12190.36</v>
      </c>
      <c r="X859">
        <v>10176.99</v>
      </c>
      <c r="Y859">
        <v>2013.37</v>
      </c>
      <c r="Z859" t="s">
        <v>34</v>
      </c>
      <c r="AA859" t="s">
        <v>35</v>
      </c>
    </row>
    <row r="860" spans="1:27">
      <c r="A860" t="s">
        <v>3924</v>
      </c>
      <c r="B860" t="s">
        <v>1225</v>
      </c>
      <c r="C860" t="s">
        <v>1294</v>
      </c>
      <c r="D860"/>
      <c r="E860" s="7">
        <f>IF(OR(D860="Invalid",D860&lt;0),"",D860)</f>
        <v>0</v>
      </c>
      <c r="F860" t="s">
        <v>3925</v>
      </c>
      <c r="G860" t="s">
        <v>61</v>
      </c>
      <c r="H860" t="str">
        <f>PROPER(TRIM(G860))</f>
        <v>Arjun Bose</v>
      </c>
      <c r="I860" t="s">
        <v>26</v>
      </c>
      <c r="J860" t="str">
        <f>PROPER(TRIM(I860))</f>
        <v>Consumer</v>
      </c>
      <c r="K860" t="s">
        <v>42</v>
      </c>
      <c r="L860" t="s">
        <v>43</v>
      </c>
      <c r="M860" t="s">
        <v>44</v>
      </c>
      <c r="N860" t="s">
        <v>86</v>
      </c>
      <c r="O860" t="str">
        <f>TRIM(N860)</f>
        <v>Technology</v>
      </c>
      <c r="P860" t="s">
        <v>87</v>
      </c>
      <c r="Q860" t="s">
        <v>3926</v>
      </c>
      <c r="R860" t="s">
        <v>33</v>
      </c>
      <c r="S860" t="s">
        <v>33</v>
      </c>
      <c r="T860">
        <v>4</v>
      </c>
      <c r="U860">
        <v>2904.86</v>
      </c>
      <c r="V860">
        <v>0</v>
      </c>
      <c r="W860">
        <v>11619.44</v>
      </c>
      <c r="X860">
        <v>7184.32</v>
      </c>
      <c r="Y860">
        <v>4494.6400000000003</v>
      </c>
      <c r="Z860" t="s">
        <v>34</v>
      </c>
      <c r="AA860" t="s">
        <v>35</v>
      </c>
    </row>
    <row r="861" spans="1:27">
      <c r="A861" t="s">
        <v>3927</v>
      </c>
      <c r="B861" t="s">
        <v>3505</v>
      </c>
      <c r="C861" t="s">
        <v>3928</v>
      </c>
      <c r="D861"/>
      <c r="E861" s="7">
        <f>IF(OR(D861="Invalid",D861&lt;0),"",D861)</f>
        <v>0</v>
      </c>
      <c r="F861" t="s">
        <v>3929</v>
      </c>
      <c r="G861" t="s">
        <v>107</v>
      </c>
      <c r="H861" t="str">
        <f>PROPER(TRIM(G861))</f>
        <v>Aditi Sen</v>
      </c>
      <c r="I861" t="s">
        <v>108</v>
      </c>
      <c r="J861" t="str">
        <f>PROPER(TRIM(I861))</f>
        <v>Corporate</v>
      </c>
      <c r="K861" t="s">
        <v>62</v>
      </c>
      <c r="L861" t="s">
        <v>339</v>
      </c>
      <c r="M861" t="s">
        <v>340</v>
      </c>
      <c r="N861" t="s">
        <v>86</v>
      </c>
      <c r="O861" t="str">
        <f>TRIM(N861)</f>
        <v>Technology</v>
      </c>
      <c r="P861" t="s">
        <v>223</v>
      </c>
      <c r="Q861" t="s">
        <v>3930</v>
      </c>
      <c r="R861" t="s">
        <v>67</v>
      </c>
      <c r="S861" t="s">
        <v>67</v>
      </c>
      <c r="T861">
        <v>6</v>
      </c>
      <c r="U861">
        <v>4399.2</v>
      </c>
      <c r="V861">
        <v>0.05</v>
      </c>
      <c r="W861">
        <v>25075.439999999999</v>
      </c>
      <c r="X861">
        <v>16282.74</v>
      </c>
      <c r="Y861">
        <v>8792.7000000000007</v>
      </c>
      <c r="Z861" t="s">
        <v>34</v>
      </c>
      <c r="AA861" t="s">
        <v>35</v>
      </c>
    </row>
    <row r="862" spans="1:27">
      <c r="A862" t="s">
        <v>3931</v>
      </c>
      <c r="B862" t="s">
        <v>743</v>
      </c>
      <c r="C862" t="s">
        <v>3932</v>
      </c>
      <c r="D862"/>
      <c r="E862" s="7">
        <f>IF(OR(D862="Invalid",D862&lt;0),"",D862)</f>
        <v>0</v>
      </c>
      <c r="F862" t="s">
        <v>3933</v>
      </c>
      <c r="G862" t="s">
        <v>83</v>
      </c>
      <c r="H862" t="str">
        <f>PROPER(TRIM(G862))</f>
        <v>Vikram Iyer</v>
      </c>
      <c r="I862" t="s">
        <v>115</v>
      </c>
      <c r="J862" t="str">
        <f>PROPER(TRIM(I862))</f>
        <v>Home Office</v>
      </c>
      <c r="K862" t="s">
        <v>27</v>
      </c>
      <c r="L862" t="s">
        <v>174</v>
      </c>
      <c r="M862" t="s">
        <v>175</v>
      </c>
      <c r="N862" t="s">
        <v>30</v>
      </c>
      <c r="O862" t="str">
        <f>TRIM(N862)</f>
        <v>Office Supplies</v>
      </c>
      <c r="P862" t="s">
        <v>156</v>
      </c>
      <c r="Q862" t="s">
        <v>3934</v>
      </c>
      <c r="R862" t="s">
        <v>33</v>
      </c>
      <c r="S862" t="s">
        <v>33</v>
      </c>
      <c r="T862">
        <v>1</v>
      </c>
      <c r="U862">
        <v>4397.32</v>
      </c>
      <c r="V862">
        <v>0.05</v>
      </c>
      <c r="W862">
        <v>4177.45</v>
      </c>
      <c r="X862">
        <v>2299.5</v>
      </c>
      <c r="Y862">
        <v>1877.95</v>
      </c>
      <c r="Z862" t="s">
        <v>34</v>
      </c>
      <c r="AA862" t="s">
        <v>35</v>
      </c>
    </row>
    <row r="863" spans="1:27">
      <c r="A863" t="s">
        <v>3935</v>
      </c>
      <c r="B863" t="s">
        <v>3936</v>
      </c>
      <c r="C863" t="s">
        <v>3937</v>
      </c>
      <c r="D863"/>
      <c r="E863" s="7">
        <f>IF(OR(D863="Invalid",D863&lt;0),"",D863)</f>
        <v>0</v>
      </c>
      <c r="F863" t="s">
        <v>3938</v>
      </c>
      <c r="G863" t="s">
        <v>142</v>
      </c>
      <c r="H863" t="str">
        <f>PROPER(TRIM(G863))</f>
        <v>Priya Menon</v>
      </c>
      <c r="I863" t="s">
        <v>115</v>
      </c>
      <c r="J863" t="str">
        <f>PROPER(TRIM(I863))</f>
        <v>Home Office</v>
      </c>
      <c r="K863" t="s">
        <v>27</v>
      </c>
      <c r="L863" t="s">
        <v>506</v>
      </c>
      <c r="M863" t="s">
        <v>507</v>
      </c>
      <c r="N863" t="s">
        <v>45</v>
      </c>
      <c r="O863" t="str">
        <f>TRIM(N863)</f>
        <v>Furniture</v>
      </c>
      <c r="P863" t="s">
        <v>65</v>
      </c>
      <c r="Q863" t="s">
        <v>3939</v>
      </c>
      <c r="R863" t="s">
        <v>48</v>
      </c>
      <c r="S863" t="s">
        <v>48</v>
      </c>
      <c r="T863">
        <v>4</v>
      </c>
      <c r="U863">
        <v>3405.68</v>
      </c>
      <c r="V863">
        <v>0.2</v>
      </c>
      <c r="W863">
        <v>10898.18</v>
      </c>
      <c r="X863">
        <v>6231.41</v>
      </c>
      <c r="Y863">
        <v>4666.7700000000004</v>
      </c>
      <c r="Z863" t="s">
        <v>34</v>
      </c>
      <c r="AA863" t="s">
        <v>35</v>
      </c>
    </row>
    <row r="864" spans="1:27">
      <c r="A864" t="s">
        <v>3940</v>
      </c>
      <c r="B864" t="s">
        <v>3315</v>
      </c>
      <c r="C864" t="s">
        <v>3941</v>
      </c>
      <c r="D864"/>
      <c r="E864" s="7">
        <f>IF(OR(D864="Invalid",D864&lt;0),"",D864)</f>
        <v>0</v>
      </c>
      <c r="F864" t="s">
        <v>3942</v>
      </c>
      <c r="G864" t="s">
        <v>142</v>
      </c>
      <c r="H864" t="str">
        <f>PROPER(TRIM(G864))</f>
        <v>Priya Menon</v>
      </c>
      <c r="I864" t="s">
        <v>41</v>
      </c>
      <c r="J864" t="str">
        <f>PROPER(TRIM(I864))</f>
        <v>Small Business</v>
      </c>
      <c r="K864" t="s">
        <v>42</v>
      </c>
      <c r="L864" t="s">
        <v>311</v>
      </c>
      <c r="M864" t="s">
        <v>312</v>
      </c>
      <c r="N864" t="s">
        <v>30</v>
      </c>
      <c r="O864" t="str">
        <f>TRIM(N864)</f>
        <v>Office Supplies</v>
      </c>
      <c r="P864" t="s">
        <v>198</v>
      </c>
      <c r="Q864" t="s">
        <v>3943</v>
      </c>
      <c r="R864" t="s">
        <v>56</v>
      </c>
      <c r="S864" t="s">
        <v>56</v>
      </c>
      <c r="T864">
        <v>5</v>
      </c>
      <c r="U864">
        <v>1395.14</v>
      </c>
      <c r="V864">
        <v>0</v>
      </c>
      <c r="W864">
        <v>6975.7</v>
      </c>
      <c r="X864">
        <v>4797.88</v>
      </c>
      <c r="Y864">
        <v>2177.8200000000002</v>
      </c>
      <c r="Z864" t="s">
        <v>34</v>
      </c>
      <c r="AA864" t="s">
        <v>78</v>
      </c>
    </row>
    <row r="865" spans="1:27">
      <c r="A865" t="s">
        <v>3944</v>
      </c>
      <c r="B865" t="s">
        <v>3945</v>
      </c>
      <c r="C865" t="s">
        <v>2732</v>
      </c>
      <c r="D865"/>
      <c r="E865" s="7">
        <f>IF(OR(D865="Invalid",D865&lt;0),"",D865)</f>
        <v>0</v>
      </c>
      <c r="F865" t="s">
        <v>3946</v>
      </c>
      <c r="G865" t="s">
        <v>162</v>
      </c>
      <c r="H865" t="str">
        <f>PROPER(TRIM(G865))</f>
        <v>Aarav Sharma</v>
      </c>
      <c r="I865" t="s">
        <v>115</v>
      </c>
      <c r="J865" t="str">
        <f>PROPER(TRIM(I865))</f>
        <v>Home Office</v>
      </c>
      <c r="K865" t="s">
        <v>73</v>
      </c>
      <c r="L865" t="s">
        <v>84</v>
      </c>
      <c r="M865" t="s">
        <v>85</v>
      </c>
      <c r="N865" t="s">
        <v>45</v>
      </c>
      <c r="O865" t="str">
        <f>TRIM(N865)</f>
        <v>Furniture</v>
      </c>
      <c r="P865" t="s">
        <v>65</v>
      </c>
      <c r="Q865" t="s">
        <v>3947</v>
      </c>
      <c r="R865" t="s">
        <v>48</v>
      </c>
      <c r="S865" t="s">
        <v>48</v>
      </c>
      <c r="T865">
        <v>3</v>
      </c>
      <c r="U865">
        <v>2937.23</v>
      </c>
      <c r="V865">
        <v>0</v>
      </c>
      <c r="W865">
        <v>8811.69</v>
      </c>
      <c r="X865">
        <v>6765.91</v>
      </c>
      <c r="Y865">
        <v>2045.78</v>
      </c>
      <c r="Z865" t="s">
        <v>34</v>
      </c>
      <c r="AA865" t="s">
        <v>35</v>
      </c>
    </row>
    <row r="866" spans="1:27">
      <c r="A866" t="s">
        <v>3948</v>
      </c>
      <c r="B866" t="s">
        <v>3949</v>
      </c>
      <c r="C866" t="s">
        <v>572</v>
      </c>
      <c r="D866"/>
      <c r="E866" s="7">
        <f>IF(OR(D866="Invalid",D866&lt;0),"",D866)</f>
        <v>0</v>
      </c>
      <c r="F866" t="s">
        <v>3950</v>
      </c>
      <c r="G866" t="s">
        <v>83</v>
      </c>
      <c r="H866" t="str">
        <f>PROPER(TRIM(G866))</f>
        <v>Vikram Iyer</v>
      </c>
      <c r="I866" t="s">
        <v>26</v>
      </c>
      <c r="J866" t="str">
        <f>PROPER(TRIM(I866))</f>
        <v>Consumer</v>
      </c>
      <c r="K866" t="s">
        <v>62</v>
      </c>
      <c r="L866" t="s">
        <v>339</v>
      </c>
      <c r="M866" t="s">
        <v>340</v>
      </c>
      <c r="N866" t="s">
        <v>86</v>
      </c>
      <c r="O866" t="str">
        <f>TRIM(N866)</f>
        <v>Technology</v>
      </c>
      <c r="P866" t="s">
        <v>223</v>
      </c>
      <c r="Q866" t="s">
        <v>3951</v>
      </c>
      <c r="R866" t="s">
        <v>56</v>
      </c>
      <c r="S866" t="s">
        <v>56</v>
      </c>
      <c r="T866">
        <v>5</v>
      </c>
      <c r="U866">
        <v>3406.87</v>
      </c>
      <c r="V866">
        <v>0</v>
      </c>
      <c r="W866">
        <v>17034.349999999999</v>
      </c>
      <c r="X866">
        <v>14631.36</v>
      </c>
      <c r="Y866">
        <v>2402.9899999999998</v>
      </c>
      <c r="Z866" t="s">
        <v>34</v>
      </c>
      <c r="AA866" t="s">
        <v>35</v>
      </c>
    </row>
    <row r="867" spans="1:27">
      <c r="A867" t="s">
        <v>3952</v>
      </c>
      <c r="B867" t="s">
        <v>3766</v>
      </c>
      <c r="C867" t="s">
        <v>1920</v>
      </c>
      <c r="D867"/>
      <c r="E867" s="7">
        <f>IF(OR(D867="Invalid",D867&lt;0),"",D867)</f>
        <v>0</v>
      </c>
      <c r="F867" t="s">
        <v>3953</v>
      </c>
      <c r="G867" t="s">
        <v>366</v>
      </c>
      <c r="H867" t="str">
        <f>PROPER(TRIM(G867))</f>
        <v>Kabir Singh</v>
      </c>
      <c r="I867" t="s">
        <v>26</v>
      </c>
      <c r="J867" t="str">
        <f>PROPER(TRIM(I867))</f>
        <v>Consumer</v>
      </c>
      <c r="K867" t="s">
        <v>73</v>
      </c>
      <c r="L867" t="s">
        <v>74</v>
      </c>
      <c r="M867" t="s">
        <v>75</v>
      </c>
      <c r="N867" t="s">
        <v>30</v>
      </c>
      <c r="O867" t="str">
        <f>TRIM(N867)</f>
        <v>Office Supplies</v>
      </c>
      <c r="P867" t="s">
        <v>109</v>
      </c>
      <c r="Q867" t="s">
        <v>3954</v>
      </c>
      <c r="R867" t="s">
        <v>33</v>
      </c>
      <c r="S867" t="s">
        <v>33</v>
      </c>
      <c r="T867">
        <v>2</v>
      </c>
      <c r="U867">
        <v>3992.04</v>
      </c>
      <c r="V867">
        <v>0</v>
      </c>
      <c r="W867">
        <v>7984.08</v>
      </c>
      <c r="X867">
        <v>5658.05</v>
      </c>
      <c r="Y867">
        <v>2326.0300000000002</v>
      </c>
      <c r="Z867" t="s">
        <v>34</v>
      </c>
      <c r="AA867" t="s">
        <v>35</v>
      </c>
    </row>
    <row r="868" spans="1:27">
      <c r="A868" t="s">
        <v>3955</v>
      </c>
      <c r="B868" t="s">
        <v>1186</v>
      </c>
      <c r="C868" t="s">
        <v>3956</v>
      </c>
      <c r="D868"/>
      <c r="E868" s="7">
        <f>IF(OR(D868="Invalid",D868&lt;0),"",D868)</f>
        <v>0</v>
      </c>
      <c r="F868" t="s">
        <v>3957</v>
      </c>
      <c r="G868" t="s">
        <v>142</v>
      </c>
      <c r="H868" t="str">
        <f>PROPER(TRIM(G868))</f>
        <v>Priya Menon</v>
      </c>
      <c r="I868" t="s">
        <v>26</v>
      </c>
      <c r="J868" t="str">
        <f>PROPER(TRIM(I868))</f>
        <v>Consumer</v>
      </c>
      <c r="K868" t="s">
        <v>42</v>
      </c>
      <c r="L868" t="s">
        <v>186</v>
      </c>
      <c r="M868" t="s">
        <v>187</v>
      </c>
      <c r="N868" t="s">
        <v>45</v>
      </c>
      <c r="O868" t="str">
        <f>TRIM(N868)</f>
        <v>Furniture</v>
      </c>
      <c r="P868" t="s">
        <v>204</v>
      </c>
      <c r="Q868" t="s">
        <v>3958</v>
      </c>
      <c r="R868" t="s">
        <v>56</v>
      </c>
      <c r="S868" t="s">
        <v>56</v>
      </c>
      <c r="T868">
        <v>9</v>
      </c>
      <c r="U868">
        <v>3043.37</v>
      </c>
      <c r="V868">
        <v>0.2</v>
      </c>
      <c r="W868">
        <v>21912.26</v>
      </c>
      <c r="X868">
        <v>16367.78</v>
      </c>
      <c r="Y868">
        <v>5544.48</v>
      </c>
      <c r="Z868" t="s">
        <v>137</v>
      </c>
      <c r="AA868" t="s">
        <v>78</v>
      </c>
    </row>
    <row r="869" spans="1:27">
      <c r="A869" t="s">
        <v>3959</v>
      </c>
      <c r="B869" t="s">
        <v>3960</v>
      </c>
      <c r="C869" t="s">
        <v>3961</v>
      </c>
      <c r="D869"/>
      <c r="E869" s="7">
        <f>IF(OR(D869="Invalid",D869&lt;0),"",D869)</f>
        <v>0</v>
      </c>
      <c r="F869" t="s">
        <v>3962</v>
      </c>
      <c r="G869" t="s">
        <v>148</v>
      </c>
      <c r="H869" t="str">
        <f>PROPER(TRIM(G869))</f>
        <v>Rahul Verma</v>
      </c>
      <c r="I869" t="s">
        <v>115</v>
      </c>
      <c r="J869" t="str">
        <f>PROPER(TRIM(I869))</f>
        <v>Home Office</v>
      </c>
      <c r="K869" t="s">
        <v>62</v>
      </c>
      <c r="L869" t="s">
        <v>100</v>
      </c>
      <c r="M869" t="s">
        <v>101</v>
      </c>
      <c r="N869" t="s">
        <v>86</v>
      </c>
      <c r="O869" t="str">
        <f>TRIM(N869)</f>
        <v>Technology</v>
      </c>
      <c r="P869" t="s">
        <v>87</v>
      </c>
      <c r="Q869" t="s">
        <v>3963</v>
      </c>
      <c r="R869" t="s">
        <v>48</v>
      </c>
      <c r="S869" t="s">
        <v>48</v>
      </c>
      <c r="T869">
        <v>6</v>
      </c>
      <c r="U869">
        <v>1043.49</v>
      </c>
      <c r="V869">
        <v>0.25</v>
      </c>
      <c r="W869">
        <v>4695.7</v>
      </c>
      <c r="X869">
        <v>3871.69</v>
      </c>
      <c r="Y869">
        <v>824.01</v>
      </c>
      <c r="Z869" t="s">
        <v>200</v>
      </c>
      <c r="AA869" t="s">
        <v>78</v>
      </c>
    </row>
    <row r="870" spans="1:27">
      <c r="A870" t="s">
        <v>3964</v>
      </c>
      <c r="B870" t="s">
        <v>814</v>
      </c>
      <c r="C870" t="s">
        <v>2143</v>
      </c>
      <c r="D870"/>
      <c r="E870" s="7">
        <f>IF(OR(D870="Invalid",D870&lt;0),"",D870)</f>
        <v>0</v>
      </c>
      <c r="F870" t="s">
        <v>3965</v>
      </c>
      <c r="G870" t="s">
        <v>83</v>
      </c>
      <c r="H870" t="str">
        <f>PROPER(TRIM(G870))</f>
        <v>Vikram Iyer</v>
      </c>
      <c r="I870" t="s">
        <v>115</v>
      </c>
      <c r="J870" t="str">
        <f>PROPER(TRIM(I870))</f>
        <v>Home Office</v>
      </c>
      <c r="K870" t="s">
        <v>62</v>
      </c>
      <c r="L870" t="s">
        <v>229</v>
      </c>
      <c r="M870" t="s">
        <v>230</v>
      </c>
      <c r="N870" t="s">
        <v>30</v>
      </c>
      <c r="O870" t="str">
        <f>TRIM(N870)</f>
        <v>Office Supplies</v>
      </c>
      <c r="P870" t="s">
        <v>156</v>
      </c>
      <c r="Q870" t="s">
        <v>3966</v>
      </c>
      <c r="R870" t="s">
        <v>48</v>
      </c>
      <c r="S870" t="s">
        <v>48</v>
      </c>
      <c r="T870">
        <v>9</v>
      </c>
      <c r="U870">
        <v>224.94</v>
      </c>
      <c r="V870">
        <v>0.05</v>
      </c>
      <c r="W870">
        <v>1923.24</v>
      </c>
      <c r="X870">
        <v>1093.6600000000001</v>
      </c>
      <c r="Y870">
        <v>829.58</v>
      </c>
      <c r="Z870" t="s">
        <v>34</v>
      </c>
      <c r="AA870" t="s">
        <v>35</v>
      </c>
    </row>
    <row r="871" spans="1:27">
      <c r="A871" t="s">
        <v>3967</v>
      </c>
      <c r="B871" s="4" t="s">
        <v>3968</v>
      </c>
      <c r="C871" s="4" t="s">
        <v>787</v>
      </c>
      <c r="D871" s="4" t="str">
        <f>IF(C759&lt;B759,"Invalid","OK")</f>
        <v>OK</v>
      </c>
      <c r="E871" s="7" t="str">
        <f>IF(OR(D871="Invalid",D871&lt;0),"",D871)</f>
        <v>OK</v>
      </c>
      <c r="F871" t="s">
        <v>3969</v>
      </c>
      <c r="G871" t="s">
        <v>180</v>
      </c>
      <c r="H871" t="str">
        <f>PROPER(TRIM(G871))</f>
        <v>Rohan Mehta</v>
      </c>
      <c r="I871" t="s">
        <v>115</v>
      </c>
      <c r="J871" t="str">
        <f>PROPER(TRIM(I871))</f>
        <v>Home Office</v>
      </c>
      <c r="K871" t="s">
        <v>27</v>
      </c>
      <c r="L871" t="s">
        <v>506</v>
      </c>
      <c r="M871" t="s">
        <v>507</v>
      </c>
      <c r="N871" t="s">
        <v>45</v>
      </c>
      <c r="O871" t="str">
        <f>TRIM(N871)</f>
        <v>Furniture</v>
      </c>
      <c r="P871" t="s">
        <v>76</v>
      </c>
      <c r="Q871" t="s">
        <v>1752</v>
      </c>
      <c r="R871" t="s">
        <v>48</v>
      </c>
      <c r="S871" t="s">
        <v>48</v>
      </c>
      <c r="T871">
        <v>6</v>
      </c>
      <c r="U871">
        <v>796.65</v>
      </c>
      <c r="V871">
        <v>0.1</v>
      </c>
      <c r="W871">
        <v>4301.91</v>
      </c>
      <c r="X871">
        <v>2374.4</v>
      </c>
      <c r="Y871">
        <v>1927.51</v>
      </c>
      <c r="Z871" t="s">
        <v>34</v>
      </c>
      <c r="AA871" t="s">
        <v>35</v>
      </c>
    </row>
    <row r="872" spans="1:27">
      <c r="A872" t="s">
        <v>3970</v>
      </c>
      <c r="B872" t="s">
        <v>3971</v>
      </c>
      <c r="C872" t="s">
        <v>3972</v>
      </c>
      <c r="D872"/>
      <c r="E872" s="7">
        <f>IF(OR(D872="Invalid",D872&lt;0),"",D872)</f>
        <v>0</v>
      </c>
      <c r="F872" t="s">
        <v>3973</v>
      </c>
      <c r="G872" t="s">
        <v>83</v>
      </c>
      <c r="H872" t="str">
        <f>PROPER(TRIM(G872))</f>
        <v>Vikram Iyer</v>
      </c>
      <c r="I872" t="s">
        <v>108</v>
      </c>
      <c r="J872" t="str">
        <f>PROPER(TRIM(I872))</f>
        <v>Corporate</v>
      </c>
      <c r="K872" t="s">
        <v>73</v>
      </c>
      <c r="L872" t="s">
        <v>249</v>
      </c>
      <c r="M872" t="s">
        <v>250</v>
      </c>
      <c r="N872" t="s">
        <v>45</v>
      </c>
      <c r="O872" t="str">
        <f>TRIM(N872)</f>
        <v>Furniture</v>
      </c>
      <c r="P872" t="s">
        <v>46</v>
      </c>
      <c r="Q872" t="s">
        <v>3974</v>
      </c>
      <c r="R872" t="s">
        <v>67</v>
      </c>
      <c r="S872" t="s">
        <v>67</v>
      </c>
      <c r="T872">
        <v>9</v>
      </c>
      <c r="U872">
        <v>2932.92</v>
      </c>
      <c r="V872">
        <v>0.15</v>
      </c>
      <c r="W872">
        <v>22436.84</v>
      </c>
      <c r="X872">
        <v>17454.669999999998</v>
      </c>
      <c r="Y872">
        <v>4982.17</v>
      </c>
      <c r="Z872" t="s">
        <v>34</v>
      </c>
      <c r="AA872" t="s">
        <v>78</v>
      </c>
    </row>
    <row r="873" spans="1:27">
      <c r="A873" t="s">
        <v>3975</v>
      </c>
      <c r="B873" t="s">
        <v>3976</v>
      </c>
      <c r="C873" t="s">
        <v>2830</v>
      </c>
      <c r="D873"/>
      <c r="E873" s="7">
        <f>IF(OR(D873="Invalid",D873&lt;0),"",D873)</f>
        <v>0</v>
      </c>
      <c r="F873" t="s">
        <v>3795</v>
      </c>
      <c r="G873" t="s">
        <v>93</v>
      </c>
      <c r="H873" t="str">
        <f>PROPER(TRIM(G873))</f>
        <v>Neha Gupta</v>
      </c>
      <c r="I873" t="s">
        <v>41</v>
      </c>
      <c r="J873" t="str">
        <f>PROPER(TRIM(I873))</f>
        <v>Small Business</v>
      </c>
      <c r="K873" t="s">
        <v>62</v>
      </c>
      <c r="L873" t="s">
        <v>63</v>
      </c>
      <c r="M873" t="s">
        <v>64</v>
      </c>
      <c r="N873" t="s">
        <v>86</v>
      </c>
      <c r="O873" t="str">
        <f>TRIM(N873)</f>
        <v>Technology</v>
      </c>
      <c r="P873" t="s">
        <v>87</v>
      </c>
      <c r="Q873" t="s">
        <v>3977</v>
      </c>
      <c r="R873" t="s">
        <v>56</v>
      </c>
      <c r="S873" t="s">
        <v>56</v>
      </c>
      <c r="T873">
        <v>9</v>
      </c>
      <c r="U873">
        <v>2186.23</v>
      </c>
      <c r="V873">
        <v>0</v>
      </c>
      <c r="W873">
        <v>19676.07</v>
      </c>
      <c r="X873">
        <v>12458.62</v>
      </c>
      <c r="Y873">
        <v>7217.45</v>
      </c>
      <c r="Z873" t="s">
        <v>124</v>
      </c>
      <c r="AA873" t="s">
        <v>78</v>
      </c>
    </row>
    <row r="874" spans="1:27">
      <c r="A874" t="s">
        <v>3978</v>
      </c>
      <c r="B874" t="s">
        <v>3506</v>
      </c>
      <c r="C874" t="s">
        <v>3979</v>
      </c>
      <c r="D874"/>
      <c r="E874" s="7">
        <f>IF(OR(D874="Invalid",D874&lt;0),"",D874)</f>
        <v>0</v>
      </c>
      <c r="F874" t="s">
        <v>2962</v>
      </c>
      <c r="G874" t="s">
        <v>25</v>
      </c>
      <c r="H874" t="str">
        <f>PROPER(TRIM(G874))</f>
        <v>Karan Malhotra</v>
      </c>
      <c r="I874" t="s">
        <v>108</v>
      </c>
      <c r="J874" t="str">
        <f>PROPER(TRIM(I874))</f>
        <v>Corporate</v>
      </c>
      <c r="K874" t="s">
        <v>42</v>
      </c>
      <c r="L874" t="s">
        <v>121</v>
      </c>
      <c r="M874" t="s">
        <v>122</v>
      </c>
      <c r="N874" t="s">
        <v>45</v>
      </c>
      <c r="O874" t="str">
        <f>TRIM(N874)</f>
        <v>Furniture</v>
      </c>
      <c r="P874" t="s">
        <v>65</v>
      </c>
      <c r="Q874" t="s">
        <v>3980</v>
      </c>
      <c r="R874" t="s">
        <v>67</v>
      </c>
      <c r="S874" t="s">
        <v>67</v>
      </c>
      <c r="T874">
        <v>5</v>
      </c>
      <c r="U874">
        <v>2212.02</v>
      </c>
      <c r="V874">
        <v>0.2</v>
      </c>
      <c r="W874">
        <v>8848.08</v>
      </c>
      <c r="X874">
        <v>5691.56</v>
      </c>
      <c r="Y874">
        <v>3156.52</v>
      </c>
      <c r="Z874" t="s">
        <v>34</v>
      </c>
      <c r="AA874" t="s">
        <v>35</v>
      </c>
    </row>
    <row r="875" spans="1:27">
      <c r="A875" t="s">
        <v>3981</v>
      </c>
      <c r="B875" t="s">
        <v>3982</v>
      </c>
      <c r="C875" t="s">
        <v>3983</v>
      </c>
      <c r="D875"/>
      <c r="E875" s="7">
        <f>IF(OR(D875="Invalid",D875&lt;0),"",D875)</f>
        <v>0</v>
      </c>
      <c r="F875" t="s">
        <v>3984</v>
      </c>
      <c r="G875" t="s">
        <v>107</v>
      </c>
      <c r="H875" t="str">
        <f>PROPER(TRIM(G875))</f>
        <v>Aditi Sen</v>
      </c>
      <c r="I875" t="s">
        <v>115</v>
      </c>
      <c r="J875" t="str">
        <f>PROPER(TRIM(I875))</f>
        <v>Home Office</v>
      </c>
      <c r="K875" t="s">
        <v>73</v>
      </c>
      <c r="L875" t="s">
        <v>235</v>
      </c>
      <c r="M875" t="s">
        <v>236</v>
      </c>
      <c r="N875" t="s">
        <v>30</v>
      </c>
      <c r="O875" t="str">
        <f>TRIM(N875)</f>
        <v>Office Supplies</v>
      </c>
      <c r="P875" t="s">
        <v>156</v>
      </c>
      <c r="Q875" t="s">
        <v>3985</v>
      </c>
      <c r="R875" t="s">
        <v>33</v>
      </c>
      <c r="S875" t="s">
        <v>33</v>
      </c>
      <c r="T875">
        <v>8</v>
      </c>
      <c r="U875">
        <v>623.30999999999995</v>
      </c>
      <c r="V875">
        <v>0.1</v>
      </c>
      <c r="W875">
        <v>4487.83</v>
      </c>
      <c r="X875">
        <v>2633.78</v>
      </c>
      <c r="Y875">
        <v>1854.05</v>
      </c>
      <c r="Z875" t="s">
        <v>34</v>
      </c>
      <c r="AA875" t="s">
        <v>35</v>
      </c>
    </row>
    <row r="876" spans="1:27">
      <c r="A876" t="s">
        <v>3986</v>
      </c>
      <c r="B876" t="s">
        <v>2908</v>
      </c>
      <c r="C876" t="s">
        <v>1511</v>
      </c>
      <c r="D876"/>
      <c r="E876" s="7">
        <f>IF(OR(D876="Invalid",D876&lt;0),"",D876)</f>
        <v>0</v>
      </c>
      <c r="F876" t="s">
        <v>3987</v>
      </c>
      <c r="G876" t="s">
        <v>83</v>
      </c>
      <c r="H876" t="str">
        <f>PROPER(TRIM(G876))</f>
        <v>Vikram Iyer</v>
      </c>
      <c r="I876" t="s">
        <v>41</v>
      </c>
      <c r="J876" t="str">
        <f>PROPER(TRIM(I876))</f>
        <v>Small Business</v>
      </c>
      <c r="K876" t="s">
        <v>73</v>
      </c>
      <c r="L876" t="s">
        <v>74</v>
      </c>
      <c r="M876" t="s">
        <v>75</v>
      </c>
      <c r="N876" t="s">
        <v>30</v>
      </c>
      <c r="O876" t="str">
        <f>TRIM(N876)</f>
        <v>Office Supplies</v>
      </c>
      <c r="P876" t="s">
        <v>31</v>
      </c>
      <c r="Q876" t="s">
        <v>3988</v>
      </c>
      <c r="R876" t="s">
        <v>67</v>
      </c>
      <c r="S876" t="s">
        <v>67</v>
      </c>
      <c r="T876">
        <v>8</v>
      </c>
      <c r="U876">
        <v>3924.88</v>
      </c>
      <c r="V876">
        <v>0.05</v>
      </c>
      <c r="W876">
        <v>29829.09</v>
      </c>
      <c r="X876">
        <v>20710.18</v>
      </c>
      <c r="Y876">
        <v>9118.91</v>
      </c>
      <c r="Z876" t="s">
        <v>34</v>
      </c>
      <c r="AA876" t="s">
        <v>35</v>
      </c>
    </row>
    <row r="877" spans="1:27">
      <c r="A877" t="s">
        <v>3989</v>
      </c>
      <c r="B877" t="s">
        <v>3990</v>
      </c>
      <c r="C877" t="s">
        <v>3991</v>
      </c>
      <c r="D877"/>
      <c r="E877" s="7">
        <f>IF(OR(D877="Invalid",D877&lt;0),"",D877)</f>
        <v>0</v>
      </c>
      <c r="F877" t="s">
        <v>3992</v>
      </c>
      <c r="G877" t="s">
        <v>40</v>
      </c>
      <c r="H877" t="str">
        <f>PROPER(TRIM(G877))</f>
        <v>Mira Das</v>
      </c>
      <c r="I877" t="s">
        <v>108</v>
      </c>
      <c r="J877" t="str">
        <f>PROPER(TRIM(I877))</f>
        <v>Corporate</v>
      </c>
      <c r="K877" t="s">
        <v>73</v>
      </c>
      <c r="L877" t="s">
        <v>74</v>
      </c>
      <c r="M877" t="s">
        <v>75</v>
      </c>
      <c r="N877" t="s">
        <v>86</v>
      </c>
      <c r="O877" t="str">
        <f>TRIM(N877)</f>
        <v>Technology</v>
      </c>
      <c r="P877" t="s">
        <v>94</v>
      </c>
      <c r="Q877" t="s">
        <v>3993</v>
      </c>
      <c r="R877" t="s">
        <v>56</v>
      </c>
      <c r="S877" t="s">
        <v>56</v>
      </c>
      <c r="T877">
        <v>7</v>
      </c>
      <c r="U877">
        <v>3852.62</v>
      </c>
      <c r="V877">
        <v>0.2</v>
      </c>
      <c r="W877">
        <v>21574.67</v>
      </c>
      <c r="X877">
        <v>14672.83</v>
      </c>
      <c r="Y877">
        <v>6901.84</v>
      </c>
      <c r="Z877" t="s">
        <v>34</v>
      </c>
      <c r="AA877" t="s">
        <v>35</v>
      </c>
    </row>
    <row r="878" spans="1:27">
      <c r="A878" t="s">
        <v>3994</v>
      </c>
      <c r="B878" t="s">
        <v>3995</v>
      </c>
      <c r="C878" t="s">
        <v>3996</v>
      </c>
      <c r="D878"/>
      <c r="E878" s="7">
        <f>IF(OR(D878="Invalid",D878&lt;0),"",D878)</f>
        <v>0</v>
      </c>
      <c r="F878" t="s">
        <v>3997</v>
      </c>
      <c r="G878" t="s">
        <v>142</v>
      </c>
      <c r="H878" t="str">
        <f>PROPER(TRIM(G878))</f>
        <v>Priya Menon</v>
      </c>
      <c r="I878" t="s">
        <v>26</v>
      </c>
      <c r="J878" t="str">
        <f>PROPER(TRIM(I878))</f>
        <v>Consumer</v>
      </c>
      <c r="K878" t="s">
        <v>73</v>
      </c>
      <c r="L878" t="s">
        <v>28</v>
      </c>
      <c r="M878" t="s">
        <v>135</v>
      </c>
      <c r="N878" t="s">
        <v>45</v>
      </c>
      <c r="O878" t="str">
        <f>TRIM(N878)</f>
        <v>Furniture</v>
      </c>
      <c r="P878" t="s">
        <v>76</v>
      </c>
      <c r="Q878" t="s">
        <v>1291</v>
      </c>
      <c r="R878" t="s">
        <v>56</v>
      </c>
      <c r="S878" t="s">
        <v>56</v>
      </c>
      <c r="T878">
        <v>6</v>
      </c>
      <c r="U878">
        <v>3790.22</v>
      </c>
      <c r="V878">
        <v>0</v>
      </c>
      <c r="W878">
        <v>22741.32</v>
      </c>
      <c r="X878">
        <v>16388.57</v>
      </c>
      <c r="Y878">
        <v>6352.75</v>
      </c>
      <c r="Z878" t="s">
        <v>34</v>
      </c>
      <c r="AA878" t="s">
        <v>35</v>
      </c>
    </row>
    <row r="879" spans="1:27">
      <c r="A879" t="s">
        <v>3998</v>
      </c>
      <c r="B879" t="s">
        <v>3999</v>
      </c>
      <c r="C879" t="s">
        <v>2767</v>
      </c>
      <c r="D879"/>
      <c r="E879" s="7">
        <f>IF(OR(D879="Invalid",D879&lt;0),"",D879)</f>
        <v>0</v>
      </c>
      <c r="F879" t="s">
        <v>4000</v>
      </c>
      <c r="G879" t="s">
        <v>162</v>
      </c>
      <c r="H879" t="str">
        <f>PROPER(TRIM(G879))</f>
        <v>Aarav Sharma</v>
      </c>
      <c r="I879" t="s">
        <v>26</v>
      </c>
      <c r="J879" t="str">
        <f>PROPER(TRIM(I879))</f>
        <v>Consumer</v>
      </c>
      <c r="K879" t="s">
        <v>73</v>
      </c>
      <c r="L879" t="s">
        <v>28</v>
      </c>
      <c r="M879" t="s">
        <v>135</v>
      </c>
      <c r="N879" t="s">
        <v>30</v>
      </c>
      <c r="O879" t="str">
        <f>TRIM(N879)</f>
        <v>Office Supplies</v>
      </c>
      <c r="P879" t="s">
        <v>156</v>
      </c>
      <c r="Q879" t="s">
        <v>4001</v>
      </c>
      <c r="R879" t="s">
        <v>33</v>
      </c>
      <c r="S879" t="s">
        <v>33</v>
      </c>
      <c r="T879">
        <v>6</v>
      </c>
      <c r="U879">
        <v>674.36</v>
      </c>
      <c r="V879">
        <v>0.1</v>
      </c>
      <c r="W879">
        <v>3641.54</v>
      </c>
      <c r="X879">
        <v>2690.37</v>
      </c>
      <c r="Y879">
        <v>951.17</v>
      </c>
      <c r="Z879" t="s">
        <v>34</v>
      </c>
      <c r="AA879" t="s">
        <v>35</v>
      </c>
    </row>
    <row r="880" spans="1:27">
      <c r="A880" t="s">
        <v>4002</v>
      </c>
      <c r="B880" t="s">
        <v>2038</v>
      </c>
      <c r="C880" t="s">
        <v>2038</v>
      </c>
      <c r="D880"/>
      <c r="E880" s="7">
        <f>IF(OR(D880="Invalid",D880&lt;0),"",D880)</f>
        <v>0</v>
      </c>
      <c r="F880" t="s">
        <v>4003</v>
      </c>
      <c r="G880" t="s">
        <v>25</v>
      </c>
      <c r="H880" t="str">
        <f>PROPER(TRIM(G880))</f>
        <v>Karan Malhotra</v>
      </c>
      <c r="I880" t="s">
        <v>108</v>
      </c>
      <c r="J880" t="str">
        <f>PROPER(TRIM(I880))</f>
        <v>Corporate</v>
      </c>
      <c r="K880" t="s">
        <v>42</v>
      </c>
      <c r="L880" t="s">
        <v>121</v>
      </c>
      <c r="M880" t="s">
        <v>122</v>
      </c>
      <c r="N880" t="s">
        <v>30</v>
      </c>
      <c r="O880" t="str">
        <f>TRIM(N880)</f>
        <v>Office Supplies</v>
      </c>
      <c r="P880" t="s">
        <v>31</v>
      </c>
      <c r="Q880" t="s">
        <v>4004</v>
      </c>
      <c r="R880" t="s">
        <v>56</v>
      </c>
      <c r="S880" t="s">
        <v>56</v>
      </c>
      <c r="T880">
        <v>8</v>
      </c>
      <c r="U880">
        <v>1557.21</v>
      </c>
      <c r="V880">
        <v>0.05</v>
      </c>
      <c r="W880">
        <v>11834.8</v>
      </c>
      <c r="X880">
        <v>9322.36</v>
      </c>
      <c r="Y880">
        <v>2512.44</v>
      </c>
      <c r="Z880" t="s">
        <v>34</v>
      </c>
      <c r="AA880" t="s">
        <v>35</v>
      </c>
    </row>
    <row r="881" spans="1:27">
      <c r="A881" t="s">
        <v>4005</v>
      </c>
      <c r="B881" t="s">
        <v>4006</v>
      </c>
      <c r="C881" t="s">
        <v>435</v>
      </c>
      <c r="D881"/>
      <c r="E881" s="7">
        <f>IF(OR(D881="Invalid",D881&lt;0),"",D881)</f>
        <v>0</v>
      </c>
      <c r="F881" t="s">
        <v>4007</v>
      </c>
      <c r="G881" t="s">
        <v>72</v>
      </c>
      <c r="H881" t="str">
        <f>PROPER(TRIM(G881))</f>
        <v>Ananya Rao</v>
      </c>
      <c r="I881" t="s">
        <v>115</v>
      </c>
      <c r="J881" t="str">
        <f>PROPER(TRIM(I881))</f>
        <v>Home Office</v>
      </c>
      <c r="K881" t="s">
        <v>27</v>
      </c>
      <c r="L881" t="s">
        <v>174</v>
      </c>
      <c r="M881" t="s">
        <v>175</v>
      </c>
      <c r="N881" t="s">
        <v>30</v>
      </c>
      <c r="O881" t="str">
        <f>TRIM(N881)</f>
        <v>Office Supplies</v>
      </c>
      <c r="P881" t="s">
        <v>54</v>
      </c>
      <c r="Q881" t="s">
        <v>4008</v>
      </c>
      <c r="R881" t="s">
        <v>67</v>
      </c>
      <c r="S881" t="s">
        <v>67</v>
      </c>
      <c r="T881">
        <v>6</v>
      </c>
      <c r="U881">
        <v>1182.03</v>
      </c>
      <c r="V881">
        <v>0.15</v>
      </c>
      <c r="W881">
        <v>6028.35</v>
      </c>
      <c r="X881">
        <v>4433.63</v>
      </c>
      <c r="Y881">
        <v>1594.72</v>
      </c>
      <c r="Z881" t="s">
        <v>34</v>
      </c>
      <c r="AA881" t="s">
        <v>35</v>
      </c>
    </row>
    <row r="882" spans="1:27">
      <c r="A882" t="s">
        <v>4009</v>
      </c>
      <c r="B882" s="4" t="s">
        <v>4010</v>
      </c>
      <c r="C882" s="4" t="s">
        <v>1123</v>
      </c>
      <c r="D882" s="4" t="str">
        <f>IF(C770&lt;B770,"Invalid","OK")</f>
        <v>OK</v>
      </c>
      <c r="E882" s="7" t="str">
        <f>IF(OR(D882="Invalid",D882&lt;0),"",D882)</f>
        <v>OK</v>
      </c>
      <c r="F882" t="s">
        <v>4011</v>
      </c>
      <c r="G882" t="s">
        <v>162</v>
      </c>
      <c r="H882" t="str">
        <f>PROPER(TRIM(G882))</f>
        <v>Aarav Sharma</v>
      </c>
      <c r="I882" t="s">
        <v>41</v>
      </c>
      <c r="J882" t="str">
        <f>PROPER(TRIM(I882))</f>
        <v>Small Business</v>
      </c>
      <c r="K882" t="s">
        <v>27</v>
      </c>
      <c r="L882" t="s">
        <v>154</v>
      </c>
      <c r="M882" t="s">
        <v>155</v>
      </c>
      <c r="N882" t="s">
        <v>45</v>
      </c>
      <c r="O882" t="str">
        <f>TRIM(N882)</f>
        <v>Furniture</v>
      </c>
      <c r="P882" t="s">
        <v>76</v>
      </c>
      <c r="Q882" t="s">
        <v>4012</v>
      </c>
      <c r="R882" t="s">
        <v>56</v>
      </c>
      <c r="S882" t="s">
        <v>56</v>
      </c>
      <c r="T882">
        <v>5</v>
      </c>
      <c r="U882">
        <v>3234.77</v>
      </c>
      <c r="V882">
        <v>0</v>
      </c>
      <c r="W882">
        <v>16173.85</v>
      </c>
      <c r="X882">
        <v>13636.34</v>
      </c>
      <c r="Y882">
        <v>2537.5100000000002</v>
      </c>
      <c r="Z882" t="s">
        <v>34</v>
      </c>
      <c r="AA882" t="s">
        <v>35</v>
      </c>
    </row>
    <row r="883" spans="1:27">
      <c r="A883" t="s">
        <v>4013</v>
      </c>
      <c r="B883" t="s">
        <v>2538</v>
      </c>
      <c r="C883" t="s">
        <v>4014</v>
      </c>
      <c r="D883"/>
      <c r="E883" s="7">
        <f>IF(OR(D883="Invalid",D883&lt;0),"",D883)</f>
        <v>0</v>
      </c>
      <c r="F883" t="s">
        <v>4015</v>
      </c>
      <c r="G883" t="s">
        <v>72</v>
      </c>
      <c r="H883" t="str">
        <f>PROPER(TRIM(G883))</f>
        <v>Ananya Rao</v>
      </c>
      <c r="I883" t="s">
        <v>41</v>
      </c>
      <c r="J883" t="str">
        <f>PROPER(TRIM(I883))</f>
        <v>Small Business</v>
      </c>
      <c r="K883" t="s">
        <v>62</v>
      </c>
      <c r="L883" t="s">
        <v>100</v>
      </c>
      <c r="M883" t="s">
        <v>101</v>
      </c>
      <c r="N883" t="s">
        <v>86</v>
      </c>
      <c r="O883" t="str">
        <f>TRIM(N883)</f>
        <v>Technology</v>
      </c>
      <c r="P883" t="s">
        <v>94</v>
      </c>
      <c r="Q883" t="s">
        <v>4016</v>
      </c>
      <c r="R883" t="s">
        <v>33</v>
      </c>
      <c r="S883" t="s">
        <v>33</v>
      </c>
      <c r="T883">
        <v>9</v>
      </c>
      <c r="U883">
        <v>3726.75</v>
      </c>
      <c r="V883">
        <v>0.25</v>
      </c>
      <c r="W883">
        <v>25155.56</v>
      </c>
      <c r="X883">
        <v>17592.689999999999</v>
      </c>
      <c r="Y883">
        <v>7562.87</v>
      </c>
      <c r="Z883" t="s">
        <v>34</v>
      </c>
      <c r="AA883" t="s">
        <v>35</v>
      </c>
    </row>
    <row r="884" spans="1:27">
      <c r="A884" t="s">
        <v>4017</v>
      </c>
      <c r="B884" t="s">
        <v>4018</v>
      </c>
      <c r="C884" t="s">
        <v>1335</v>
      </c>
      <c r="D884"/>
      <c r="E884" s="7">
        <f>IF(OR(D884="Invalid",D884&lt;0),"",D884)</f>
        <v>0</v>
      </c>
      <c r="F884" t="s">
        <v>4019</v>
      </c>
      <c r="G884" t="s">
        <v>168</v>
      </c>
      <c r="H884" t="str">
        <f>PROPER(TRIM(G884))</f>
        <v>Sneha Kapoor</v>
      </c>
      <c r="I884" t="s">
        <v>108</v>
      </c>
      <c r="J884" t="str">
        <f>PROPER(TRIM(I884))</f>
        <v>Corporate</v>
      </c>
      <c r="K884" t="s">
        <v>42</v>
      </c>
      <c r="L884" t="s">
        <v>186</v>
      </c>
      <c r="M884" t="s">
        <v>187</v>
      </c>
      <c r="N884" t="s">
        <v>86</v>
      </c>
      <c r="O884" t="str">
        <f>TRIM(N884)</f>
        <v>Technology</v>
      </c>
      <c r="P884" t="s">
        <v>87</v>
      </c>
      <c r="Q884" t="s">
        <v>4020</v>
      </c>
      <c r="R884" t="s">
        <v>67</v>
      </c>
      <c r="S884" t="s">
        <v>67</v>
      </c>
      <c r="T884">
        <v>4</v>
      </c>
      <c r="U884">
        <v>1912.45</v>
      </c>
      <c r="V884">
        <v>0</v>
      </c>
      <c r="W884">
        <v>7649.8</v>
      </c>
      <c r="X884">
        <v>4894.53</v>
      </c>
      <c r="Y884">
        <v>2755.27</v>
      </c>
      <c r="Z884" t="s">
        <v>137</v>
      </c>
      <c r="AA884" t="s">
        <v>125</v>
      </c>
    </row>
    <row r="885" spans="1:27">
      <c r="A885" t="s">
        <v>4021</v>
      </c>
      <c r="B885" t="s">
        <v>4022</v>
      </c>
      <c r="C885" t="s">
        <v>4023</v>
      </c>
      <c r="D885"/>
      <c r="E885" s="7">
        <f>IF(OR(D885="Invalid",D885&lt;0),"",D885)</f>
        <v>0</v>
      </c>
      <c r="F885" t="s">
        <v>4024</v>
      </c>
      <c r="G885" t="s">
        <v>162</v>
      </c>
      <c r="H885" t="str">
        <f>PROPER(TRIM(G885))</f>
        <v>Aarav Sharma</v>
      </c>
      <c r="I885" t="s">
        <v>41</v>
      </c>
      <c r="J885" t="str">
        <f>PROPER(TRIM(I885))</f>
        <v>Small Business</v>
      </c>
      <c r="K885" t="s">
        <v>73</v>
      </c>
      <c r="L885" t="s">
        <v>249</v>
      </c>
      <c r="M885" t="s">
        <v>250</v>
      </c>
      <c r="N885" t="s">
        <v>30</v>
      </c>
      <c r="O885" t="str">
        <f>TRIM(N885)</f>
        <v>Office Supplies</v>
      </c>
      <c r="P885" t="s">
        <v>156</v>
      </c>
      <c r="Q885" t="s">
        <v>4025</v>
      </c>
      <c r="R885" t="s">
        <v>48</v>
      </c>
      <c r="S885" t="s">
        <v>48</v>
      </c>
      <c r="T885">
        <v>1</v>
      </c>
      <c r="U885">
        <v>1620.87</v>
      </c>
      <c r="V885">
        <v>0</v>
      </c>
      <c r="W885">
        <v>1620.87</v>
      </c>
      <c r="X885">
        <v>1103.6099999999999</v>
      </c>
      <c r="Y885">
        <v>517.26</v>
      </c>
      <c r="Z885" t="s">
        <v>34</v>
      </c>
      <c r="AA885" t="s">
        <v>35</v>
      </c>
    </row>
    <row r="886" spans="1:27">
      <c r="A886" t="s">
        <v>4026</v>
      </c>
      <c r="B886" t="s">
        <v>4027</v>
      </c>
      <c r="C886" t="s">
        <v>4028</v>
      </c>
      <c r="D886"/>
      <c r="E886" s="7">
        <f>IF(OR(D886="Invalid",D886&lt;0),"",D886)</f>
        <v>0</v>
      </c>
      <c r="F886" t="s">
        <v>4029</v>
      </c>
      <c r="G886" t="s">
        <v>93</v>
      </c>
      <c r="H886" t="str">
        <f>PROPER(TRIM(G886))</f>
        <v>Neha Gupta</v>
      </c>
      <c r="I886" t="s">
        <v>115</v>
      </c>
      <c r="J886" t="str">
        <f>PROPER(TRIM(I886))</f>
        <v>Home Office</v>
      </c>
      <c r="K886" t="s">
        <v>62</v>
      </c>
      <c r="L886" t="s">
        <v>229</v>
      </c>
      <c r="M886" t="s">
        <v>230</v>
      </c>
      <c r="N886" t="s">
        <v>30</v>
      </c>
      <c r="O886" t="str">
        <f>TRIM(N886)</f>
        <v>Office Supplies</v>
      </c>
      <c r="P886" t="s">
        <v>156</v>
      </c>
      <c r="Q886" t="s">
        <v>4030</v>
      </c>
      <c r="R886" t="s">
        <v>48</v>
      </c>
      <c r="S886" t="s">
        <v>48</v>
      </c>
      <c r="T886">
        <v>2</v>
      </c>
      <c r="U886">
        <v>2098.54</v>
      </c>
      <c r="V886">
        <v>0.15</v>
      </c>
      <c r="W886">
        <v>3567.52</v>
      </c>
      <c r="X886">
        <v>2411.8000000000002</v>
      </c>
      <c r="Y886">
        <v>1155.72</v>
      </c>
      <c r="Z886" t="s">
        <v>34</v>
      </c>
      <c r="AA886" t="s">
        <v>35</v>
      </c>
    </row>
    <row r="887" spans="1:27">
      <c r="A887" t="s">
        <v>4031</v>
      </c>
      <c r="B887" t="s">
        <v>4032</v>
      </c>
      <c r="C887" t="s">
        <v>4032</v>
      </c>
      <c r="D887"/>
      <c r="E887" s="7">
        <f>IF(OR(D887="Invalid",D887&lt;0),"",D887)</f>
        <v>0</v>
      </c>
      <c r="F887" t="s">
        <v>4033</v>
      </c>
      <c r="G887" t="s">
        <v>210</v>
      </c>
      <c r="H887" t="str">
        <f>PROPER(TRIM(G887))</f>
        <v>Diya Patel</v>
      </c>
      <c r="I887" t="s">
        <v>26</v>
      </c>
      <c r="J887" t="str">
        <f>PROPER(TRIM(I887))</f>
        <v>Consumer</v>
      </c>
      <c r="K887" t="s">
        <v>27</v>
      </c>
      <c r="L887" t="s">
        <v>28</v>
      </c>
      <c r="M887" t="s">
        <v>29</v>
      </c>
      <c r="N887" t="s">
        <v>45</v>
      </c>
      <c r="O887" t="str">
        <f>TRIM(N887)</f>
        <v>Furniture</v>
      </c>
      <c r="P887" t="s">
        <v>46</v>
      </c>
      <c r="Q887" t="s">
        <v>4034</v>
      </c>
      <c r="R887" t="s">
        <v>67</v>
      </c>
      <c r="S887" t="s">
        <v>67</v>
      </c>
      <c r="T887">
        <v>1</v>
      </c>
      <c r="U887">
        <v>2167.08</v>
      </c>
      <c r="V887">
        <v>0.25</v>
      </c>
      <c r="W887">
        <v>1625.31</v>
      </c>
      <c r="X887">
        <v>1157.8900000000001</v>
      </c>
      <c r="Y887">
        <v>467.42</v>
      </c>
      <c r="Z887" t="s">
        <v>34</v>
      </c>
      <c r="AA887" t="s">
        <v>35</v>
      </c>
    </row>
    <row r="888" spans="1:27">
      <c r="A888" t="s">
        <v>4035</v>
      </c>
      <c r="B888" t="s">
        <v>4036</v>
      </c>
      <c r="C888" t="s">
        <v>4037</v>
      </c>
      <c r="D888"/>
      <c r="E888" s="7">
        <f>IF(OR(D888="Invalid",D888&lt;0),"",D888)</f>
        <v>0</v>
      </c>
      <c r="F888" t="s">
        <v>4038</v>
      </c>
      <c r="G888" t="s">
        <v>61</v>
      </c>
      <c r="H888" t="str">
        <f>PROPER(TRIM(G888))</f>
        <v>Arjun Bose</v>
      </c>
      <c r="I888" t="s">
        <v>115</v>
      </c>
      <c r="J888" t="str">
        <f>PROPER(TRIM(I888))</f>
        <v>Home Office</v>
      </c>
      <c r="K888" t="s">
        <v>62</v>
      </c>
      <c r="L888" t="s">
        <v>339</v>
      </c>
      <c r="M888" t="s">
        <v>340</v>
      </c>
      <c r="N888" t="s">
        <v>86</v>
      </c>
      <c r="O888" t="str">
        <f>TRIM(N888)</f>
        <v>Technology</v>
      </c>
      <c r="P888" t="s">
        <v>87</v>
      </c>
      <c r="Q888" t="s">
        <v>4039</v>
      </c>
      <c r="R888" t="s">
        <v>56</v>
      </c>
      <c r="S888" t="s">
        <v>56</v>
      </c>
      <c r="T888">
        <v>7</v>
      </c>
      <c r="U888">
        <v>3989.9</v>
      </c>
      <c r="V888">
        <v>0.15</v>
      </c>
      <c r="W888">
        <v>23739.9</v>
      </c>
      <c r="X888">
        <v>17716.52</v>
      </c>
      <c r="Y888">
        <v>6023.38</v>
      </c>
      <c r="Z888" t="s">
        <v>34</v>
      </c>
      <c r="AA888" t="s">
        <v>78</v>
      </c>
    </row>
    <row r="889" spans="1:27">
      <c r="A889" t="s">
        <v>4040</v>
      </c>
      <c r="B889" t="s">
        <v>3918</v>
      </c>
      <c r="C889" t="s">
        <v>684</v>
      </c>
      <c r="D889"/>
      <c r="E889" s="7">
        <f>IF(OR(D889="Invalid",D889&lt;0),"",D889)</f>
        <v>0</v>
      </c>
      <c r="F889" t="s">
        <v>4041</v>
      </c>
      <c r="G889" t="s">
        <v>162</v>
      </c>
      <c r="H889" t="str">
        <f>PROPER(TRIM(G889))</f>
        <v>Aarav Sharma</v>
      </c>
      <c r="I889" t="s">
        <v>41</v>
      </c>
      <c r="J889" t="str">
        <f>PROPER(TRIM(I889))</f>
        <v>Small Business</v>
      </c>
      <c r="K889" t="s">
        <v>62</v>
      </c>
      <c r="L889" t="s">
        <v>100</v>
      </c>
      <c r="M889" t="s">
        <v>101</v>
      </c>
      <c r="N889" t="s">
        <v>30</v>
      </c>
      <c r="O889" t="str">
        <f>TRIM(N889)</f>
        <v>Office Supplies</v>
      </c>
      <c r="P889" t="s">
        <v>54</v>
      </c>
      <c r="Q889" t="s">
        <v>4042</v>
      </c>
      <c r="R889" t="s">
        <v>67</v>
      </c>
      <c r="S889" t="s">
        <v>67</v>
      </c>
      <c r="T889">
        <v>4</v>
      </c>
      <c r="U889">
        <v>4176.13</v>
      </c>
      <c r="V889">
        <v>0</v>
      </c>
      <c r="W889">
        <v>16704.52</v>
      </c>
      <c r="X889">
        <v>10158.280000000001</v>
      </c>
      <c r="Y889">
        <v>6546.24</v>
      </c>
      <c r="Z889" t="s">
        <v>34</v>
      </c>
      <c r="AA889" t="s">
        <v>35</v>
      </c>
    </row>
    <row r="890" spans="1:27">
      <c r="A890" t="s">
        <v>4043</v>
      </c>
      <c r="B890" t="s">
        <v>4044</v>
      </c>
      <c r="C890" t="s">
        <v>3578</v>
      </c>
      <c r="D890"/>
      <c r="E890" s="7">
        <f>IF(OR(D890="Invalid",D890&lt;0),"",D890)</f>
        <v>0</v>
      </c>
      <c r="F890" t="s">
        <v>4045</v>
      </c>
      <c r="G890" t="s">
        <v>148</v>
      </c>
      <c r="H890" t="str">
        <f>PROPER(TRIM(G890))</f>
        <v>Rahul Verma</v>
      </c>
      <c r="I890" t="s">
        <v>41</v>
      </c>
      <c r="J890" t="str">
        <f>PROPER(TRIM(I890))</f>
        <v>Small Business</v>
      </c>
      <c r="K890" t="s">
        <v>73</v>
      </c>
      <c r="L890" t="s">
        <v>74</v>
      </c>
      <c r="M890" t="s">
        <v>75</v>
      </c>
      <c r="N890" t="s">
        <v>30</v>
      </c>
      <c r="O890" t="str">
        <f>TRIM(N890)</f>
        <v>Office Supplies</v>
      </c>
      <c r="P890" t="s">
        <v>54</v>
      </c>
      <c r="Q890" t="s">
        <v>4046</v>
      </c>
      <c r="R890" t="s">
        <v>67</v>
      </c>
      <c r="S890" t="s">
        <v>67</v>
      </c>
      <c r="T890">
        <v>4</v>
      </c>
      <c r="U890">
        <v>3523.64</v>
      </c>
      <c r="V890">
        <v>0.1</v>
      </c>
      <c r="W890">
        <v>12685.1</v>
      </c>
      <c r="X890">
        <v>10779.56</v>
      </c>
      <c r="Y890">
        <v>1905.54</v>
      </c>
      <c r="Z890" t="s">
        <v>124</v>
      </c>
      <c r="AA890" t="s">
        <v>78</v>
      </c>
    </row>
    <row r="891" spans="1:27">
      <c r="A891" t="s">
        <v>4047</v>
      </c>
      <c r="B891" t="s">
        <v>4048</v>
      </c>
      <c r="C891" t="s">
        <v>4049</v>
      </c>
      <c r="D891"/>
      <c r="E891" s="7">
        <f>IF(OR(D891="Invalid",D891&lt;0),"",D891)</f>
        <v>0</v>
      </c>
      <c r="F891" t="s">
        <v>1349</v>
      </c>
      <c r="G891" t="s">
        <v>107</v>
      </c>
      <c r="H891" t="str">
        <f>PROPER(TRIM(G891))</f>
        <v>Aditi Sen</v>
      </c>
      <c r="I891" t="s">
        <v>115</v>
      </c>
      <c r="J891" t="str">
        <f>PROPER(TRIM(I891))</f>
        <v>Home Office</v>
      </c>
      <c r="K891" t="s">
        <v>73</v>
      </c>
      <c r="L891" t="s">
        <v>84</v>
      </c>
      <c r="M891" t="s">
        <v>85</v>
      </c>
      <c r="N891" t="s">
        <v>30</v>
      </c>
      <c r="O891" t="str">
        <f>TRIM(N891)</f>
        <v>Office Supplies</v>
      </c>
      <c r="P891" t="s">
        <v>156</v>
      </c>
      <c r="Q891" t="s">
        <v>4050</v>
      </c>
      <c r="R891" t="s">
        <v>56</v>
      </c>
      <c r="S891" t="s">
        <v>56</v>
      </c>
      <c r="T891">
        <v>2</v>
      </c>
      <c r="U891">
        <v>3922.08</v>
      </c>
      <c r="V891">
        <v>0.25</v>
      </c>
      <c r="W891">
        <v>5883.12</v>
      </c>
      <c r="X891">
        <v>4647.91</v>
      </c>
      <c r="Y891">
        <v>1235.21</v>
      </c>
      <c r="Z891" t="s">
        <v>34</v>
      </c>
      <c r="AA891" t="s">
        <v>125</v>
      </c>
    </row>
    <row r="892" spans="1:27">
      <c r="A892" t="s">
        <v>4051</v>
      </c>
      <c r="B892" t="s">
        <v>160</v>
      </c>
      <c r="C892" t="s">
        <v>1140</v>
      </c>
      <c r="D892"/>
      <c r="E892" s="7">
        <f>IF(OR(D892="Invalid",D892&lt;0),"",D892)</f>
        <v>0</v>
      </c>
      <c r="F892" t="s">
        <v>4052</v>
      </c>
      <c r="G892" t="s">
        <v>25</v>
      </c>
      <c r="H892" t="str">
        <f>PROPER(TRIM(G892))</f>
        <v>Karan Malhotra</v>
      </c>
      <c r="I892" t="s">
        <v>26</v>
      </c>
      <c r="J892" t="str">
        <f>PROPER(TRIM(I892))</f>
        <v>Consumer</v>
      </c>
      <c r="K892" t="s">
        <v>73</v>
      </c>
      <c r="L892" t="s">
        <v>249</v>
      </c>
      <c r="M892" t="s">
        <v>250</v>
      </c>
      <c r="N892" t="s">
        <v>30</v>
      </c>
      <c r="O892" t="str">
        <f>TRIM(N892)</f>
        <v>Office Supplies</v>
      </c>
      <c r="P892" t="s">
        <v>156</v>
      </c>
      <c r="Q892" t="s">
        <v>4053</v>
      </c>
      <c r="R892" t="s">
        <v>67</v>
      </c>
      <c r="S892" t="s">
        <v>67</v>
      </c>
      <c r="T892">
        <v>6</v>
      </c>
      <c r="U892">
        <v>2909.56</v>
      </c>
      <c r="V892">
        <v>0.2</v>
      </c>
      <c r="W892">
        <v>13965.89</v>
      </c>
      <c r="X892">
        <v>11646.12</v>
      </c>
      <c r="Y892">
        <v>2319.77</v>
      </c>
      <c r="Z892" t="s">
        <v>34</v>
      </c>
      <c r="AA892" t="s">
        <v>35</v>
      </c>
    </row>
    <row r="893" spans="1:27">
      <c r="A893" t="s">
        <v>4054</v>
      </c>
      <c r="B893" t="s">
        <v>3777</v>
      </c>
      <c r="C893" t="s">
        <v>2558</v>
      </c>
      <c r="D893"/>
      <c r="E893" s="7">
        <f>IF(OR(D893="Invalid",D893&lt;0),"",D893)</f>
        <v>0</v>
      </c>
      <c r="F893" t="s">
        <v>4055</v>
      </c>
      <c r="G893" t="s">
        <v>366</v>
      </c>
      <c r="H893" t="str">
        <f>PROPER(TRIM(G893))</f>
        <v>Kabir Singh</v>
      </c>
      <c r="I893" t="s">
        <v>108</v>
      </c>
      <c r="J893" t="str">
        <f>PROPER(TRIM(I893))</f>
        <v>Corporate</v>
      </c>
      <c r="K893" t="s">
        <v>62</v>
      </c>
      <c r="L893" t="s">
        <v>339</v>
      </c>
      <c r="M893" t="s">
        <v>340</v>
      </c>
      <c r="N893" t="s">
        <v>86</v>
      </c>
      <c r="O893" t="str">
        <f>TRIM(N893)</f>
        <v>Technology</v>
      </c>
      <c r="P893" t="s">
        <v>382</v>
      </c>
      <c r="Q893" t="s">
        <v>4056</v>
      </c>
      <c r="R893" t="s">
        <v>48</v>
      </c>
      <c r="S893" t="s">
        <v>48</v>
      </c>
      <c r="T893">
        <v>5</v>
      </c>
      <c r="U893">
        <v>2407.9699999999998</v>
      </c>
      <c r="V893">
        <v>0.1</v>
      </c>
      <c r="W893">
        <v>10835.86</v>
      </c>
      <c r="X893">
        <v>6419.92</v>
      </c>
      <c r="Y893">
        <v>4415.9399999999996</v>
      </c>
      <c r="Z893" t="s">
        <v>200</v>
      </c>
      <c r="AA893" t="s">
        <v>78</v>
      </c>
    </row>
    <row r="894" spans="1:27">
      <c r="A894" t="s">
        <v>4057</v>
      </c>
      <c r="B894" t="s">
        <v>4058</v>
      </c>
      <c r="C894" t="s">
        <v>3000</v>
      </c>
      <c r="D894"/>
      <c r="E894" s="7">
        <f>IF(OR(D894="Invalid",D894&lt;0),"",D894)</f>
        <v>0</v>
      </c>
      <c r="F894" t="s">
        <v>4059</v>
      </c>
      <c r="G894" t="s">
        <v>53</v>
      </c>
      <c r="H894" t="str">
        <f>PROPER(TRIM(G894))</f>
        <v>Isha Nair</v>
      </c>
      <c r="I894" t="s">
        <v>41</v>
      </c>
      <c r="J894" t="str">
        <f>PROPER(TRIM(I894))</f>
        <v>Small Business</v>
      </c>
      <c r="K894" t="s">
        <v>42</v>
      </c>
      <c r="L894" t="s">
        <v>311</v>
      </c>
      <c r="M894" t="s">
        <v>312</v>
      </c>
      <c r="N894" t="s">
        <v>86</v>
      </c>
      <c r="O894" t="str">
        <f>TRIM(N894)</f>
        <v>Technology</v>
      </c>
      <c r="P894" t="s">
        <v>94</v>
      </c>
      <c r="Q894" t="s">
        <v>4060</v>
      </c>
      <c r="R894" t="s">
        <v>48</v>
      </c>
      <c r="S894" t="s">
        <v>48</v>
      </c>
      <c r="T894">
        <v>1</v>
      </c>
      <c r="U894">
        <v>726.89</v>
      </c>
      <c r="V894">
        <v>0.2</v>
      </c>
      <c r="W894">
        <v>581.51</v>
      </c>
      <c r="X894">
        <v>423.86</v>
      </c>
      <c r="Y894">
        <v>157.65</v>
      </c>
      <c r="Z894" t="s">
        <v>34</v>
      </c>
      <c r="AA894" t="s">
        <v>35</v>
      </c>
    </row>
    <row r="895" spans="1:27">
      <c r="A895" t="s">
        <v>4061</v>
      </c>
      <c r="B895" t="s">
        <v>4062</v>
      </c>
      <c r="C895" t="s">
        <v>4063</v>
      </c>
      <c r="D895"/>
      <c r="E895" s="7">
        <f>IF(OR(D895="Invalid",D895&lt;0),"",D895)</f>
        <v>0</v>
      </c>
      <c r="F895" t="s">
        <v>4064</v>
      </c>
      <c r="G895" t="s">
        <v>162</v>
      </c>
      <c r="H895" t="str">
        <f>PROPER(TRIM(G895))</f>
        <v>Aarav Sharma</v>
      </c>
      <c r="I895" t="s">
        <v>108</v>
      </c>
      <c r="J895" t="str">
        <f>PROPER(TRIM(I895))</f>
        <v>Corporate</v>
      </c>
      <c r="K895" t="s">
        <v>62</v>
      </c>
      <c r="L895" t="s">
        <v>229</v>
      </c>
      <c r="M895" t="s">
        <v>230</v>
      </c>
      <c r="N895" t="s">
        <v>45</v>
      </c>
      <c r="O895" t="str">
        <f>TRIM(N895)</f>
        <v>Furniture</v>
      </c>
      <c r="P895" t="s">
        <v>46</v>
      </c>
      <c r="Q895" t="s">
        <v>4065</v>
      </c>
      <c r="R895" t="s">
        <v>33</v>
      </c>
      <c r="S895" t="s">
        <v>33</v>
      </c>
      <c r="T895">
        <v>3</v>
      </c>
      <c r="U895">
        <v>395.49</v>
      </c>
      <c r="V895">
        <v>0.05</v>
      </c>
      <c r="W895">
        <v>1127.1500000000001</v>
      </c>
      <c r="X895">
        <v>845.62</v>
      </c>
      <c r="Y895">
        <v>281.52999999999997</v>
      </c>
      <c r="Z895" t="s">
        <v>34</v>
      </c>
      <c r="AA895" t="s">
        <v>125</v>
      </c>
    </row>
    <row r="896" spans="1:27">
      <c r="A896" t="s">
        <v>4066</v>
      </c>
      <c r="B896" t="s">
        <v>1945</v>
      </c>
      <c r="C896" t="s">
        <v>4067</v>
      </c>
      <c r="D896"/>
      <c r="E896" s="7">
        <f>IF(OR(D896="Invalid",D896&lt;0),"",D896)</f>
        <v>0</v>
      </c>
      <c r="F896" t="s">
        <v>4068</v>
      </c>
      <c r="G896" t="s">
        <v>53</v>
      </c>
      <c r="H896" t="str">
        <f>PROPER(TRIM(G896))</f>
        <v>Isha Nair</v>
      </c>
      <c r="I896" t="s">
        <v>115</v>
      </c>
      <c r="J896" t="str">
        <f>PROPER(TRIM(I896))</f>
        <v>Home Office</v>
      </c>
      <c r="K896" t="s">
        <v>62</v>
      </c>
      <c r="L896" t="s">
        <v>63</v>
      </c>
      <c r="M896" t="s">
        <v>64</v>
      </c>
      <c r="N896" t="s">
        <v>45</v>
      </c>
      <c r="O896" t="str">
        <f>TRIM(N896)</f>
        <v>Furniture</v>
      </c>
      <c r="P896" t="s">
        <v>46</v>
      </c>
      <c r="Q896" t="s">
        <v>4069</v>
      </c>
      <c r="R896" t="s">
        <v>56</v>
      </c>
      <c r="S896" t="s">
        <v>56</v>
      </c>
      <c r="T896">
        <v>6</v>
      </c>
      <c r="U896">
        <v>4254.05</v>
      </c>
      <c r="V896">
        <v>0</v>
      </c>
      <c r="W896">
        <v>25524.3</v>
      </c>
      <c r="X896">
        <v>16711.93</v>
      </c>
      <c r="Y896">
        <v>8812.3700000000008</v>
      </c>
      <c r="Z896" t="s">
        <v>34</v>
      </c>
      <c r="AA896" t="s">
        <v>35</v>
      </c>
    </row>
    <row r="897" spans="1:27">
      <c r="A897" t="s">
        <v>4070</v>
      </c>
      <c r="B897" t="s">
        <v>4071</v>
      </c>
      <c r="C897" t="s">
        <v>105</v>
      </c>
      <c r="D897"/>
      <c r="E897" s="7">
        <f>IF(OR(D897="Invalid",D897&lt;0),"",D897)</f>
        <v>0</v>
      </c>
      <c r="F897" t="s">
        <v>4072</v>
      </c>
      <c r="G897" t="s">
        <v>61</v>
      </c>
      <c r="H897" t="str">
        <f>PROPER(TRIM(G897))</f>
        <v>Arjun Bose</v>
      </c>
      <c r="I897" t="s">
        <v>26</v>
      </c>
      <c r="J897" t="str">
        <f>PROPER(TRIM(I897))</f>
        <v>Consumer</v>
      </c>
      <c r="K897" t="s">
        <v>62</v>
      </c>
      <c r="L897" t="s">
        <v>242</v>
      </c>
      <c r="M897" t="s">
        <v>243</v>
      </c>
      <c r="N897" t="s">
        <v>45</v>
      </c>
      <c r="O897" t="str">
        <f>TRIM(N897)</f>
        <v>Furniture</v>
      </c>
      <c r="P897" t="s">
        <v>76</v>
      </c>
      <c r="Q897" t="s">
        <v>4073</v>
      </c>
      <c r="R897" t="s">
        <v>48</v>
      </c>
      <c r="S897" t="s">
        <v>48</v>
      </c>
      <c r="T897">
        <v>4</v>
      </c>
      <c r="U897">
        <v>711.18</v>
      </c>
      <c r="V897">
        <v>0.15</v>
      </c>
      <c r="W897">
        <v>2418.0100000000002</v>
      </c>
      <c r="X897">
        <v>1441.89</v>
      </c>
      <c r="Y897">
        <v>976.12</v>
      </c>
      <c r="Z897" t="s">
        <v>137</v>
      </c>
      <c r="AA897" t="s">
        <v>125</v>
      </c>
    </row>
    <row r="898" spans="1:27">
      <c r="A898" t="s">
        <v>4074</v>
      </c>
      <c r="B898" t="s">
        <v>4075</v>
      </c>
      <c r="C898" t="s">
        <v>2358</v>
      </c>
      <c r="D898"/>
      <c r="E898" s="7">
        <f>IF(OR(D898="Invalid",D898&lt;0),"",D898)</f>
        <v>0</v>
      </c>
      <c r="F898" t="s">
        <v>4076</v>
      </c>
      <c r="G898" t="s">
        <v>72</v>
      </c>
      <c r="H898" t="str">
        <f>PROPER(TRIM(G898))</f>
        <v>Ananya Rao</v>
      </c>
      <c r="I898" t="s">
        <v>41</v>
      </c>
      <c r="J898" t="str">
        <f>PROPER(TRIM(I898))</f>
        <v>Small Business</v>
      </c>
      <c r="K898" t="s">
        <v>62</v>
      </c>
      <c r="L898" t="s">
        <v>339</v>
      </c>
      <c r="M898" t="s">
        <v>340</v>
      </c>
      <c r="N898" t="s">
        <v>86</v>
      </c>
      <c r="O898" t="str">
        <f>TRIM(N898)</f>
        <v>Technology</v>
      </c>
      <c r="P898" t="s">
        <v>94</v>
      </c>
      <c r="Q898" t="s">
        <v>4077</v>
      </c>
      <c r="R898" t="s">
        <v>33</v>
      </c>
      <c r="S898" t="s">
        <v>33</v>
      </c>
      <c r="T898">
        <v>1</v>
      </c>
      <c r="U898">
        <v>3693.03</v>
      </c>
      <c r="V898">
        <v>0.05</v>
      </c>
      <c r="W898">
        <v>3508.38</v>
      </c>
      <c r="X898">
        <v>2828.06</v>
      </c>
      <c r="Y898">
        <v>680.32</v>
      </c>
      <c r="Z898" t="s">
        <v>200</v>
      </c>
      <c r="AA898" t="s">
        <v>125</v>
      </c>
    </row>
    <row r="899" spans="1:27">
      <c r="A899" t="s">
        <v>4078</v>
      </c>
      <c r="B899" t="s">
        <v>1181</v>
      </c>
      <c r="C899" t="s">
        <v>4079</v>
      </c>
      <c r="D899"/>
      <c r="E899" s="7">
        <f>IF(OR(D899="Invalid",D899&lt;0),"",D899)</f>
        <v>0</v>
      </c>
      <c r="F899" t="s">
        <v>3200</v>
      </c>
      <c r="G899" t="s">
        <v>180</v>
      </c>
      <c r="H899" t="str">
        <f>PROPER(TRIM(G899))</f>
        <v>Rohan Mehta</v>
      </c>
      <c r="I899" t="s">
        <v>108</v>
      </c>
      <c r="J899" t="str">
        <f>PROPER(TRIM(I899))</f>
        <v>Corporate</v>
      </c>
      <c r="K899" t="s">
        <v>27</v>
      </c>
      <c r="L899" t="s">
        <v>323</v>
      </c>
      <c r="M899" t="s">
        <v>324</v>
      </c>
      <c r="N899" t="s">
        <v>30</v>
      </c>
      <c r="O899" t="str">
        <f>TRIM(N899)</f>
        <v>Office Supplies</v>
      </c>
      <c r="P899" t="s">
        <v>31</v>
      </c>
      <c r="Q899" t="s">
        <v>4080</v>
      </c>
      <c r="R899" t="s">
        <v>56</v>
      </c>
      <c r="S899" t="s">
        <v>56</v>
      </c>
      <c r="T899">
        <v>4</v>
      </c>
      <c r="U899">
        <v>1786.65</v>
      </c>
      <c r="V899">
        <v>0.05</v>
      </c>
      <c r="W899">
        <v>6789.27</v>
      </c>
      <c r="X899">
        <v>5626.43</v>
      </c>
      <c r="Y899">
        <v>1162.8399999999999</v>
      </c>
      <c r="Z899" t="s">
        <v>34</v>
      </c>
      <c r="AA899" t="s">
        <v>35</v>
      </c>
    </row>
    <row r="900" spans="1:27">
      <c r="A900" t="s">
        <v>4081</v>
      </c>
      <c r="B900" t="s">
        <v>3644</v>
      </c>
      <c r="C900" t="s">
        <v>50</v>
      </c>
      <c r="D900"/>
      <c r="E900" s="7">
        <f>IF(OR(D900="Invalid",D900&lt;0),"",D900)</f>
        <v>0</v>
      </c>
      <c r="F900" t="s">
        <v>4082</v>
      </c>
      <c r="G900" t="s">
        <v>83</v>
      </c>
      <c r="H900" t="str">
        <f>PROPER(TRIM(G900))</f>
        <v>Vikram Iyer</v>
      </c>
      <c r="I900" t="s">
        <v>26</v>
      </c>
      <c r="J900" t="str">
        <f>PROPER(TRIM(I900))</f>
        <v>Consumer</v>
      </c>
      <c r="K900" t="s">
        <v>27</v>
      </c>
      <c r="L900" t="s">
        <v>506</v>
      </c>
      <c r="M900" t="s">
        <v>507</v>
      </c>
      <c r="N900" t="s">
        <v>45</v>
      </c>
      <c r="O900" t="str">
        <f>TRIM(N900)</f>
        <v>Furniture</v>
      </c>
      <c r="P900" t="s">
        <v>46</v>
      </c>
      <c r="Q900" t="s">
        <v>4083</v>
      </c>
      <c r="R900" t="s">
        <v>56</v>
      </c>
      <c r="S900" t="s">
        <v>56</v>
      </c>
      <c r="T900">
        <v>4</v>
      </c>
      <c r="U900">
        <v>1536.7</v>
      </c>
      <c r="V900">
        <v>0.2</v>
      </c>
      <c r="W900">
        <v>4917.4399999999996</v>
      </c>
      <c r="X900">
        <v>3846.77</v>
      </c>
      <c r="Y900">
        <v>1070.67</v>
      </c>
      <c r="Z900" t="s">
        <v>34</v>
      </c>
      <c r="AA900" t="s">
        <v>35</v>
      </c>
    </row>
    <row r="901" spans="1:27">
      <c r="A901" t="s">
        <v>4084</v>
      </c>
      <c r="B901" t="s">
        <v>1682</v>
      </c>
      <c r="C901" t="s">
        <v>4085</v>
      </c>
      <c r="D901"/>
      <c r="E901" s="7">
        <f>IF(OR(D901="Invalid",D901&lt;0),"",D901)</f>
        <v>0</v>
      </c>
      <c r="F901" t="s">
        <v>4086</v>
      </c>
      <c r="G901" t="s">
        <v>25</v>
      </c>
      <c r="H901" t="str">
        <f>PROPER(TRIM(G901))</f>
        <v>Karan Malhotra</v>
      </c>
      <c r="I901" t="s">
        <v>26</v>
      </c>
      <c r="J901" t="str">
        <f>PROPER(TRIM(I901))</f>
        <v>Consumer</v>
      </c>
      <c r="K901" t="s">
        <v>27</v>
      </c>
      <c r="L901" t="s">
        <v>154</v>
      </c>
      <c r="M901" t="s">
        <v>155</v>
      </c>
      <c r="N901" t="s">
        <v>45</v>
      </c>
      <c r="O901" t="str">
        <f>TRIM(N901)</f>
        <v>Furniture</v>
      </c>
      <c r="P901" t="s">
        <v>76</v>
      </c>
      <c r="Q901" t="s">
        <v>4087</v>
      </c>
      <c r="R901" t="s">
        <v>56</v>
      </c>
      <c r="S901" t="s">
        <v>56</v>
      </c>
      <c r="T901">
        <v>5</v>
      </c>
      <c r="U901">
        <v>881.08</v>
      </c>
      <c r="V901">
        <v>0.25</v>
      </c>
      <c r="W901">
        <v>3304.05</v>
      </c>
      <c r="X901">
        <v>2279.41</v>
      </c>
      <c r="Y901">
        <v>1024.6400000000001</v>
      </c>
      <c r="Z901" t="s">
        <v>200</v>
      </c>
      <c r="AA901" t="s">
        <v>78</v>
      </c>
    </row>
    <row r="902" spans="1:27">
      <c r="A902" t="s">
        <v>1427</v>
      </c>
      <c r="B902" s="4" t="s">
        <v>1058</v>
      </c>
      <c r="C902" s="4" t="s">
        <v>1428</v>
      </c>
      <c r="D902" s="4" t="str">
        <f>IF(C790&lt;B790,"Invalid","OK")</f>
        <v>OK</v>
      </c>
      <c r="E902" s="7" t="str">
        <f>IF(OR(D902="Invalid",D902&lt;0),"",D902)</f>
        <v>OK</v>
      </c>
      <c r="F902" t="s">
        <v>1429</v>
      </c>
      <c r="G902" t="s">
        <v>162</v>
      </c>
      <c r="H902" t="str">
        <f>PROPER(TRIM(G902))</f>
        <v>Aarav Sharma</v>
      </c>
      <c r="I902" t="s">
        <v>41</v>
      </c>
      <c r="J902" t="str">
        <f>PROPER(TRIM(I902))</f>
        <v>Small Business</v>
      </c>
      <c r="K902" t="s">
        <v>42</v>
      </c>
      <c r="L902" t="s">
        <v>216</v>
      </c>
      <c r="M902" t="s">
        <v>217</v>
      </c>
      <c r="N902" t="s">
        <v>45</v>
      </c>
      <c r="O902" t="str">
        <f>TRIM(N902)</f>
        <v>Furniture</v>
      </c>
      <c r="P902" t="s">
        <v>76</v>
      </c>
      <c r="Q902" t="s">
        <v>1430</v>
      </c>
      <c r="R902" t="s">
        <v>33</v>
      </c>
      <c r="S902" t="s">
        <v>33</v>
      </c>
      <c r="T902">
        <v>6</v>
      </c>
      <c r="U902">
        <v>3391.53</v>
      </c>
      <c r="V902">
        <v>-0.14000000000000001</v>
      </c>
      <c r="W902">
        <v>15261.89</v>
      </c>
      <c r="X902">
        <v>8413.5300000000007</v>
      </c>
      <c r="Y902">
        <v>6848.36</v>
      </c>
      <c r="Z902" t="s">
        <v>34</v>
      </c>
      <c r="AA902" t="s">
        <v>35</v>
      </c>
    </row>
    <row r="903" spans="1:27">
      <c r="A903" t="s">
        <v>89</v>
      </c>
      <c r="B903" t="s">
        <v>90</v>
      </c>
      <c r="C903" t="s">
        <v>91</v>
      </c>
      <c r="D903"/>
      <c r="E903" s="7">
        <f>IF(OR(D903="Invalid",D903&lt;0),"",D903)</f>
        <v>0</v>
      </c>
      <c r="F903" t="s">
        <v>92</v>
      </c>
      <c r="G903" t="s">
        <v>93</v>
      </c>
      <c r="H903" t="str">
        <f>PROPER(TRIM(G903))</f>
        <v>Neha Gupta</v>
      </c>
      <c r="I903" t="s">
        <v>26</v>
      </c>
      <c r="J903" t="str">
        <f>PROPER(TRIM(I903))</f>
        <v>Consumer</v>
      </c>
      <c r="K903" t="s">
        <v>42</v>
      </c>
      <c r="L903" t="s">
        <v>43</v>
      </c>
      <c r="M903" t="s">
        <v>44</v>
      </c>
      <c r="N903" t="s">
        <v>86</v>
      </c>
      <c r="O903" t="str">
        <f>TRIM(N903)</f>
        <v>Technology</v>
      </c>
      <c r="P903" t="s">
        <v>94</v>
      </c>
      <c r="Q903" t="s">
        <v>95</v>
      </c>
      <c r="R903" t="s">
        <v>67</v>
      </c>
      <c r="S903" t="s">
        <v>67</v>
      </c>
      <c r="T903">
        <v>4</v>
      </c>
      <c r="U903">
        <v>1719.87</v>
      </c>
      <c r="V903">
        <v>0.15</v>
      </c>
      <c r="W903">
        <v>5847.56</v>
      </c>
      <c r="X903">
        <v>4727.25</v>
      </c>
      <c r="Y903">
        <v>1120.31</v>
      </c>
      <c r="Z903" t="s">
        <v>34</v>
      </c>
      <c r="AA903" t="s">
        <v>35</v>
      </c>
    </row>
    <row r="904" spans="1:27">
      <c r="A904" t="s">
        <v>1677</v>
      </c>
      <c r="B904" t="s">
        <v>705</v>
      </c>
      <c r="C904" t="s">
        <v>1678</v>
      </c>
      <c r="D904"/>
      <c r="E904" s="7">
        <f>IF(OR(D904="Invalid",D904&lt;0),"",D904)</f>
        <v>0</v>
      </c>
      <c r="F904" t="s">
        <v>1679</v>
      </c>
      <c r="G904" t="s">
        <v>168</v>
      </c>
      <c r="H904" t="str">
        <f>PROPER(TRIM(G904))</f>
        <v>Sneha Kapoor</v>
      </c>
      <c r="I904" t="s">
        <v>115</v>
      </c>
      <c r="J904" t="str">
        <f>PROPER(TRIM(I904))</f>
        <v>Home Office</v>
      </c>
      <c r="K904" t="s">
        <v>42</v>
      </c>
      <c r="L904" t="s">
        <v>43</v>
      </c>
      <c r="M904" t="s">
        <v>44</v>
      </c>
      <c r="N904" t="s">
        <v>30</v>
      </c>
      <c r="O904" t="str">
        <f>TRIM(N904)</f>
        <v>Office Supplies</v>
      </c>
      <c r="P904" t="s">
        <v>198</v>
      </c>
      <c r="Q904" t="s">
        <v>1680</v>
      </c>
      <c r="R904" t="s">
        <v>33</v>
      </c>
      <c r="S904" t="s">
        <v>33</v>
      </c>
      <c r="T904">
        <v>4</v>
      </c>
      <c r="U904">
        <v>2685.66</v>
      </c>
      <c r="V904">
        <v>0</v>
      </c>
      <c r="W904">
        <v>10989.89</v>
      </c>
      <c r="X904">
        <v>6477.37</v>
      </c>
      <c r="Y904">
        <v>4265.2700000000004</v>
      </c>
      <c r="Z904" t="s">
        <v>34</v>
      </c>
      <c r="AA904" t="s">
        <v>35</v>
      </c>
    </row>
    <row r="905" spans="1:27">
      <c r="A905" t="s">
        <v>549</v>
      </c>
      <c r="B905" t="s">
        <v>550</v>
      </c>
      <c r="C905" t="s">
        <v>69</v>
      </c>
      <c r="D905"/>
      <c r="E905" s="7">
        <f>IF(OR(D905="Invalid",D905&lt;0),"",D905)</f>
        <v>0</v>
      </c>
      <c r="F905" t="s">
        <v>551</v>
      </c>
      <c r="G905" t="s">
        <v>162</v>
      </c>
      <c r="H905" t="str">
        <f>PROPER(TRIM(G905))</f>
        <v>Aarav Sharma</v>
      </c>
      <c r="I905" t="s">
        <v>41</v>
      </c>
      <c r="J905" t="str">
        <f>PROPER(TRIM(I905))</f>
        <v>Small Business</v>
      </c>
      <c r="K905" t="s">
        <v>42</v>
      </c>
      <c r="L905" t="s">
        <v>186</v>
      </c>
      <c r="M905" t="s">
        <v>187</v>
      </c>
      <c r="N905" t="s">
        <v>86</v>
      </c>
      <c r="O905" t="str">
        <f>TRIM(N905)</f>
        <v>Technology</v>
      </c>
      <c r="P905" t="s">
        <v>94</v>
      </c>
      <c r="Q905" t="s">
        <v>552</v>
      </c>
      <c r="R905" t="s">
        <v>56</v>
      </c>
      <c r="S905" t="s">
        <v>56</v>
      </c>
      <c r="T905">
        <v>3</v>
      </c>
      <c r="U905">
        <v>3703.96</v>
      </c>
      <c r="V905">
        <v>0.15</v>
      </c>
      <c r="W905">
        <v>9549.44</v>
      </c>
      <c r="X905">
        <v>5586.28</v>
      </c>
      <c r="Y905">
        <v>3858.82</v>
      </c>
      <c r="Z905" t="s">
        <v>34</v>
      </c>
      <c r="AA905" t="s">
        <v>125</v>
      </c>
    </row>
    <row r="906" spans="1:27">
      <c r="A906" t="s">
        <v>1861</v>
      </c>
      <c r="B906" t="s">
        <v>1862</v>
      </c>
      <c r="C906" t="s">
        <v>1862</v>
      </c>
      <c r="D906"/>
      <c r="E906" s="7">
        <f>IF(OR(D906="Invalid",D906&lt;0),"",D906)</f>
        <v>0</v>
      </c>
      <c r="F906" t="s">
        <v>1863</v>
      </c>
      <c r="G906" t="s">
        <v>168</v>
      </c>
      <c r="H906" t="str">
        <f>PROPER(TRIM(G906))</f>
        <v>Sneha Kapoor</v>
      </c>
      <c r="I906" t="s">
        <v>41</v>
      </c>
      <c r="J906" t="str">
        <f>PROPER(TRIM(I906))</f>
        <v>Small Business</v>
      </c>
      <c r="K906" t="s">
        <v>27</v>
      </c>
      <c r="L906" t="s">
        <v>174</v>
      </c>
      <c r="M906" t="s">
        <v>175</v>
      </c>
      <c r="N906" t="s">
        <v>30</v>
      </c>
      <c r="O906" t="str">
        <f>TRIM(N906)</f>
        <v>Office Supplies</v>
      </c>
      <c r="P906" t="s">
        <v>156</v>
      </c>
      <c r="Q906" t="s">
        <v>1864</v>
      </c>
      <c r="R906" t="s">
        <v>33</v>
      </c>
      <c r="S906" t="s">
        <v>33</v>
      </c>
      <c r="T906">
        <v>9</v>
      </c>
      <c r="U906">
        <v>1118.68</v>
      </c>
      <c r="V906">
        <v>0</v>
      </c>
      <c r="W906">
        <v>10348.43</v>
      </c>
      <c r="X906">
        <v>8595.3700000000008</v>
      </c>
      <c r="Y906">
        <v>1472.75</v>
      </c>
      <c r="Z906" t="s">
        <v>34</v>
      </c>
      <c r="AA906" t="s">
        <v>125</v>
      </c>
    </row>
    <row r="907" spans="1:27">
      <c r="A907" t="s">
        <v>1189</v>
      </c>
      <c r="B907" t="s">
        <v>1190</v>
      </c>
      <c r="C907" t="s">
        <v>1191</v>
      </c>
      <c r="D907"/>
      <c r="E907" s="7">
        <f>IF(OR(D907="Invalid",D907&lt;0),"",D907)</f>
        <v>0</v>
      </c>
      <c r="F907" t="s">
        <v>1192</v>
      </c>
      <c r="G907" t="s">
        <v>53</v>
      </c>
      <c r="H907" t="str">
        <f>PROPER(TRIM(G907))</f>
        <v>Isha Nair</v>
      </c>
      <c r="I907" t="s">
        <v>41</v>
      </c>
      <c r="J907" t="str">
        <f>PROPER(TRIM(I907))</f>
        <v>Small Business</v>
      </c>
      <c r="K907" t="s">
        <v>27</v>
      </c>
      <c r="L907" t="s">
        <v>154</v>
      </c>
      <c r="M907" t="s">
        <v>155</v>
      </c>
      <c r="N907" t="s">
        <v>45</v>
      </c>
      <c r="O907" t="str">
        <f>TRIM(N907)</f>
        <v>Furniture</v>
      </c>
      <c r="P907" t="s">
        <v>65</v>
      </c>
      <c r="Q907" t="s">
        <v>1193</v>
      </c>
      <c r="R907" t="s">
        <v>67</v>
      </c>
      <c r="S907" t="s">
        <v>67</v>
      </c>
      <c r="T907">
        <v>4</v>
      </c>
      <c r="U907">
        <v>3944.64</v>
      </c>
      <c r="V907">
        <v>0.25</v>
      </c>
      <c r="W907">
        <v>12116.89</v>
      </c>
      <c r="X907">
        <v>6682.92</v>
      </c>
      <c r="Y907">
        <v>5151</v>
      </c>
      <c r="Z907" t="s">
        <v>34</v>
      </c>
      <c r="AA907" t="s">
        <v>125</v>
      </c>
    </row>
    <row r="908" spans="1:27">
      <c r="A908" t="s">
        <v>1602</v>
      </c>
      <c r="B908" t="s">
        <v>1104</v>
      </c>
      <c r="C908" t="s">
        <v>118</v>
      </c>
      <c r="D908"/>
      <c r="E908" s="7">
        <f>IF(OR(D908="Invalid",D908&lt;0),"",D908)</f>
        <v>0</v>
      </c>
      <c r="F908" t="s">
        <v>1603</v>
      </c>
      <c r="G908" t="s">
        <v>53</v>
      </c>
      <c r="H908" t="str">
        <f>PROPER(TRIM(G908))</f>
        <v>Isha Nair</v>
      </c>
      <c r="I908" t="s">
        <v>108</v>
      </c>
      <c r="J908" t="str">
        <f>PROPER(TRIM(I908))</f>
        <v>Corporate</v>
      </c>
      <c r="K908" t="s">
        <v>73</v>
      </c>
      <c r="L908" t="s">
        <v>84</v>
      </c>
      <c r="M908" t="s">
        <v>85</v>
      </c>
      <c r="N908" t="s">
        <v>30</v>
      </c>
      <c r="O908" t="str">
        <f>TRIM(N908)</f>
        <v>Office Supplies</v>
      </c>
      <c r="P908" t="s">
        <v>109</v>
      </c>
      <c r="Q908" t="s">
        <v>1604</v>
      </c>
      <c r="R908" t="s">
        <v>67</v>
      </c>
      <c r="S908" t="s">
        <v>67</v>
      </c>
      <c r="T908">
        <v>9</v>
      </c>
      <c r="U908">
        <v>847.76</v>
      </c>
      <c r="V908">
        <v>0.15</v>
      </c>
      <c r="W908">
        <v>6589.37</v>
      </c>
      <c r="X908">
        <v>5376.17</v>
      </c>
      <c r="Y908">
        <v>1109.19</v>
      </c>
      <c r="Z908" t="s">
        <v>200</v>
      </c>
      <c r="AA908" t="s">
        <v>35</v>
      </c>
    </row>
    <row r="909" spans="1:27">
      <c r="A909" t="s">
        <v>934</v>
      </c>
      <c r="B909" t="s">
        <v>112</v>
      </c>
      <c r="C909" t="s">
        <v>935</v>
      </c>
      <c r="D909"/>
      <c r="E909" s="7">
        <f>IF(OR(D909="Invalid",D909&lt;0),"",D909)</f>
        <v>0</v>
      </c>
      <c r="F909" t="s">
        <v>936</v>
      </c>
      <c r="G909" t="s">
        <v>180</v>
      </c>
      <c r="H909" t="str">
        <f>PROPER(TRIM(G909))</f>
        <v>Rohan Mehta</v>
      </c>
      <c r="I909" t="s">
        <v>108</v>
      </c>
      <c r="J909" t="str">
        <f>PROPER(TRIM(I909))</f>
        <v>Corporate</v>
      </c>
      <c r="K909" t="s">
        <v>42</v>
      </c>
      <c r="L909" t="s">
        <v>186</v>
      </c>
      <c r="M909" t="s">
        <v>187</v>
      </c>
      <c r="N909" t="s">
        <v>86</v>
      </c>
      <c r="O909" t="str">
        <f>TRIM(N909)</f>
        <v>Technology</v>
      </c>
      <c r="P909" t="s">
        <v>94</v>
      </c>
      <c r="Q909" t="s">
        <v>937</v>
      </c>
      <c r="R909" t="s">
        <v>67</v>
      </c>
      <c r="S909" t="s">
        <v>67</v>
      </c>
      <c r="T909">
        <v>3</v>
      </c>
      <c r="U909">
        <v>1711.32</v>
      </c>
      <c r="V909">
        <v>0</v>
      </c>
      <c r="W909">
        <v>5206.53</v>
      </c>
      <c r="X909">
        <v>3930</v>
      </c>
      <c r="Y909">
        <v>1203.96</v>
      </c>
      <c r="Z909" t="s">
        <v>34</v>
      </c>
      <c r="AA909" t="s">
        <v>125</v>
      </c>
    </row>
    <row r="910" spans="1:27">
      <c r="A910" t="s">
        <v>2087</v>
      </c>
      <c r="B910" t="s">
        <v>2088</v>
      </c>
      <c r="C910" t="s">
        <v>2089</v>
      </c>
      <c r="D910"/>
      <c r="E910" s="7">
        <f>IF(OR(D910="Invalid",D910&lt;0),"",D910)</f>
        <v>0</v>
      </c>
      <c r="F910" t="s">
        <v>2090</v>
      </c>
      <c r="G910" t="s">
        <v>210</v>
      </c>
      <c r="H910" t="str">
        <f>PROPER(TRIM(G910))</f>
        <v>Diya Patel</v>
      </c>
      <c r="I910" t="s">
        <v>26</v>
      </c>
      <c r="J910" t="str">
        <f>PROPER(TRIM(I910))</f>
        <v>Consumer</v>
      </c>
      <c r="K910" t="s">
        <v>62</v>
      </c>
      <c r="L910" t="s">
        <v>242</v>
      </c>
      <c r="M910" t="s">
        <v>243</v>
      </c>
      <c r="N910" t="s">
        <v>86</v>
      </c>
      <c r="O910" t="str">
        <f>TRIM(N910)</f>
        <v>Technology</v>
      </c>
      <c r="P910" t="s">
        <v>87</v>
      </c>
      <c r="Q910" t="s">
        <v>2091</v>
      </c>
      <c r="R910" t="s">
        <v>2092</v>
      </c>
      <c r="S910" t="s">
        <v>2092</v>
      </c>
      <c r="T910">
        <v>9</v>
      </c>
      <c r="U910">
        <v>3779.31</v>
      </c>
      <c r="V910">
        <v>0.2</v>
      </c>
      <c r="W910">
        <v>27322.9</v>
      </c>
      <c r="X910">
        <v>17940.43</v>
      </c>
      <c r="Y910">
        <v>9270.6</v>
      </c>
      <c r="Z910" t="s">
        <v>34</v>
      </c>
      <c r="AA910" t="s">
        <v>125</v>
      </c>
    </row>
    <row r="911" spans="1:27">
      <c r="A911" t="s">
        <v>2739</v>
      </c>
      <c r="B911" t="s">
        <v>2675</v>
      </c>
      <c r="C911" t="s">
        <v>2740</v>
      </c>
      <c r="D911"/>
      <c r="E911" s="7">
        <f>IF(OR(D911="Invalid",D911&lt;0),"",D911)</f>
        <v>0</v>
      </c>
      <c r="F911" t="s">
        <v>2741</v>
      </c>
      <c r="G911" t="s">
        <v>142</v>
      </c>
      <c r="H911" t="str">
        <f>PROPER(TRIM(G911))</f>
        <v>Priya Menon</v>
      </c>
      <c r="I911" t="s">
        <v>41</v>
      </c>
      <c r="J911" t="str">
        <f>PROPER(TRIM(I911))</f>
        <v>Small Business</v>
      </c>
      <c r="K911" t="s">
        <v>27</v>
      </c>
      <c r="L911" t="s">
        <v>174</v>
      </c>
      <c r="M911" t="s">
        <v>175</v>
      </c>
      <c r="N911" t="s">
        <v>86</v>
      </c>
      <c r="O911" t="str">
        <f>TRIM(N911)</f>
        <v>Technology</v>
      </c>
      <c r="P911" t="s">
        <v>223</v>
      </c>
      <c r="Q911" t="s">
        <v>2742</v>
      </c>
      <c r="R911" t="s">
        <v>4124</v>
      </c>
      <c r="S911" t="s">
        <v>4111</v>
      </c>
      <c r="T911">
        <v>5</v>
      </c>
      <c r="U911">
        <v>4276.29</v>
      </c>
      <c r="V911">
        <v>0</v>
      </c>
      <c r="W911">
        <v>21443.63</v>
      </c>
      <c r="X911">
        <v>13240.21</v>
      </c>
      <c r="Y911">
        <v>8141.24</v>
      </c>
      <c r="Z911" t="s">
        <v>200</v>
      </c>
      <c r="AA911" t="s">
        <v>35</v>
      </c>
    </row>
    <row r="912" spans="1:27">
      <c r="A912" t="s">
        <v>800</v>
      </c>
      <c r="B912" t="s">
        <v>801</v>
      </c>
      <c r="C912" t="s">
        <v>802</v>
      </c>
      <c r="D912"/>
      <c r="E912" s="7">
        <f>IF(OR(D912="Invalid",D912&lt;0),"",D912)</f>
        <v>0</v>
      </c>
      <c r="F912" t="s">
        <v>803</v>
      </c>
      <c r="G912" t="s">
        <v>107</v>
      </c>
      <c r="H912" t="str">
        <f>PROPER(TRIM(G912))</f>
        <v>Aditi Sen</v>
      </c>
      <c r="I912" t="s">
        <v>115</v>
      </c>
      <c r="J912" t="str">
        <f>PROPER(TRIM(I912))</f>
        <v>Home Office</v>
      </c>
      <c r="K912" t="s">
        <v>27</v>
      </c>
      <c r="L912" t="s">
        <v>28</v>
      </c>
      <c r="M912" t="s">
        <v>29</v>
      </c>
      <c r="N912" t="s">
        <v>86</v>
      </c>
      <c r="O912" t="str">
        <f>TRIM(N912)</f>
        <v>Technology</v>
      </c>
      <c r="P912" t="s">
        <v>223</v>
      </c>
      <c r="Q912" t="s">
        <v>804</v>
      </c>
      <c r="R912" t="s">
        <v>33</v>
      </c>
      <c r="S912" t="s">
        <v>33</v>
      </c>
      <c r="T912">
        <v>5</v>
      </c>
      <c r="U912">
        <v>907.54</v>
      </c>
      <c r="V912">
        <v>0.15</v>
      </c>
      <c r="W912">
        <v>4099.6899999999996</v>
      </c>
      <c r="X912">
        <v>2769.26</v>
      </c>
      <c r="Y912">
        <v>1087.78</v>
      </c>
      <c r="Z912" t="s">
        <v>34</v>
      </c>
      <c r="AA912" t="s">
        <v>125</v>
      </c>
    </row>
    <row r="913" spans="1:27">
      <c r="A913" t="s">
        <v>1408</v>
      </c>
      <c r="B913" t="s">
        <v>1409</v>
      </c>
      <c r="C913" t="s">
        <v>1410</v>
      </c>
      <c r="D913"/>
      <c r="E913" s="7">
        <f>IF(OR(D913="Invalid",D913&lt;0),"",D913)</f>
        <v>0</v>
      </c>
      <c r="F913" t="s">
        <v>1411</v>
      </c>
      <c r="G913" t="s">
        <v>61</v>
      </c>
      <c r="H913" t="str">
        <f>PROPER(TRIM(G913))</f>
        <v>Arjun Bose</v>
      </c>
      <c r="I913" t="s">
        <v>26</v>
      </c>
      <c r="J913" t="str">
        <f>PROPER(TRIM(I913))</f>
        <v>Consumer</v>
      </c>
      <c r="K913" t="s">
        <v>62</v>
      </c>
      <c r="L913" t="s">
        <v>100</v>
      </c>
      <c r="M913" t="s">
        <v>101</v>
      </c>
      <c r="N913" t="s">
        <v>45</v>
      </c>
      <c r="O913" t="str">
        <f>TRIM(N913)</f>
        <v>Furniture</v>
      </c>
      <c r="P913" t="s">
        <v>76</v>
      </c>
      <c r="Q913" t="s">
        <v>1412</v>
      </c>
      <c r="R913" t="s">
        <v>56</v>
      </c>
      <c r="S913" t="s">
        <v>56</v>
      </c>
      <c r="T913">
        <v>7</v>
      </c>
      <c r="U913">
        <v>557.21</v>
      </c>
      <c r="V913">
        <v>0.1</v>
      </c>
      <c r="W913">
        <v>3797.79</v>
      </c>
      <c r="X913">
        <v>2191.5</v>
      </c>
      <c r="Y913">
        <v>1213.48</v>
      </c>
      <c r="Z913" t="s">
        <v>34</v>
      </c>
      <c r="AA913" t="s">
        <v>125</v>
      </c>
    </row>
    <row r="914" spans="1:27">
      <c r="A914" t="s">
        <v>708</v>
      </c>
      <c r="B914" t="s">
        <v>709</v>
      </c>
      <c r="C914" t="s">
        <v>710</v>
      </c>
      <c r="D914"/>
      <c r="E914" s="7">
        <f>IF(OR(D914="Invalid",D914&lt;0),"",D914)</f>
        <v>0</v>
      </c>
      <c r="F914" t="s">
        <v>711</v>
      </c>
      <c r="G914" t="s">
        <v>168</v>
      </c>
      <c r="H914" t="str">
        <f>PROPER(TRIM(G914))</f>
        <v>Sneha Kapoor</v>
      </c>
      <c r="I914" t="s">
        <v>41</v>
      </c>
      <c r="J914" t="str">
        <f>PROPER(TRIM(I914))</f>
        <v>Small Business</v>
      </c>
      <c r="K914" t="s">
        <v>712</v>
      </c>
      <c r="L914" t="s">
        <v>154</v>
      </c>
      <c r="M914" t="s">
        <v>155</v>
      </c>
      <c r="N914" t="s">
        <v>86</v>
      </c>
      <c r="O914" t="str">
        <f>TRIM(N914)</f>
        <v>Technology</v>
      </c>
      <c r="P914" t="s">
        <v>94</v>
      </c>
      <c r="Q914" t="s">
        <v>713</v>
      </c>
      <c r="R914" t="s">
        <v>48</v>
      </c>
      <c r="S914" t="s">
        <v>48</v>
      </c>
      <c r="T914">
        <v>1</v>
      </c>
      <c r="U914">
        <v>634.13</v>
      </c>
      <c r="V914">
        <v>0</v>
      </c>
      <c r="W914">
        <v>808.67</v>
      </c>
      <c r="X914">
        <v>453.35</v>
      </c>
      <c r="Y914">
        <v>180.78</v>
      </c>
      <c r="Z914" t="s">
        <v>124</v>
      </c>
      <c r="AA914" t="s">
        <v>125</v>
      </c>
    </row>
    <row r="915" spans="1:27">
      <c r="A915" t="s">
        <v>1697</v>
      </c>
      <c r="B915" t="s">
        <v>1698</v>
      </c>
      <c r="C915" t="s">
        <v>1699</v>
      </c>
      <c r="D915"/>
      <c r="E915" s="7">
        <f>IF(OR(D915="Invalid",D915&lt;0),"",D915)</f>
        <v>0</v>
      </c>
      <c r="F915" t="s">
        <v>1700</v>
      </c>
      <c r="G915" t="s">
        <v>148</v>
      </c>
      <c r="H915" t="str">
        <f>PROPER(TRIM(G915))</f>
        <v>Rahul Verma</v>
      </c>
      <c r="I915" t="s">
        <v>115</v>
      </c>
      <c r="J915" t="str">
        <f>PROPER(TRIM(I915))</f>
        <v>Home Office</v>
      </c>
      <c r="K915" t="s">
        <v>73</v>
      </c>
      <c r="L915" t="s">
        <v>84</v>
      </c>
      <c r="M915" t="s">
        <v>85</v>
      </c>
      <c r="N915" t="s">
        <v>30</v>
      </c>
      <c r="O915" t="str">
        <f>TRIM(N915)</f>
        <v>Office Supplies</v>
      </c>
      <c r="P915" t="s">
        <v>31</v>
      </c>
      <c r="Q915" t="s">
        <v>1701</v>
      </c>
      <c r="R915" t="s">
        <v>56</v>
      </c>
      <c r="S915" t="s">
        <v>56</v>
      </c>
      <c r="T915">
        <v>3</v>
      </c>
      <c r="U915">
        <v>4289.37</v>
      </c>
      <c r="V915">
        <v>0.1</v>
      </c>
      <c r="W915">
        <v>11778.71</v>
      </c>
      <c r="X915">
        <v>6829.43</v>
      </c>
      <c r="Y915">
        <v>4751.87</v>
      </c>
      <c r="Z915" t="s">
        <v>34</v>
      </c>
      <c r="AA915" t="s">
        <v>125</v>
      </c>
    </row>
    <row r="916" spans="1:27">
      <c r="B916"/>
      <c r="C916"/>
      <c r="D916"/>
      <c r="E916"/>
    </row>
    <row r="917" spans="1:27">
      <c r="B917"/>
      <c r="C917"/>
      <c r="D917"/>
      <c r="E917"/>
    </row>
    <row r="918" spans="1:27">
      <c r="B918"/>
      <c r="C918"/>
      <c r="D918"/>
      <c r="E918"/>
    </row>
    <row r="919" spans="1:27">
      <c r="B919"/>
      <c r="C919"/>
      <c r="D919"/>
      <c r="E919"/>
    </row>
    <row r="920" spans="1:27">
      <c r="B920"/>
      <c r="C920"/>
      <c r="D920"/>
      <c r="E920"/>
    </row>
    <row r="921" spans="1:27">
      <c r="B921"/>
      <c r="C921"/>
      <c r="D921"/>
      <c r="E921"/>
    </row>
    <row r="922" spans="1:27">
      <c r="B922"/>
      <c r="C922"/>
      <c r="D922"/>
      <c r="E922"/>
    </row>
    <row r="923" spans="1:27">
      <c r="B923"/>
      <c r="C923"/>
      <c r="D923"/>
      <c r="E923"/>
    </row>
    <row r="924" spans="1:27">
      <c r="B924"/>
      <c r="C924"/>
      <c r="D924"/>
      <c r="E924"/>
    </row>
    <row r="925" spans="1:27">
      <c r="B925"/>
      <c r="C925"/>
      <c r="D925"/>
      <c r="E925"/>
    </row>
    <row r="926" spans="1:27">
      <c r="B926"/>
      <c r="C926"/>
      <c r="D926"/>
      <c r="E926"/>
    </row>
    <row r="927" spans="1:27">
      <c r="B927"/>
      <c r="C927"/>
      <c r="D927"/>
      <c r="E927"/>
    </row>
    <row r="928" spans="1:27">
      <c r="B928"/>
      <c r="C928"/>
      <c r="D928"/>
      <c r="E928"/>
    </row>
    <row r="929" spans="31:35" customFormat="1">
      <c r="AE929" s="10"/>
      <c r="AF929" s="10"/>
      <c r="AG929" s="10"/>
      <c r="AH929" s="10"/>
      <c r="AI929" s="10"/>
    </row>
    <row r="930" spans="31:35" customFormat="1">
      <c r="AE930" s="10"/>
      <c r="AF930" s="10"/>
      <c r="AG930" s="10"/>
      <c r="AH930" s="10"/>
      <c r="AI930" s="10"/>
    </row>
    <row r="931" spans="31:35" customFormat="1">
      <c r="AE931" s="10"/>
      <c r="AF931" s="10"/>
      <c r="AG931" s="10"/>
      <c r="AH931" s="10"/>
      <c r="AI931" s="10"/>
    </row>
    <row r="932" spans="31:35" customFormat="1">
      <c r="AE932" s="10"/>
      <c r="AF932" s="10"/>
      <c r="AG932" s="10"/>
      <c r="AH932" s="10"/>
      <c r="AI932" s="10"/>
    </row>
    <row r="933" spans="31:35" customFormat="1">
      <c r="AE933" s="10"/>
      <c r="AF933" s="10"/>
      <c r="AG933" s="10"/>
      <c r="AH933" s="10"/>
      <c r="AI933" s="10"/>
    </row>
  </sheetData>
  <conditionalFormatting sqref="A1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47D3-152F-4AD5-91CC-03B0AE3EB585}">
  <dimension ref="A1:C6"/>
  <sheetViews>
    <sheetView workbookViewId="0">
      <selection activeCell="A7" sqref="A7"/>
    </sheetView>
  </sheetViews>
  <sheetFormatPr defaultRowHeight="14.25"/>
  <cols>
    <col min="1" max="1" width="34" customWidth="1"/>
    <col min="2" max="2" width="57.375" customWidth="1"/>
  </cols>
  <sheetData>
    <row r="1" spans="1:3" ht="15">
      <c r="A1" s="11" t="s">
        <v>4116</v>
      </c>
      <c r="B1" s="12" t="s">
        <v>4123</v>
      </c>
      <c r="C1" s="8"/>
    </row>
    <row r="2" spans="1:3" ht="29.25" customHeight="1">
      <c r="A2" s="9" t="s">
        <v>4117</v>
      </c>
      <c r="B2" s="9">
        <v>18</v>
      </c>
    </row>
    <row r="3" spans="1:3" ht="30" customHeight="1">
      <c r="A3" s="9" t="s">
        <v>4118</v>
      </c>
      <c r="B3" s="9">
        <v>0</v>
      </c>
    </row>
    <row r="4" spans="1:3" ht="26.25" customHeight="1">
      <c r="A4" s="9" t="s">
        <v>4119</v>
      </c>
      <c r="B4" s="9">
        <v>18</v>
      </c>
    </row>
    <row r="5" spans="1:3" ht="25.5" customHeight="1">
      <c r="A5" s="9" t="s">
        <v>4120</v>
      </c>
      <c r="B5" s="9">
        <v>0</v>
      </c>
    </row>
    <row r="6" spans="1:3" ht="59.25" customHeight="1">
      <c r="A6" s="9" t="s">
        <v>4121</v>
      </c>
      <c r="B6" s="9" t="s">
        <v>4122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zoomScale="58" workbookViewId="0">
      <selection activeCell="I9" sqref="I9"/>
    </sheetView>
  </sheetViews>
  <sheetFormatPr defaultRowHeight="14.25"/>
  <cols>
    <col min="1" max="1" width="28" customWidth="1"/>
    <col min="2" max="2" width="43.5" customWidth="1"/>
    <col min="4" max="4" width="25.125" customWidth="1"/>
    <col min="5" max="5" width="45.5" customWidth="1"/>
  </cols>
  <sheetData>
    <row r="1" spans="1:5" ht="27.95" customHeight="1">
      <c r="A1" s="13" t="s">
        <v>4088</v>
      </c>
      <c r="B1" s="13" t="s">
        <v>4089</v>
      </c>
      <c r="D1" s="15" t="s">
        <v>4088</v>
      </c>
      <c r="E1" s="15" t="s">
        <v>4125</v>
      </c>
    </row>
    <row r="2" spans="1:5" ht="34.5" customHeight="1">
      <c r="A2" s="14" t="s">
        <v>4090</v>
      </c>
      <c r="B2" s="14" t="s">
        <v>4091</v>
      </c>
      <c r="D2" s="9" t="s">
        <v>4094</v>
      </c>
      <c r="E2" s="9" t="s">
        <v>4126</v>
      </c>
    </row>
    <row r="3" spans="1:5" ht="32.25" customHeight="1">
      <c r="A3" s="14" t="s">
        <v>4092</v>
      </c>
      <c r="B3" s="14" t="s">
        <v>4093</v>
      </c>
      <c r="D3" s="9" t="s">
        <v>4092</v>
      </c>
      <c r="E3" s="9" t="s">
        <v>4142</v>
      </c>
    </row>
    <row r="4" spans="1:5" ht="20.25" customHeight="1">
      <c r="A4" s="14" t="s">
        <v>4094</v>
      </c>
      <c r="B4" s="14" t="s">
        <v>4093</v>
      </c>
      <c r="D4" s="9" t="s">
        <v>4095</v>
      </c>
      <c r="E4" s="9" t="s">
        <v>4127</v>
      </c>
    </row>
    <row r="5" spans="1:5" ht="28.5">
      <c r="A5" s="14" t="s">
        <v>4095</v>
      </c>
      <c r="B5" s="14" t="s">
        <v>4096</v>
      </c>
      <c r="D5" s="9" t="s">
        <v>4128</v>
      </c>
      <c r="E5" s="9" t="s">
        <v>4129</v>
      </c>
    </row>
    <row r="6" spans="1:5" ht="28.5">
      <c r="A6" s="14" t="s">
        <v>4097</v>
      </c>
      <c r="B6" s="14" t="s">
        <v>4098</v>
      </c>
      <c r="D6" s="9" t="s">
        <v>4130</v>
      </c>
      <c r="E6" s="9" t="s">
        <v>4131</v>
      </c>
    </row>
    <row r="7" spans="1:5" ht="32.25" customHeight="1">
      <c r="A7" s="14" t="s">
        <v>4099</v>
      </c>
      <c r="B7" s="14" t="s">
        <v>4100</v>
      </c>
      <c r="D7" s="9" t="s">
        <v>4132</v>
      </c>
      <c r="E7" s="9" t="s">
        <v>4133</v>
      </c>
    </row>
    <row r="8" spans="1:5" ht="26.25" customHeight="1">
      <c r="A8" s="14" t="s">
        <v>4101</v>
      </c>
      <c r="B8" s="14" t="s">
        <v>4102</v>
      </c>
      <c r="D8" s="9" t="s">
        <v>4103</v>
      </c>
      <c r="E8" s="9" t="s">
        <v>4139</v>
      </c>
    </row>
    <row r="9" spans="1:5" ht="43.5" customHeight="1">
      <c r="A9" s="14" t="s">
        <v>4103</v>
      </c>
      <c r="B9" s="14" t="s">
        <v>4104</v>
      </c>
      <c r="D9" s="9" t="s">
        <v>4134</v>
      </c>
      <c r="E9" s="9" t="s">
        <v>4135</v>
      </c>
    </row>
    <row r="10" spans="1:5" ht="50.25" customHeight="1">
      <c r="A10" s="14" t="s">
        <v>4105</v>
      </c>
      <c r="B10" s="14" t="s">
        <v>4106</v>
      </c>
      <c r="D10" s="9" t="s">
        <v>4136</v>
      </c>
      <c r="E10" s="9" t="s">
        <v>4135</v>
      </c>
    </row>
    <row r="11" spans="1:5" ht="27.75" customHeight="1">
      <c r="A11" s="14" t="s">
        <v>4107</v>
      </c>
      <c r="B11" s="14" t="s">
        <v>4108</v>
      </c>
      <c r="D11" s="9" t="s">
        <v>4137</v>
      </c>
      <c r="E11" s="9" t="s">
        <v>4138</v>
      </c>
    </row>
    <row r="12" spans="1:5" ht="27" customHeight="1">
      <c r="D12" s="9" t="s">
        <v>4105</v>
      </c>
      <c r="E12" s="9" t="s">
        <v>4140</v>
      </c>
    </row>
    <row r="13" spans="1:5" ht="30.75" customHeight="1">
      <c r="D13" s="9" t="s">
        <v>4107</v>
      </c>
      <c r="E13" s="9" t="s">
        <v>4141</v>
      </c>
    </row>
    <row r="14" spans="1:5" ht="21.75" customHeight="1">
      <c r="A14" s="2"/>
    </row>
    <row r="15" spans="1:5" ht="23.25" customHeight="1"/>
    <row r="16" spans="1:5" ht="22.5" customHeight="1"/>
    <row r="18" ht="22.5" customHeight="1"/>
    <row r="19" ht="22.5" customHeight="1"/>
    <row r="20" ht="20.25" customHeight="1"/>
    <row r="21" ht="18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Sales_Profit_By_Region</vt:lpstr>
      <vt:lpstr>Sales_Profit_By_Category</vt:lpstr>
      <vt:lpstr>Order_Count_By_Ship_Mode</vt:lpstr>
      <vt:lpstr>Profit_Margin_By_Segment</vt:lpstr>
      <vt:lpstr>Refunded_Cancelled_Failed_By_Re</vt:lpstr>
      <vt:lpstr>Monthly_Sales_Trend</vt:lpstr>
      <vt:lpstr>raw_orders</vt:lpstr>
      <vt:lpstr>duplicate_summary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Arundhati Singh</dc:creator>
  <cp:lastModifiedBy>Arundhati Singh</cp:lastModifiedBy>
  <dcterms:created xsi:type="dcterms:W3CDTF">2026-06-22T08:49:24Z</dcterms:created>
  <dcterms:modified xsi:type="dcterms:W3CDTF">2026-06-22T16:45:47Z</dcterms:modified>
</cp:coreProperties>
</file>